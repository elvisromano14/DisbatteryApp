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O:\Inventarios 2023\Lubricantes\Almacén Planta\"/>
    </mc:Choice>
  </mc:AlternateContent>
  <xr:revisionPtr revIDLastSave="0" documentId="13_ncr:1_{70FC845D-30EF-4667-B42B-61683E28BDA8}" xr6:coauthVersionLast="36" xr6:coauthVersionMax="36" xr10:uidLastSave="{00000000-0000-0000-0000-000000000000}"/>
  <bookViews>
    <workbookView xWindow="0" yWindow="0" windowWidth="20496" windowHeight="7548" tabRatio="599" activeTab="1" xr2:uid="{00000000-000D-0000-FFFF-FFFF00000000}"/>
  </bookViews>
  <sheets>
    <sheet name="Recepcion de Producto" sheetId="1" r:id="rId1"/>
    <sheet name="Salida de Producto" sheetId="2" r:id="rId2"/>
    <sheet name="Balance de Inventarios" sheetId="3" r:id="rId3"/>
    <sheet name="Inventario Profit" sheetId="4" r:id="rId4"/>
    <sheet name="Hoja1" sheetId="9" r:id="rId5"/>
    <sheet name="Org Datos 1" sheetId="5" r:id="rId6"/>
    <sheet name="Org Datos 2" sheetId="8" r:id="rId7"/>
  </sheets>
  <definedNames>
    <definedName name="_xlnm._FilterDatabase" localSheetId="2" hidden="1">'Balance de Inventarios'!$B$3:$BB$100</definedName>
    <definedName name="_xlnm._FilterDatabase" localSheetId="3" hidden="1">'Inventario Profit'!$A$1:$K$369</definedName>
    <definedName name="_xlnm._FilterDatabase" localSheetId="5" hidden="1">'Org Datos 1'!$A$1:$D$1439</definedName>
    <definedName name="_xlnm._FilterDatabase" localSheetId="6" hidden="1">'Org Datos 2'!$A$1:$D$1</definedName>
    <definedName name="_xlnm._FilterDatabase" localSheetId="0" hidden="1">'Recepcion de Producto'!$B$3:$LF$97</definedName>
    <definedName name="_xlnm._FilterDatabase" localSheetId="1" hidden="1">'Salida de Producto'!$B$3:$AFL$97</definedName>
    <definedName name="_xlnm.Print_Area" localSheetId="2">'Balance de Inventarios'!$C$3:$D$67</definedName>
    <definedName name="_xlnm.Print_Area" localSheetId="1">'Salida de Producto'!$C$3:$D$18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D36" i="2" l="1"/>
  <c r="AFD27" i="2"/>
  <c r="AFE27" i="2" l="1"/>
  <c r="AFE31" i="2"/>
  <c r="AFE30" i="2"/>
  <c r="AFE25" i="2"/>
  <c r="AFE62" i="2"/>
  <c r="AFE67" i="2"/>
  <c r="AFE36" i="2"/>
  <c r="AFE49" i="2"/>
  <c r="C100" i="3" l="1"/>
  <c r="AU69" i="3" l="1"/>
  <c r="AO63" i="3"/>
  <c r="AP64" i="3"/>
  <c r="AFA31" i="2"/>
  <c r="AM30" i="3"/>
  <c r="AFB62" i="2"/>
  <c r="AFB4" i="2"/>
  <c r="KS62" i="1" l="1"/>
  <c r="AP27" i="3"/>
  <c r="AM49" i="3"/>
  <c r="F60" i="3"/>
  <c r="F74" i="3"/>
  <c r="F84" i="3"/>
  <c r="F93" i="3"/>
  <c r="LF62" i="1"/>
  <c r="AP67" i="3"/>
  <c r="AP62" i="3"/>
  <c r="AU68" i="3"/>
  <c r="AU44" i="3" l="1"/>
  <c r="AU67" i="3"/>
  <c r="AU62" i="3"/>
  <c r="KT62" i="1"/>
  <c r="AO41" i="3"/>
  <c r="AL41" i="3"/>
  <c r="AO40" i="3"/>
  <c r="AN40" i="3"/>
  <c r="O39" i="3"/>
  <c r="AN38" i="3"/>
  <c r="AM38" i="3"/>
  <c r="AK38" i="3"/>
  <c r="AP36" i="3"/>
  <c r="AP35" i="3"/>
  <c r="AO31" i="3"/>
  <c r="AL31" i="3"/>
  <c r="AK31" i="3"/>
  <c r="AP30" i="3"/>
  <c r="AO30" i="3"/>
  <c r="AN4" i="3"/>
  <c r="AM4" i="3"/>
  <c r="AL4" i="3"/>
  <c r="AK4" i="3"/>
  <c r="AI4" i="3"/>
  <c r="AH4" i="3"/>
  <c r="AN45" i="3"/>
  <c r="Z95" i="3"/>
  <c r="AN69" i="3"/>
  <c r="AP68" i="3"/>
  <c r="AO68" i="3"/>
  <c r="AP63" i="3"/>
  <c r="AM45" i="3"/>
  <c r="AL45" i="3"/>
  <c r="AM44" i="3"/>
  <c r="AL44" i="3"/>
  <c r="AF17" i="3"/>
  <c r="AD17" i="3"/>
  <c r="KS36" i="1"/>
  <c r="KS64" i="1"/>
  <c r="KS69" i="1" l="1"/>
  <c r="AFC31" i="2" l="1"/>
  <c r="AFA36" i="2" l="1"/>
  <c r="AFA35" i="2"/>
  <c r="AFA25" i="2"/>
  <c r="AFA38" i="2"/>
  <c r="AFA62" i="2"/>
  <c r="AFA67" i="2"/>
  <c r="AFA27" i="2"/>
  <c r="AFA44" i="2"/>
  <c r="AFA63" i="2"/>
  <c r="AFA69" i="2"/>
  <c r="AFA4" i="2"/>
  <c r="AEY36" i="2" l="1"/>
  <c r="AEY30" i="2"/>
  <c r="AEY31" i="2"/>
  <c r="AEY27" i="2"/>
  <c r="AEX36" i="2"/>
  <c r="AEX27" i="2"/>
  <c r="KQ62" i="1" l="1"/>
  <c r="AEW36" i="2" l="1"/>
  <c r="AEW35" i="2"/>
  <c r="AEW27" i="2"/>
  <c r="AEW31" i="2"/>
  <c r="AEW38" i="2"/>
  <c r="AEV62" i="2"/>
  <c r="AV69" i="3" l="1"/>
  <c r="AW69" i="3" s="1"/>
  <c r="X12" i="3" l="1"/>
  <c r="U64" i="1" l="1"/>
  <c r="V64" i="1"/>
  <c r="AF64" i="1"/>
  <c r="AG64" i="1"/>
  <c r="AV64" i="1"/>
  <c r="AW64" i="1"/>
  <c r="BG64" i="1"/>
  <c r="BI64" i="1"/>
  <c r="CD64" i="1"/>
  <c r="CF64" i="1"/>
  <c r="CG64" i="1"/>
  <c r="CP64" i="1"/>
  <c r="DH64" i="1"/>
  <c r="DI64" i="1"/>
  <c r="DJ64" i="1"/>
  <c r="DK64" i="1"/>
  <c r="DN64" i="1"/>
  <c r="DO64" i="1"/>
  <c r="DP64" i="1"/>
  <c r="DQ64" i="1"/>
  <c r="DR64" i="1"/>
  <c r="EI64" i="1"/>
  <c r="EM64" i="1"/>
  <c r="EN64" i="1"/>
  <c r="EW64" i="1"/>
  <c r="EX64" i="1"/>
  <c r="FB64" i="1"/>
  <c r="FC64" i="1"/>
  <c r="FI64" i="1"/>
  <c r="FP64" i="1"/>
  <c r="FU64" i="1"/>
  <c r="FV64" i="1"/>
  <c r="GB64" i="1"/>
  <c r="GH64" i="1"/>
  <c r="GQ64" i="1"/>
  <c r="GR64" i="1"/>
  <c r="GS64" i="1"/>
  <c r="GT64" i="1"/>
  <c r="GV64" i="1"/>
  <c r="GW64" i="1"/>
  <c r="HB64" i="1"/>
  <c r="HD64" i="1"/>
  <c r="HI64" i="1"/>
  <c r="HM64" i="1"/>
  <c r="HO64" i="1"/>
  <c r="HP64" i="1"/>
  <c r="HQ64" i="1"/>
  <c r="IM64" i="1"/>
  <c r="IP64" i="1"/>
  <c r="IZ64" i="1"/>
  <c r="KA64" i="1"/>
  <c r="KR64" i="1"/>
  <c r="AEJ35" i="2"/>
  <c r="AFL69" i="2"/>
  <c r="F69" i="3" s="1"/>
  <c r="AES68" i="2"/>
  <c r="LF64" i="1" l="1"/>
  <c r="Z9" i="3"/>
  <c r="AU74" i="3"/>
  <c r="AZ69" i="3"/>
  <c r="AC95" i="3"/>
  <c r="AL85" i="3"/>
  <c r="X72" i="3"/>
  <c r="KR68" i="1" l="1"/>
  <c r="KR67" i="1"/>
  <c r="KR62" i="1"/>
  <c r="U58" i="3"/>
  <c r="AM21" i="3"/>
  <c r="AL16" i="3"/>
  <c r="KQ69" i="1" l="1"/>
  <c r="LF69" i="1" s="1"/>
  <c r="E69" i="3" s="1"/>
  <c r="KQ68" i="1"/>
  <c r="AL90" i="3"/>
  <c r="AP89" i="3"/>
  <c r="AN83" i="3"/>
  <c r="AN79" i="3"/>
  <c r="AO76" i="3"/>
  <c r="AN76" i="3"/>
  <c r="AO25" i="3"/>
  <c r="AN25" i="3"/>
  <c r="AN7" i="3"/>
  <c r="AN6" i="3"/>
  <c r="AN5" i="3"/>
  <c r="AU58" i="3"/>
  <c r="AU61" i="3"/>
  <c r="AU16" i="3"/>
  <c r="AU50" i="3"/>
  <c r="AH81" i="3"/>
  <c r="AF61" i="3"/>
  <c r="AF16" i="3"/>
  <c r="AU18" i="3" l="1"/>
  <c r="AU28" i="3"/>
  <c r="AU11" i="3"/>
  <c r="AU12" i="3"/>
  <c r="AU94" i="3"/>
  <c r="AU96" i="3"/>
  <c r="AU47" i="3"/>
  <c r="AL96" i="3"/>
  <c r="AJ96" i="3"/>
  <c r="AO87" i="3"/>
  <c r="AG59" i="3"/>
  <c r="AO56" i="3"/>
  <c r="AO51" i="3"/>
  <c r="Z48" i="3"/>
  <c r="X48" i="3"/>
  <c r="X47" i="3"/>
  <c r="AO29" i="3"/>
  <c r="M28" i="3"/>
  <c r="AL24" i="3"/>
  <c r="AG24" i="3"/>
  <c r="AN19" i="3"/>
  <c r="AH18" i="3"/>
  <c r="AF18" i="3"/>
  <c r="O18" i="3"/>
  <c r="AN13" i="3"/>
  <c r="AB11" i="3"/>
  <c r="T11" i="3"/>
  <c r="Z10" i="3"/>
  <c r="KM36" i="1"/>
  <c r="AN31" i="3"/>
  <c r="AM31" i="3"/>
  <c r="AQ71" i="3"/>
  <c r="AQ69" i="3"/>
  <c r="BA69" i="3" s="1"/>
  <c r="LF5" i="1" l="1"/>
  <c r="E5" i="3" s="1"/>
  <c r="LF6" i="1"/>
  <c r="E6" i="3" s="1"/>
  <c r="LF8" i="1"/>
  <c r="E8" i="3" s="1"/>
  <c r="LF9" i="1"/>
  <c r="E9" i="3" s="1"/>
  <c r="LF10" i="1"/>
  <c r="E10" i="3" s="1"/>
  <c r="LF12" i="1"/>
  <c r="E12" i="3" s="1"/>
  <c r="LF13" i="1"/>
  <c r="E13" i="3" s="1"/>
  <c r="LF14" i="1"/>
  <c r="E14" i="3" s="1"/>
  <c r="LF15" i="1"/>
  <c r="E15" i="3" s="1"/>
  <c r="LF18" i="1"/>
  <c r="E18" i="3" s="1"/>
  <c r="LF19" i="1"/>
  <c r="E19" i="3" s="1"/>
  <c r="LF23" i="1"/>
  <c r="E23" i="3" s="1"/>
  <c r="LF34" i="1"/>
  <c r="E34" i="3" s="1"/>
  <c r="LF39" i="1"/>
  <c r="E39" i="3" s="1"/>
  <c r="LF42" i="1"/>
  <c r="E42" i="3" s="1"/>
  <c r="LF43" i="1"/>
  <c r="E43" i="3" s="1"/>
  <c r="LF47" i="1"/>
  <c r="E47" i="3" s="1"/>
  <c r="LF48" i="1"/>
  <c r="E48" i="3" s="1"/>
  <c r="LF50" i="1"/>
  <c r="E50" i="3" s="1"/>
  <c r="LF51" i="1"/>
  <c r="E51" i="3" s="1"/>
  <c r="LF53" i="1"/>
  <c r="E53" i="3" s="1"/>
  <c r="LF54" i="1"/>
  <c r="E54" i="3" s="1"/>
  <c r="LF55" i="1"/>
  <c r="E55" i="3" s="1"/>
  <c r="LF56" i="1"/>
  <c r="E56" i="3" s="1"/>
  <c r="LF57" i="1"/>
  <c r="E57" i="3" s="1"/>
  <c r="LF59" i="1"/>
  <c r="E59" i="3" s="1"/>
  <c r="LF60" i="1"/>
  <c r="LF61" i="1"/>
  <c r="LF65" i="1"/>
  <c r="E65" i="3" s="1"/>
  <c r="LF71" i="1"/>
  <c r="E71" i="3" s="1"/>
  <c r="LF72" i="1"/>
  <c r="E72" i="3" s="1"/>
  <c r="LF76" i="1"/>
  <c r="E76" i="3" s="1"/>
  <c r="LF79" i="1"/>
  <c r="E79" i="3" s="1"/>
  <c r="LF81" i="1"/>
  <c r="E81" i="3" s="1"/>
  <c r="LF82" i="1"/>
  <c r="E82" i="3" s="1"/>
  <c r="LF83" i="1"/>
  <c r="E83" i="3" s="1"/>
  <c r="LF84" i="1"/>
  <c r="E84" i="3" s="1"/>
  <c r="LF85" i="1"/>
  <c r="E85" i="3" s="1"/>
  <c r="LF86" i="1"/>
  <c r="E86" i="3" s="1"/>
  <c r="LF87" i="1"/>
  <c r="E87" i="3" s="1"/>
  <c r="LF89" i="1"/>
  <c r="E89" i="3" s="1"/>
  <c r="LF90" i="1"/>
  <c r="E90" i="3" s="1"/>
  <c r="LF91" i="1"/>
  <c r="E91" i="3" s="1"/>
  <c r="LF93" i="1"/>
  <c r="E93" i="3" s="1"/>
  <c r="LF94" i="1"/>
  <c r="E94" i="3" s="1"/>
  <c r="LF95" i="1"/>
  <c r="E95" i="3" s="1"/>
  <c r="LF96" i="1"/>
  <c r="E96" i="3" s="1"/>
  <c r="LF97" i="1"/>
  <c r="E97" i="3" s="1"/>
  <c r="KQ67" i="1"/>
  <c r="E61" i="3" l="1"/>
  <c r="E60" i="3"/>
  <c r="H69" i="3"/>
  <c r="AY69" i="3" s="1"/>
  <c r="KN68" i="1"/>
  <c r="KN67" i="1"/>
  <c r="AES36" i="2"/>
  <c r="AES83" i="2"/>
  <c r="AES63" i="2" l="1"/>
  <c r="AES44" i="2"/>
  <c r="AES67" i="2"/>
  <c r="AES27" i="2"/>
  <c r="AER31" i="2" l="1"/>
  <c r="AER45" i="2"/>
  <c r="AEQ62" i="2" l="1"/>
  <c r="AEQ67" i="2"/>
  <c r="AEQ36" i="2"/>
  <c r="AEQ40" i="2"/>
  <c r="AEQ27" i="2"/>
  <c r="AEQ31" i="2"/>
  <c r="AEQ30" i="2"/>
  <c r="AEQ4" i="2"/>
  <c r="AEQ63" i="2"/>
  <c r="AEQ68" i="2"/>
  <c r="AEQ25" i="2"/>
  <c r="AEP83" i="2" l="1"/>
  <c r="AEP36" i="2"/>
  <c r="AEP67" i="2"/>
  <c r="AEP31" i="2"/>
  <c r="AEP27" i="2"/>
  <c r="AEP35" i="2" l="1"/>
  <c r="AEO31" i="2" l="1"/>
  <c r="AEN31" i="2" l="1"/>
  <c r="AEM63" i="2"/>
  <c r="AEL68" i="2" l="1"/>
  <c r="AEL31" i="2"/>
  <c r="AEL27" i="2"/>
  <c r="ADS63" i="2" l="1"/>
  <c r="ADK64" i="2"/>
  <c r="ADG64" i="2"/>
  <c r="ADF64" i="2"/>
  <c r="ADD64" i="2"/>
  <c r="ABT63" i="2"/>
  <c r="KG63" i="1" l="1"/>
  <c r="AFL35" i="2"/>
  <c r="F35" i="3" s="1"/>
  <c r="AQ5" i="3" l="1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70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4" i="3"/>
  <c r="KJ63" i="1" l="1"/>
  <c r="AEK35" i="2" l="1"/>
  <c r="AEK31" i="2" l="1"/>
  <c r="KL63" i="1" l="1"/>
  <c r="LF63" i="1" s="1"/>
  <c r="E63" i="3" s="1"/>
  <c r="ACA63" i="2"/>
  <c r="ABZ63" i="2"/>
  <c r="AEK67" i="2" l="1"/>
  <c r="AEJ31" i="2" l="1"/>
  <c r="AEI63" i="2" l="1"/>
  <c r="AEI62" i="2"/>
  <c r="AEI67" i="2"/>
  <c r="AEI68" i="2"/>
  <c r="AEI36" i="2"/>
  <c r="AEI27" i="2"/>
  <c r="AEI31" i="2"/>
  <c r="AEI30" i="2"/>
  <c r="AEI4" i="2"/>
  <c r="AEI25" i="2"/>
  <c r="AEI38" i="2"/>
  <c r="AEI35" i="2"/>
  <c r="AEH35" i="2" l="1"/>
  <c r="AEH31" i="2"/>
  <c r="AEH80" i="2"/>
  <c r="AEH63" i="2"/>
  <c r="AEH68" i="2"/>
  <c r="AEH36" i="2"/>
  <c r="AEH41" i="2"/>
  <c r="AEH40" i="2"/>
  <c r="AEH27" i="2"/>
  <c r="AEG36" i="2"/>
  <c r="AEG27" i="2"/>
  <c r="AEG31" i="2"/>
  <c r="AEG4" i="2"/>
  <c r="AEG62" i="2"/>
  <c r="AEF62" i="2"/>
  <c r="AEF36" i="2"/>
  <c r="AEF27" i="2"/>
  <c r="AEF31" i="2"/>
  <c r="AEE36" i="2" l="1"/>
  <c r="AEE35" i="2"/>
  <c r="AEE27" i="2"/>
  <c r="AEE31" i="2"/>
  <c r="AEE67" i="2"/>
  <c r="AED31" i="2" l="1"/>
  <c r="AED27" i="2"/>
  <c r="AED67" i="2"/>
  <c r="AED36" i="2"/>
  <c r="AED30" i="2"/>
  <c r="AED62" i="2"/>
  <c r="AFL63" i="2" l="1"/>
  <c r="F63" i="3" s="1"/>
  <c r="AFL62" i="2"/>
  <c r="F62" i="3" s="1"/>
  <c r="AZ63" i="3"/>
  <c r="BA63" i="3" s="1"/>
  <c r="AV63" i="3"/>
  <c r="AW63" i="3" s="1"/>
  <c r="H63" i="3" l="1"/>
  <c r="AY63" i="3" s="1"/>
  <c r="AL94" i="3" l="1"/>
  <c r="AL86" i="3"/>
  <c r="Z47" i="3"/>
  <c r="R47" i="3"/>
  <c r="V58" i="3" l="1"/>
  <c r="ADU62" i="2" l="1"/>
  <c r="ADU67" i="2"/>
  <c r="AO91" i="3" l="1"/>
  <c r="T50" i="3"/>
  <c r="AFL4" i="2" l="1"/>
  <c r="F4" i="3" s="1"/>
  <c r="AL17" i="3"/>
  <c r="AO79" i="3" l="1"/>
  <c r="AO83" i="3"/>
  <c r="AV27" i="3"/>
  <c r="AW27" i="3" s="1"/>
  <c r="AZ27" i="3"/>
  <c r="BA27" i="3" l="1"/>
  <c r="ADY36" i="2"/>
  <c r="ADY35" i="2"/>
  <c r="ADY30" i="2"/>
  <c r="ADY4" i="2"/>
  <c r="ADY31" i="2"/>
  <c r="AFL5" i="2" l="1"/>
  <c r="F5" i="3" s="1"/>
  <c r="AFL7" i="2"/>
  <c r="F7" i="3" s="1"/>
  <c r="AFL8" i="2"/>
  <c r="F8" i="3" s="1"/>
  <c r="AFL9" i="2"/>
  <c r="F9" i="3" s="1"/>
  <c r="AFL10" i="2"/>
  <c r="F10" i="3" s="1"/>
  <c r="AFL11" i="2"/>
  <c r="F11" i="3" s="1"/>
  <c r="AFL12" i="2"/>
  <c r="F12" i="3" s="1"/>
  <c r="AFL14" i="2"/>
  <c r="F14" i="3" s="1"/>
  <c r="AFL15" i="2"/>
  <c r="F15" i="3" s="1"/>
  <c r="AFL16" i="2"/>
  <c r="F16" i="3" s="1"/>
  <c r="AFL17" i="2"/>
  <c r="F17" i="3" s="1"/>
  <c r="AFL18" i="2"/>
  <c r="F18" i="3" s="1"/>
  <c r="AFL19" i="2"/>
  <c r="F19" i="3" s="1"/>
  <c r="AFL20" i="2"/>
  <c r="F20" i="3" s="1"/>
  <c r="AFL21" i="2"/>
  <c r="F21" i="3" s="1"/>
  <c r="AFL22" i="2"/>
  <c r="F22" i="3" s="1"/>
  <c r="AFL23" i="2"/>
  <c r="F23" i="3" s="1"/>
  <c r="AFL24" i="2"/>
  <c r="F24" i="3" s="1"/>
  <c r="AFL25" i="2"/>
  <c r="F25" i="3" s="1"/>
  <c r="AFL26" i="2"/>
  <c r="F26" i="3" s="1"/>
  <c r="AFL27" i="2"/>
  <c r="F27" i="3" s="1"/>
  <c r="AFL28" i="2"/>
  <c r="F28" i="3" s="1"/>
  <c r="AFL29" i="2"/>
  <c r="F29" i="3" s="1"/>
  <c r="AFL30" i="2"/>
  <c r="F30" i="3" s="1"/>
  <c r="AFL31" i="2"/>
  <c r="F31" i="3" s="1"/>
  <c r="AFL32" i="2"/>
  <c r="F32" i="3" s="1"/>
  <c r="AFL33" i="2"/>
  <c r="F33" i="3" s="1"/>
  <c r="AFL34" i="2"/>
  <c r="F34" i="3" s="1"/>
  <c r="AFL36" i="2"/>
  <c r="F36" i="3" s="1"/>
  <c r="AFL37" i="2"/>
  <c r="F37" i="3" s="1"/>
  <c r="AFL38" i="2"/>
  <c r="F38" i="3" s="1"/>
  <c r="AFL39" i="2"/>
  <c r="F39" i="3" s="1"/>
  <c r="AFL40" i="2"/>
  <c r="F40" i="3" s="1"/>
  <c r="AFL41" i="2"/>
  <c r="F41" i="3" s="1"/>
  <c r="AFL42" i="2"/>
  <c r="F42" i="3" s="1"/>
  <c r="AFL43" i="2"/>
  <c r="F43" i="3" s="1"/>
  <c r="AFL44" i="2"/>
  <c r="F44" i="3" s="1"/>
  <c r="AFL45" i="2"/>
  <c r="F45" i="3" s="1"/>
  <c r="AFL46" i="2"/>
  <c r="F46" i="3" s="1"/>
  <c r="AFL47" i="2"/>
  <c r="F47" i="3" s="1"/>
  <c r="AFL48" i="2"/>
  <c r="F48" i="3" s="1"/>
  <c r="AFL49" i="2"/>
  <c r="F49" i="3" s="1"/>
  <c r="AFL50" i="2"/>
  <c r="F50" i="3" s="1"/>
  <c r="AFL51" i="2"/>
  <c r="F51" i="3" s="1"/>
  <c r="AFL52" i="2"/>
  <c r="F52" i="3" s="1"/>
  <c r="AFL53" i="2"/>
  <c r="F53" i="3" s="1"/>
  <c r="AFL54" i="2"/>
  <c r="F54" i="3" s="1"/>
  <c r="AFL55" i="2"/>
  <c r="F55" i="3" s="1"/>
  <c r="AFL56" i="2"/>
  <c r="F56" i="3" s="1"/>
  <c r="AFL57" i="2"/>
  <c r="F57" i="3" s="1"/>
  <c r="AFL58" i="2"/>
  <c r="F58" i="3" s="1"/>
  <c r="AFL59" i="2"/>
  <c r="F59" i="3" s="1"/>
  <c r="AFL60" i="2"/>
  <c r="AFL61" i="2"/>
  <c r="F61" i="3" s="1"/>
  <c r="AFL64" i="2"/>
  <c r="F64" i="3" s="1"/>
  <c r="AFL65" i="2"/>
  <c r="F65" i="3" s="1"/>
  <c r="AFL66" i="2"/>
  <c r="F66" i="3" s="1"/>
  <c r="AFL67" i="2"/>
  <c r="F67" i="3" s="1"/>
  <c r="AFL68" i="2"/>
  <c r="F68" i="3" s="1"/>
  <c r="AFL70" i="2"/>
  <c r="F70" i="3" s="1"/>
  <c r="AFL71" i="2"/>
  <c r="F71" i="3" s="1"/>
  <c r="AFL72" i="2"/>
  <c r="F72" i="3" s="1"/>
  <c r="AFL73" i="2"/>
  <c r="F73" i="3" s="1"/>
  <c r="AFL74" i="2"/>
  <c r="AFL75" i="2"/>
  <c r="F75" i="3" s="1"/>
  <c r="AFL76" i="2"/>
  <c r="F76" i="3" s="1"/>
  <c r="AFL77" i="2"/>
  <c r="F77" i="3" s="1"/>
  <c r="AFL78" i="2"/>
  <c r="F78" i="3" s="1"/>
  <c r="AFL79" i="2"/>
  <c r="F79" i="3" s="1"/>
  <c r="AFL80" i="2"/>
  <c r="F80" i="3" s="1"/>
  <c r="AFL81" i="2"/>
  <c r="F81" i="3" s="1"/>
  <c r="AFL82" i="2"/>
  <c r="F82" i="3" s="1"/>
  <c r="AFL83" i="2"/>
  <c r="F83" i="3" s="1"/>
  <c r="AFL84" i="2"/>
  <c r="AFL85" i="2"/>
  <c r="F85" i="3" s="1"/>
  <c r="AFL86" i="2"/>
  <c r="F86" i="3" s="1"/>
  <c r="AFL87" i="2"/>
  <c r="F87" i="3" s="1"/>
  <c r="AFL88" i="2"/>
  <c r="F88" i="3" s="1"/>
  <c r="AFL89" i="2"/>
  <c r="F89" i="3" s="1"/>
  <c r="AFL90" i="2"/>
  <c r="F90" i="3" s="1"/>
  <c r="AFL91" i="2"/>
  <c r="F91" i="3" s="1"/>
  <c r="AFL92" i="2"/>
  <c r="F92" i="3" s="1"/>
  <c r="AFL93" i="2"/>
  <c r="AFL94" i="2"/>
  <c r="F94" i="3" s="1"/>
  <c r="AFL95" i="2"/>
  <c r="F95" i="3" s="1"/>
  <c r="AFL96" i="2"/>
  <c r="F96" i="3" s="1"/>
  <c r="AFL97" i="2"/>
  <c r="F97" i="3" s="1"/>
  <c r="H61" i="3" l="1"/>
  <c r="ADY27" i="2"/>
  <c r="ADX62" i="2" l="1"/>
  <c r="ADX27" i="2"/>
  <c r="ADX31" i="2"/>
  <c r="ADW62" i="2"/>
  <c r="ADW67" i="2"/>
  <c r="ADW36" i="2"/>
  <c r="ADW27" i="2"/>
  <c r="ADW31" i="2"/>
  <c r="ADW5" i="2"/>
  <c r="ADV31" i="2"/>
  <c r="ADV30" i="2"/>
  <c r="ADV35" i="2"/>
  <c r="ADU68" i="2" l="1"/>
  <c r="KF31" i="1" l="1"/>
  <c r="KF67" i="1"/>
  <c r="KF68" i="1"/>
  <c r="ADU36" i="2" l="1"/>
  <c r="ADU35" i="2"/>
  <c r="ADU30" i="2"/>
  <c r="ADU25" i="2"/>
  <c r="ADU27" i="2"/>
  <c r="ADU4" i="2"/>
  <c r="ADT49" i="2"/>
  <c r="ADT27" i="2"/>
  <c r="ADT31" i="2"/>
  <c r="ADT67" i="2"/>
  <c r="ADT36" i="2"/>
  <c r="ADS62" i="2" l="1"/>
  <c r="ADS67" i="2"/>
  <c r="ADS27" i="2"/>
  <c r="AV51" i="3" l="1"/>
  <c r="AW51" i="3" s="1"/>
  <c r="AZ51" i="3"/>
  <c r="BA51" i="3" s="1"/>
  <c r="AV52" i="3"/>
  <c r="AW52" i="3" s="1"/>
  <c r="AZ52" i="3"/>
  <c r="AV53" i="3"/>
  <c r="AW53" i="3" s="1"/>
  <c r="AZ53" i="3"/>
  <c r="AV54" i="3"/>
  <c r="AW54" i="3" s="1"/>
  <c r="AZ54" i="3"/>
  <c r="AV55" i="3"/>
  <c r="AW55" i="3" s="1"/>
  <c r="AZ55" i="3"/>
  <c r="AV56" i="3"/>
  <c r="AW56" i="3" s="1"/>
  <c r="AZ56" i="3"/>
  <c r="BA56" i="3" s="1"/>
  <c r="AV57" i="3"/>
  <c r="AW57" i="3" s="1"/>
  <c r="AZ57" i="3"/>
  <c r="AV58" i="3"/>
  <c r="AW58" i="3" s="1"/>
  <c r="AZ58" i="3"/>
  <c r="AV59" i="3"/>
  <c r="AW59" i="3" s="1"/>
  <c r="AZ59" i="3"/>
  <c r="AV60" i="3"/>
  <c r="AW60" i="3" s="1"/>
  <c r="AZ60" i="3"/>
  <c r="AV61" i="3"/>
  <c r="AW61" i="3" s="1"/>
  <c r="AZ61" i="3"/>
  <c r="AV62" i="3"/>
  <c r="AZ62" i="3"/>
  <c r="AV64" i="3"/>
  <c r="AW64" i="3" s="1"/>
  <c r="AZ64" i="3"/>
  <c r="AV65" i="3"/>
  <c r="AW65" i="3" s="1"/>
  <c r="AZ65" i="3"/>
  <c r="AV66" i="3"/>
  <c r="AW66" i="3" s="1"/>
  <c r="AZ66" i="3"/>
  <c r="AV67" i="3"/>
  <c r="AZ67" i="3"/>
  <c r="AV68" i="3"/>
  <c r="AZ68" i="3"/>
  <c r="AV70" i="3"/>
  <c r="AW70" i="3" s="1"/>
  <c r="AZ70" i="3"/>
  <c r="AV71" i="3"/>
  <c r="AW71" i="3" s="1"/>
  <c r="AZ71" i="3"/>
  <c r="AV72" i="3"/>
  <c r="AW72" i="3" s="1"/>
  <c r="AZ72" i="3"/>
  <c r="AV73" i="3"/>
  <c r="AW73" i="3" s="1"/>
  <c r="AZ73" i="3"/>
  <c r="AV74" i="3"/>
  <c r="AW74" i="3" s="1"/>
  <c r="AZ74" i="3"/>
  <c r="AV75" i="3"/>
  <c r="AW75" i="3" s="1"/>
  <c r="AZ75" i="3"/>
  <c r="AV76" i="3"/>
  <c r="AW76" i="3" s="1"/>
  <c r="AZ76" i="3"/>
  <c r="AV77" i="3"/>
  <c r="AW77" i="3" s="1"/>
  <c r="AZ77" i="3"/>
  <c r="AV78" i="3"/>
  <c r="AW78" i="3" s="1"/>
  <c r="AZ78" i="3"/>
  <c r="AV79" i="3"/>
  <c r="AW79" i="3" s="1"/>
  <c r="AZ79" i="3"/>
  <c r="AV80" i="3"/>
  <c r="AZ80" i="3"/>
  <c r="AV81" i="3"/>
  <c r="AW81" i="3" s="1"/>
  <c r="AZ81" i="3"/>
  <c r="AV82" i="3"/>
  <c r="AW82" i="3" s="1"/>
  <c r="AZ82" i="3"/>
  <c r="AV83" i="3"/>
  <c r="AW83" i="3" s="1"/>
  <c r="AZ83" i="3"/>
  <c r="AV84" i="3"/>
  <c r="AW84" i="3" s="1"/>
  <c r="AZ84" i="3"/>
  <c r="AV85" i="3"/>
  <c r="AW85" i="3" s="1"/>
  <c r="AZ85" i="3"/>
  <c r="AV86" i="3"/>
  <c r="AW86" i="3" s="1"/>
  <c r="AZ86" i="3"/>
  <c r="AV87" i="3"/>
  <c r="AW87" i="3" s="1"/>
  <c r="AZ87" i="3"/>
  <c r="AV88" i="3"/>
  <c r="AW88" i="3" s="1"/>
  <c r="AZ88" i="3"/>
  <c r="AV89" i="3"/>
  <c r="AW89" i="3" s="1"/>
  <c r="AZ89" i="3"/>
  <c r="AV90" i="3"/>
  <c r="AW90" i="3" s="1"/>
  <c r="AZ90" i="3"/>
  <c r="AV91" i="3"/>
  <c r="AW91" i="3" s="1"/>
  <c r="AZ91" i="3"/>
  <c r="AV92" i="3"/>
  <c r="AW92" i="3" s="1"/>
  <c r="AZ92" i="3"/>
  <c r="AV93" i="3"/>
  <c r="AW93" i="3" s="1"/>
  <c r="AZ93" i="3"/>
  <c r="AV94" i="3"/>
  <c r="AW94" i="3" s="1"/>
  <c r="AZ94" i="3"/>
  <c r="AV95" i="3"/>
  <c r="AW95" i="3" s="1"/>
  <c r="AZ95" i="3"/>
  <c r="AV96" i="3"/>
  <c r="AW96" i="3" s="1"/>
  <c r="AZ96" i="3"/>
  <c r="AV97" i="3"/>
  <c r="AW97" i="3" s="1"/>
  <c r="AZ97" i="3"/>
  <c r="AV5" i="3"/>
  <c r="AW5" i="3" s="1"/>
  <c r="AZ5" i="3"/>
  <c r="AV6" i="3"/>
  <c r="AW6" i="3" s="1"/>
  <c r="AZ6" i="3"/>
  <c r="AV7" i="3"/>
  <c r="AW7" i="3" s="1"/>
  <c r="AZ7" i="3"/>
  <c r="AV8" i="3"/>
  <c r="AW8" i="3" s="1"/>
  <c r="AZ8" i="3"/>
  <c r="AV9" i="3"/>
  <c r="AW9" i="3" s="1"/>
  <c r="AZ9" i="3"/>
  <c r="AV10" i="3"/>
  <c r="AW10" i="3" s="1"/>
  <c r="AZ10" i="3"/>
  <c r="AV11" i="3"/>
  <c r="AW11" i="3" s="1"/>
  <c r="AZ11" i="3"/>
  <c r="AV12" i="3"/>
  <c r="AW12" i="3" s="1"/>
  <c r="AZ12" i="3"/>
  <c r="AV13" i="3"/>
  <c r="AW13" i="3" s="1"/>
  <c r="AZ13" i="3"/>
  <c r="AV14" i="3"/>
  <c r="AW14" i="3" s="1"/>
  <c r="AZ14" i="3"/>
  <c r="AV15" i="3"/>
  <c r="AW15" i="3" s="1"/>
  <c r="AZ15" i="3"/>
  <c r="AV16" i="3"/>
  <c r="AW16" i="3" s="1"/>
  <c r="AZ16" i="3"/>
  <c r="AV17" i="3"/>
  <c r="AW17" i="3" s="1"/>
  <c r="AZ17" i="3"/>
  <c r="AV18" i="3"/>
  <c r="AW18" i="3" s="1"/>
  <c r="AZ18" i="3"/>
  <c r="AV19" i="3"/>
  <c r="AW19" i="3" s="1"/>
  <c r="AZ19" i="3"/>
  <c r="AV20" i="3"/>
  <c r="AW20" i="3" s="1"/>
  <c r="AZ20" i="3"/>
  <c r="AV21" i="3"/>
  <c r="AW21" i="3" s="1"/>
  <c r="AZ21" i="3"/>
  <c r="AV22" i="3"/>
  <c r="AW22" i="3" s="1"/>
  <c r="AZ22" i="3"/>
  <c r="AV23" i="3"/>
  <c r="AW23" i="3" s="1"/>
  <c r="AZ23" i="3"/>
  <c r="AV24" i="3"/>
  <c r="AW24" i="3" s="1"/>
  <c r="AZ24" i="3"/>
  <c r="AV25" i="3"/>
  <c r="AW25" i="3" s="1"/>
  <c r="AZ25" i="3"/>
  <c r="AV26" i="3"/>
  <c r="AW26" i="3" s="1"/>
  <c r="AZ26" i="3"/>
  <c r="AV28" i="3"/>
  <c r="AW28" i="3" s="1"/>
  <c r="AZ28" i="3"/>
  <c r="AV29" i="3"/>
  <c r="AW29" i="3" s="1"/>
  <c r="AZ29" i="3"/>
  <c r="AV30" i="3"/>
  <c r="AW30" i="3" s="1"/>
  <c r="AZ30" i="3"/>
  <c r="AV31" i="3"/>
  <c r="AW31" i="3" s="1"/>
  <c r="AZ31" i="3"/>
  <c r="AV32" i="3"/>
  <c r="AW32" i="3" s="1"/>
  <c r="AZ32" i="3"/>
  <c r="AV33" i="3"/>
  <c r="AW33" i="3" s="1"/>
  <c r="AZ33" i="3"/>
  <c r="AV34" i="3"/>
  <c r="AW34" i="3" s="1"/>
  <c r="AZ34" i="3"/>
  <c r="AV35" i="3"/>
  <c r="AW35" i="3" s="1"/>
  <c r="AZ35" i="3"/>
  <c r="BA35" i="3" s="1"/>
  <c r="AV36" i="3"/>
  <c r="AW36" i="3" s="1"/>
  <c r="AZ36" i="3"/>
  <c r="AV37" i="3"/>
  <c r="AW37" i="3" s="1"/>
  <c r="AZ37" i="3"/>
  <c r="AV38" i="3"/>
  <c r="AW38" i="3" s="1"/>
  <c r="AZ38" i="3"/>
  <c r="AV39" i="3"/>
  <c r="AW39" i="3" s="1"/>
  <c r="AZ39" i="3"/>
  <c r="AV40" i="3"/>
  <c r="AW40" i="3" s="1"/>
  <c r="AZ40" i="3"/>
  <c r="AV41" i="3"/>
  <c r="AW41" i="3" s="1"/>
  <c r="AZ41" i="3"/>
  <c r="AV42" i="3"/>
  <c r="AW42" i="3" s="1"/>
  <c r="AZ42" i="3"/>
  <c r="AV43" i="3"/>
  <c r="AW43" i="3" s="1"/>
  <c r="AZ43" i="3"/>
  <c r="AV44" i="3"/>
  <c r="AW44" i="3" s="1"/>
  <c r="AZ44" i="3"/>
  <c r="AV45" i="3"/>
  <c r="AW45" i="3" s="1"/>
  <c r="AZ45" i="3"/>
  <c r="AV46" i="3"/>
  <c r="AW46" i="3" s="1"/>
  <c r="AZ46" i="3"/>
  <c r="AV47" i="3"/>
  <c r="AW47" i="3" s="1"/>
  <c r="AZ47" i="3"/>
  <c r="AV48" i="3"/>
  <c r="AW48" i="3" s="1"/>
  <c r="AZ48" i="3"/>
  <c r="AV49" i="3"/>
  <c r="AW49" i="3" s="1"/>
  <c r="AZ49" i="3"/>
  <c r="AV50" i="3"/>
  <c r="AW50" i="3" s="1"/>
  <c r="AZ50" i="3"/>
  <c r="AW80" i="3" l="1"/>
  <c r="AW68" i="3"/>
  <c r="AW62" i="3"/>
  <c r="AW67" i="3"/>
  <c r="ADQ68" i="2" l="1"/>
  <c r="ADQ62" i="2"/>
  <c r="ADQ36" i="2"/>
  <c r="ADP27" i="2"/>
  <c r="ADQ31" i="2"/>
  <c r="ADP62" i="2"/>
  <c r="ADR68" i="2" l="1"/>
  <c r="ADR62" i="2"/>
  <c r="ADR67" i="2"/>
  <c r="ADR31" i="2"/>
  <c r="KE62" i="1" l="1"/>
  <c r="ADO36" i="2" l="1"/>
  <c r="ADP41" i="2" l="1"/>
  <c r="ADP67" i="2"/>
  <c r="ADP68" i="2"/>
  <c r="ADO62" i="2" l="1"/>
  <c r="ADO31" i="2"/>
  <c r="ADO27" i="2"/>
  <c r="ADN67" i="2" l="1"/>
  <c r="ADN36" i="2"/>
  <c r="ADN31" i="2"/>
  <c r="ADM62" i="2" l="1"/>
  <c r="ADM31" i="2"/>
  <c r="ADM27" i="2"/>
  <c r="H51" i="3" l="1"/>
  <c r="AY51" i="3" s="1"/>
  <c r="H56" i="3"/>
  <c r="AY56" i="3" s="1"/>
  <c r="KC67" i="1"/>
  <c r="ADL36" i="2" l="1"/>
  <c r="ADK49" i="2" l="1"/>
  <c r="ADK62" i="2" l="1"/>
  <c r="ADK36" i="2"/>
  <c r="ADK35" i="2"/>
  <c r="ADK27" i="2"/>
  <c r="ADK31" i="2"/>
  <c r="ADK25" i="2"/>
  <c r="ADK68" i="2"/>
  <c r="ADK79" i="2"/>
  <c r="ADK30" i="2"/>
  <c r="ADK4" i="2"/>
  <c r="ADK40" i="2" l="1"/>
  <c r="ADK20" i="2"/>
  <c r="ADI31" i="2" l="1"/>
  <c r="ADI36" i="2"/>
  <c r="ADI62" i="2"/>
  <c r="ADI35" i="2"/>
  <c r="JZ36" i="1" l="1"/>
  <c r="ADG62" i="2" l="1"/>
  <c r="ADG27" i="2"/>
  <c r="ADG31" i="2"/>
  <c r="ADG4" i="2"/>
  <c r="ADG36" i="2"/>
  <c r="ADG30" i="2"/>
  <c r="ADF45" i="2"/>
  <c r="ADF36" i="2"/>
  <c r="ADF35" i="2"/>
  <c r="ADF27" i="2"/>
  <c r="ADF31" i="2"/>
  <c r="ADF30" i="2"/>
  <c r="ADF94" i="2"/>
  <c r="ADF25" i="2"/>
  <c r="ADF62" i="2"/>
  <c r="ADF68" i="2"/>
  <c r="BA50" i="3" l="1"/>
  <c r="ADD62" i="2" l="1"/>
  <c r="ADD68" i="2"/>
  <c r="ADD27" i="2"/>
  <c r="ADD31" i="2"/>
  <c r="ADD4" i="2"/>
  <c r="ADC62" i="2" l="1"/>
  <c r="ADC68" i="2"/>
  <c r="ADC35" i="2"/>
  <c r="ADC27" i="2"/>
  <c r="ADC31" i="2"/>
  <c r="ADC30" i="2"/>
  <c r="ADC36" i="2"/>
  <c r="ADC41" i="2"/>
  <c r="ADA62" i="2" l="1"/>
  <c r="ACZ62" i="2"/>
  <c r="ADA31" i="2"/>
  <c r="ADA36" i="2"/>
  <c r="ACZ68" i="2"/>
  <c r="ACZ36" i="2"/>
  <c r="ACZ35" i="2"/>
  <c r="ACZ29" i="2"/>
  <c r="ACZ27" i="2"/>
  <c r="ACZ73" i="2"/>
  <c r="ACY27" i="2" l="1"/>
  <c r="ACY31" i="2"/>
  <c r="ACX31" i="2"/>
  <c r="ACX27" i="2"/>
  <c r="ACX35" i="2"/>
  <c r="ACX62" i="2"/>
  <c r="ACX4" i="2" l="1"/>
  <c r="ACW67" i="2" l="1"/>
  <c r="ACW31" i="2"/>
  <c r="ACW27" i="2" l="1"/>
  <c r="ACV44" i="2" l="1"/>
  <c r="ACV27" i="2"/>
  <c r="ACU31" i="2"/>
  <c r="ACU35" i="2"/>
  <c r="ACU41" i="2"/>
  <c r="ACU89" i="2"/>
  <c r="ACU30" i="2"/>
  <c r="ACU66" i="2"/>
  <c r="ACU4" i="2"/>
  <c r="ACU62" i="2"/>
  <c r="ACU67" i="2"/>
  <c r="ACU36" i="2"/>
  <c r="ACS44" i="2" l="1"/>
  <c r="ACS62" i="2"/>
  <c r="ACS67" i="2"/>
  <c r="ACS31" i="2"/>
  <c r="ACS36" i="2" l="1"/>
  <c r="ACR36" i="2" l="1"/>
  <c r="ACR30" i="2"/>
  <c r="ACR62" i="2"/>
  <c r="ACR31" i="2"/>
  <c r="ACR25" i="2"/>
  <c r="ACQ62" i="2" l="1"/>
  <c r="ACQ67" i="2"/>
  <c r="ACQ36" i="2"/>
  <c r="ACQ79" i="2"/>
  <c r="ACQ27" i="2"/>
  <c r="ACQ31" i="2"/>
  <c r="ACQ30" i="2"/>
  <c r="ACQ25" i="2"/>
  <c r="ACQ4" i="2"/>
  <c r="ACK27" i="2" l="1"/>
  <c r="ACM35" i="2" l="1"/>
  <c r="ACM30" i="2"/>
  <c r="ACM20" i="2"/>
  <c r="ACM62" i="2"/>
  <c r="AM96" i="3" l="1"/>
  <c r="ACG31" i="2" l="1"/>
  <c r="ACK67" i="2"/>
  <c r="ACK62" i="2" l="1"/>
  <c r="ACK68" i="2"/>
  <c r="ACK36" i="2"/>
  <c r="ACK31" i="2"/>
  <c r="ACK91" i="2"/>
  <c r="ACI36" i="2"/>
  <c r="ACI35" i="2"/>
  <c r="ACI41" i="2"/>
  <c r="ACI27" i="2"/>
  <c r="ACI31" i="2"/>
  <c r="ACI30" i="2"/>
  <c r="ACI20" i="2"/>
  <c r="ACI4" i="2"/>
  <c r="ACJ62" i="2"/>
  <c r="ACJ67" i="2"/>
  <c r="ACJ8" i="2"/>
  <c r="ACJ27" i="2"/>
  <c r="ACJ31" i="2"/>
  <c r="ACJ30" i="2"/>
  <c r="ACJ40" i="2"/>
  <c r="ACJ66" i="2"/>
  <c r="ACJ38" i="2"/>
  <c r="ACH62" i="2"/>
  <c r="ACH36" i="2"/>
  <c r="ACH27" i="2"/>
  <c r="ACC31" i="2" l="1"/>
  <c r="ACA31" i="2"/>
  <c r="ABZ31" i="2"/>
  <c r="ABX31" i="2"/>
  <c r="AV4" i="3" l="1"/>
  <c r="AZ4" i="3" l="1"/>
  <c r="BA14" i="3"/>
  <c r="BA53" i="3"/>
  <c r="BA54" i="3"/>
  <c r="BA55" i="3"/>
  <c r="BA57" i="3"/>
  <c r="BA5" i="3"/>
  <c r="BA10" i="3"/>
  <c r="BA11" i="3"/>
  <c r="BA12" i="3"/>
  <c r="BA16" i="3"/>
  <c r="BA17" i="3"/>
  <c r="BA18" i="3"/>
  <c r="BA20" i="3"/>
  <c r="BA21" i="3"/>
  <c r="BA52" i="3"/>
  <c r="AS87" i="3" l="1"/>
  <c r="AT87" i="3" s="1"/>
  <c r="BA87" i="3"/>
  <c r="AS91" i="3"/>
  <c r="AT91" i="3" s="1"/>
  <c r="BA91" i="3"/>
  <c r="AS81" i="3"/>
  <c r="AT81" i="3" s="1"/>
  <c r="BA81" i="3"/>
  <c r="AS68" i="3"/>
  <c r="AT68" i="3" s="1"/>
  <c r="BA68" i="3"/>
  <c r="AS64" i="3"/>
  <c r="AT64" i="3" s="1"/>
  <c r="BA64" i="3"/>
  <c r="AS42" i="3"/>
  <c r="AT42" i="3" s="1"/>
  <c r="BA42" i="3"/>
  <c r="AS34" i="3"/>
  <c r="AT34" i="3" s="1"/>
  <c r="BA34" i="3"/>
  <c r="AS26" i="3"/>
  <c r="AT26" i="3" s="1"/>
  <c r="BA26" i="3"/>
  <c r="AS8" i="3"/>
  <c r="AT8" i="3" s="1"/>
  <c r="BA8" i="3"/>
  <c r="AS96" i="3"/>
  <c r="AT96" i="3" s="1"/>
  <c r="BA96" i="3"/>
  <c r="AS84" i="3"/>
  <c r="AT84" i="3" s="1"/>
  <c r="BA84" i="3"/>
  <c r="AS74" i="3"/>
  <c r="AT74" i="3" s="1"/>
  <c r="BA74" i="3"/>
  <c r="AS66" i="3"/>
  <c r="AT66" i="3" s="1"/>
  <c r="BA66" i="3"/>
  <c r="AS49" i="3"/>
  <c r="AT49" i="3" s="1"/>
  <c r="BA49" i="3"/>
  <c r="AS41" i="3"/>
  <c r="AT41" i="3" s="1"/>
  <c r="BA41" i="3"/>
  <c r="AS37" i="3"/>
  <c r="AT37" i="3" s="1"/>
  <c r="BA37" i="3"/>
  <c r="AS27" i="3"/>
  <c r="AT27" i="3" s="1"/>
  <c r="AS95" i="3"/>
  <c r="AT95" i="3" s="1"/>
  <c r="BA95" i="3"/>
  <c r="AS92" i="3"/>
  <c r="AT92" i="3" s="1"/>
  <c r="BA92" i="3"/>
  <c r="AS88" i="3"/>
  <c r="AT88" i="3" s="1"/>
  <c r="BA88" i="3"/>
  <c r="AS82" i="3"/>
  <c r="AT82" i="3" s="1"/>
  <c r="BA82" i="3"/>
  <c r="AS78" i="3"/>
  <c r="AT78" i="3" s="1"/>
  <c r="BA78" i="3"/>
  <c r="AS75" i="3"/>
  <c r="AT75" i="3" s="1"/>
  <c r="BA75" i="3"/>
  <c r="AS71" i="3"/>
  <c r="AT71" i="3" s="1"/>
  <c r="BA71" i="3"/>
  <c r="AS67" i="3"/>
  <c r="AT67" i="3" s="1"/>
  <c r="BA67" i="3"/>
  <c r="AS60" i="3"/>
  <c r="AT60" i="3" s="1"/>
  <c r="BA60" i="3"/>
  <c r="AS48" i="3"/>
  <c r="AT48" i="3" s="1"/>
  <c r="BA48" i="3"/>
  <c r="AS44" i="3"/>
  <c r="AT44" i="3" s="1"/>
  <c r="BA44" i="3"/>
  <c r="AS40" i="3"/>
  <c r="AT40" i="3" s="1"/>
  <c r="BA40" i="3"/>
  <c r="AS36" i="3"/>
  <c r="AT36" i="3" s="1"/>
  <c r="BA36" i="3"/>
  <c r="AS35" i="3"/>
  <c r="AT35" i="3" s="1"/>
  <c r="AS28" i="3"/>
  <c r="AT28" i="3" s="1"/>
  <c r="BA28" i="3"/>
  <c r="AS24" i="3"/>
  <c r="AT24" i="3" s="1"/>
  <c r="BA24" i="3"/>
  <c r="AS15" i="3"/>
  <c r="AT15" i="3" s="1"/>
  <c r="BA15" i="3"/>
  <c r="AS6" i="3"/>
  <c r="AT6" i="3" s="1"/>
  <c r="BA6" i="3"/>
  <c r="AS94" i="3"/>
  <c r="AT94" i="3" s="1"/>
  <c r="BA94" i="3"/>
  <c r="AS85" i="3"/>
  <c r="AT85" i="3" s="1"/>
  <c r="BA85" i="3"/>
  <c r="AS79" i="3"/>
  <c r="AT79" i="3" s="1"/>
  <c r="BA79" i="3"/>
  <c r="AS76" i="3"/>
  <c r="AT76" i="3" s="1"/>
  <c r="BA76" i="3"/>
  <c r="AS58" i="3"/>
  <c r="AT58" i="3" s="1"/>
  <c r="BA58" i="3"/>
  <c r="AS46" i="3"/>
  <c r="AT46" i="3" s="1"/>
  <c r="BA46" i="3"/>
  <c r="AS38" i="3"/>
  <c r="AT38" i="3" s="1"/>
  <c r="BA38" i="3"/>
  <c r="AS30" i="3"/>
  <c r="AT30" i="3" s="1"/>
  <c r="BA30" i="3"/>
  <c r="AS19" i="3"/>
  <c r="AT19" i="3" s="1"/>
  <c r="BA19" i="3"/>
  <c r="AS13" i="3"/>
  <c r="AT13" i="3" s="1"/>
  <c r="BA13" i="3"/>
  <c r="AS90" i="3"/>
  <c r="AT90" i="3" s="1"/>
  <c r="BA90" i="3"/>
  <c r="AS80" i="3"/>
  <c r="AT80" i="3" s="1"/>
  <c r="BA80" i="3"/>
  <c r="AS72" i="3"/>
  <c r="AT72" i="3" s="1"/>
  <c r="BA72" i="3"/>
  <c r="AS61" i="3"/>
  <c r="AT61" i="3" s="1"/>
  <c r="BA61" i="3"/>
  <c r="AS45" i="3"/>
  <c r="AT45" i="3" s="1"/>
  <c r="BA45" i="3"/>
  <c r="AS32" i="3"/>
  <c r="AT32" i="3" s="1"/>
  <c r="BA32" i="3"/>
  <c r="AS29" i="3"/>
  <c r="AT29" i="3" s="1"/>
  <c r="BA29" i="3"/>
  <c r="AS22" i="3"/>
  <c r="AT22" i="3" s="1"/>
  <c r="BA22" i="3"/>
  <c r="AS7" i="3"/>
  <c r="AT7" i="3" s="1"/>
  <c r="BA7" i="3"/>
  <c r="AS89" i="3"/>
  <c r="AT89" i="3" s="1"/>
  <c r="BA89" i="3"/>
  <c r="AS93" i="3"/>
  <c r="AT93" i="3" s="1"/>
  <c r="BA93" i="3"/>
  <c r="AS97" i="3"/>
  <c r="AT97" i="3" s="1"/>
  <c r="BA97" i="3"/>
  <c r="AS86" i="3"/>
  <c r="AT86" i="3" s="1"/>
  <c r="BA86" i="3"/>
  <c r="AS83" i="3"/>
  <c r="AT83" i="3" s="1"/>
  <c r="BA83" i="3"/>
  <c r="AS77" i="3"/>
  <c r="AT77" i="3" s="1"/>
  <c r="BA77" i="3"/>
  <c r="AS73" i="3"/>
  <c r="AT73" i="3" s="1"/>
  <c r="BA73" i="3"/>
  <c r="AS70" i="3"/>
  <c r="AT70" i="3" s="1"/>
  <c r="BA70" i="3"/>
  <c r="AS65" i="3"/>
  <c r="AT65" i="3" s="1"/>
  <c r="BA65" i="3"/>
  <c r="AS59" i="3"/>
  <c r="AT59" i="3" s="1"/>
  <c r="BA59" i="3"/>
  <c r="AS47" i="3"/>
  <c r="AT47" i="3" s="1"/>
  <c r="BA47" i="3"/>
  <c r="AS43" i="3"/>
  <c r="AT43" i="3" s="1"/>
  <c r="BA43" i="3"/>
  <c r="AS39" i="3"/>
  <c r="AT39" i="3" s="1"/>
  <c r="BA39" i="3"/>
  <c r="AS33" i="3"/>
  <c r="AT33" i="3" s="1"/>
  <c r="BA33" i="3"/>
  <c r="AS31" i="3"/>
  <c r="AT31" i="3" s="1"/>
  <c r="BA31" i="3"/>
  <c r="AS25" i="3"/>
  <c r="AT25" i="3" s="1"/>
  <c r="BA25" i="3"/>
  <c r="AS23" i="3"/>
  <c r="AT23" i="3" s="1"/>
  <c r="BA23" i="3"/>
  <c r="AS9" i="3"/>
  <c r="AT9" i="3" s="1"/>
  <c r="BA9" i="3"/>
  <c r="AS62" i="3"/>
  <c r="AT62" i="3" s="1"/>
  <c r="BA62" i="3"/>
  <c r="ACD68" i="2"/>
  <c r="ACB68" i="2" l="1"/>
  <c r="ACE68" i="2" l="1"/>
  <c r="ACE62" i="2"/>
  <c r="ACE67" i="2"/>
  <c r="ACE35" i="2"/>
  <c r="ACE27" i="2"/>
  <c r="ACE70" i="2"/>
  <c r="ACE88" i="2"/>
  <c r="ACE36" i="2"/>
  <c r="ACF36" i="2"/>
  <c r="ACA27" i="2" l="1"/>
  <c r="ACC67" i="2"/>
  <c r="ACC36" i="2" l="1"/>
  <c r="ACC26" i="2" l="1"/>
  <c r="ACB67" i="2"/>
  <c r="ACB62" i="2"/>
  <c r="ACB4" i="2"/>
  <c r="ACB31" i="2"/>
  <c r="H89" i="3" l="1"/>
  <c r="AY89" i="3" s="1"/>
  <c r="ACA36" i="2"/>
  <c r="ACA30" i="2"/>
  <c r="ACA25" i="2"/>
  <c r="ACA66" i="2"/>
  <c r="ACA62" i="2"/>
  <c r="ACA67" i="2"/>
  <c r="ACA68" i="2"/>
  <c r="ACA45" i="2"/>
  <c r="ACA41" i="2"/>
  <c r="ABZ21" i="2"/>
  <c r="ABZ66" i="2"/>
  <c r="ABZ4" i="2"/>
  <c r="ABZ44" i="2"/>
  <c r="ABZ62" i="2"/>
  <c r="ABZ68" i="2"/>
  <c r="ABZ67" i="2" l="1"/>
  <c r="ABZ27" i="2"/>
  <c r="ABZ26" i="2"/>
  <c r="ABY67" i="2"/>
  <c r="ABY62" i="2"/>
  <c r="ABY31" i="2"/>
  <c r="ABX62" i="2"/>
  <c r="JR27" i="1" l="1"/>
  <c r="H87" i="3" l="1"/>
  <c r="AY87" i="3" s="1"/>
  <c r="JS62" i="1"/>
  <c r="JR62" i="1"/>
  <c r="ABV36" i="2" l="1"/>
  <c r="ABU62" i="2"/>
  <c r="ABU67" i="2"/>
  <c r="ABT66" i="2" l="1"/>
  <c r="ABT31" i="2"/>
  <c r="ABT27" i="2"/>
  <c r="JQ68" i="1" l="1"/>
  <c r="ABT62" i="2" l="1"/>
  <c r="ABT67" i="2"/>
  <c r="ABT36" i="2"/>
  <c r="ABT30" i="2"/>
  <c r="ABT68" i="2"/>
  <c r="ABT35" i="2"/>
  <c r="ABT4" i="2"/>
  <c r="AW4" i="3" l="1"/>
  <c r="BA4" i="3" l="1"/>
  <c r="JR6" i="2"/>
  <c r="AFL6" i="2" s="1"/>
  <c r="F6" i="3" s="1"/>
  <c r="JR13" i="2"/>
  <c r="AFL13" i="2" s="1"/>
  <c r="F13" i="3" s="1"/>
  <c r="JO45" i="1"/>
  <c r="H93" i="3" l="1"/>
  <c r="AY93" i="3" s="1"/>
  <c r="H82" i="3"/>
  <c r="AY82" i="3" s="1"/>
  <c r="H76" i="3"/>
  <c r="AY76" i="3" s="1"/>
  <c r="H47" i="3"/>
  <c r="AY47" i="3" s="1"/>
  <c r="H23" i="3"/>
  <c r="AY23" i="3" s="1"/>
  <c r="H12" i="3"/>
  <c r="AY12" i="3" s="1"/>
  <c r="H8" i="3"/>
  <c r="AY8" i="3" s="1"/>
  <c r="H13" i="3"/>
  <c r="AY13" i="3" s="1"/>
  <c r="H65" i="3"/>
  <c r="AY65" i="3" s="1"/>
  <c r="H6" i="3"/>
  <c r="AY6" i="3" s="1"/>
  <c r="H94" i="3"/>
  <c r="AY94" i="3" s="1"/>
  <c r="H97" i="3"/>
  <c r="AY97" i="3" s="1"/>
  <c r="H84" i="3"/>
  <c r="AY84" i="3" s="1"/>
  <c r="H79" i="3"/>
  <c r="AY79" i="3" s="1"/>
  <c r="H72" i="3"/>
  <c r="AY72" i="3" s="1"/>
  <c r="H48" i="3"/>
  <c r="AY48" i="3" s="1"/>
  <c r="H34" i="3"/>
  <c r="AY34" i="3" s="1"/>
  <c r="H19" i="3"/>
  <c r="AY19" i="3" s="1"/>
  <c r="H15" i="3"/>
  <c r="AY15" i="3" s="1"/>
  <c r="H14" i="3"/>
  <c r="AY14" i="3" s="1"/>
  <c r="H9" i="3"/>
  <c r="AY9" i="3" s="1"/>
  <c r="ABS62" i="2"/>
  <c r="ABS67" i="2"/>
  <c r="ABS26" i="2"/>
  <c r="ABS31" i="2"/>
  <c r="ABS36" i="2"/>
  <c r="ABR62" i="2" l="1"/>
  <c r="ABR36" i="2"/>
  <c r="ABR31" i="2"/>
  <c r="ABP67" i="2" l="1"/>
  <c r="ABQ62" i="2" l="1"/>
  <c r="ABJ36" i="2" l="1"/>
  <c r="ABL31" i="2" l="1"/>
  <c r="JN27" i="1" l="1"/>
  <c r="LF27" i="1" l="1"/>
  <c r="E27" i="3" s="1"/>
  <c r="H27" i="3" s="1"/>
  <c r="AY27" i="3" s="1"/>
  <c r="ABN36" i="2"/>
  <c r="ABN31" i="2"/>
  <c r="ABN30" i="2"/>
  <c r="ABN4" i="2"/>
  <c r="ABN26" i="2"/>
  <c r="ABN62" i="2"/>
  <c r="ABN64" i="2"/>
  <c r="ABN67" i="2"/>
  <c r="ABN68" i="2"/>
  <c r="ABM30" i="2" l="1"/>
  <c r="ABL4" i="2" l="1"/>
  <c r="ABL26" i="2"/>
  <c r="ABL62" i="2"/>
  <c r="ABK36" i="2"/>
  <c r="JN36" i="1"/>
  <c r="ABK62" i="2" l="1"/>
  <c r="ABK67" i="2"/>
  <c r="ABK25" i="2"/>
  <c r="ABK64" i="2"/>
  <c r="ABK26" i="2"/>
  <c r="ABJ35" i="2" l="1"/>
  <c r="ABJ41" i="2"/>
  <c r="ABJ40" i="2"/>
  <c r="ABJ31" i="2"/>
  <c r="ABJ30" i="2"/>
  <c r="ABJ4" i="2"/>
  <c r="ABJ26" i="2"/>
  <c r="ABJ62" i="2"/>
  <c r="ABJ67" i="2"/>
  <c r="ABI26" i="2"/>
  <c r="ABI36" i="2"/>
  <c r="ABI35" i="2"/>
  <c r="ABI31" i="2"/>
  <c r="ABI62" i="2"/>
  <c r="ABI67" i="2"/>
  <c r="ABI41" i="2"/>
  <c r="ABH62" i="2"/>
  <c r="ABH36" i="2" l="1"/>
  <c r="ABH83" i="2"/>
  <c r="ABH31" i="2"/>
  <c r="ABH30" i="2"/>
  <c r="ABH25" i="2"/>
  <c r="ABH26" i="2"/>
  <c r="ABH41" i="2" l="1"/>
  <c r="ABG31" i="2"/>
  <c r="ABG62" i="2"/>
  <c r="ABG30" i="2"/>
  <c r="ABG26" i="2"/>
  <c r="ABG67" i="2"/>
  <c r="ABF68" i="2" l="1"/>
  <c r="JH74" i="1" l="1"/>
  <c r="LF74" i="1" l="1"/>
  <c r="E74" i="3" s="1"/>
  <c r="H74" i="3" s="1"/>
  <c r="AY74" i="3" s="1"/>
  <c r="AAV22" i="2"/>
  <c r="AAV26" i="2" l="1"/>
  <c r="AAU26" i="2"/>
  <c r="AAU36" i="2"/>
  <c r="AAV31" i="2"/>
  <c r="AAU31" i="2"/>
  <c r="AAU4" i="2"/>
  <c r="JL67" i="1" l="1"/>
  <c r="JK67" i="1"/>
  <c r="JK68" i="1"/>
  <c r="JK25" i="1"/>
  <c r="ABE4" i="2"/>
  <c r="ABA31" i="2" l="1"/>
  <c r="ABA25" i="2"/>
  <c r="ABA80" i="2"/>
  <c r="ABA62" i="2"/>
  <c r="ABA36" i="2"/>
  <c r="AAZ26" i="2" l="1"/>
  <c r="AAZ31" i="2"/>
  <c r="AAZ67" i="2"/>
  <c r="AAZ62" i="2"/>
  <c r="AAZ45" i="2"/>
  <c r="AAZ68" i="2"/>
  <c r="AAZ64" i="2"/>
  <c r="AAZ35" i="2"/>
  <c r="AAZ36" i="2"/>
  <c r="AAV64" i="2" l="1"/>
  <c r="AAU35" i="2"/>
  <c r="AAU62" i="2"/>
  <c r="AAU67" i="2"/>
  <c r="AAT36" i="2" l="1"/>
  <c r="AAT26" i="2"/>
  <c r="AAT31" i="2"/>
  <c r="AAT62" i="2" l="1"/>
  <c r="AAS36" i="2"/>
  <c r="AAS31" i="2"/>
  <c r="AAS26" i="2"/>
  <c r="JH68" i="1" l="1"/>
  <c r="JH7" i="1"/>
  <c r="JH25" i="1"/>
  <c r="LF25" i="1" s="1"/>
  <c r="E25" i="3" s="1"/>
  <c r="LF7" i="1" l="1"/>
  <c r="E7" i="3" s="1"/>
  <c r="H7" i="3" s="1"/>
  <c r="AY7" i="3" s="1"/>
  <c r="AAQ62" i="2"/>
  <c r="AAQ36" i="2"/>
  <c r="AAQ26" i="2"/>
  <c r="AAQ30" i="2"/>
  <c r="AAQ4" i="2"/>
  <c r="AAQ64" i="2" l="1"/>
  <c r="AAQ67" i="2"/>
  <c r="AAQ68" i="2"/>
  <c r="AAQ31" i="2"/>
  <c r="AAP62" i="2" l="1"/>
  <c r="AAP31" i="2"/>
  <c r="AAP30" i="2"/>
  <c r="AAP4" i="2"/>
  <c r="AAP26" i="2"/>
  <c r="AAP68" i="2"/>
  <c r="AAP67" i="2"/>
  <c r="AAP36" i="2"/>
  <c r="AAP35" i="2"/>
  <c r="AAP64" i="2"/>
  <c r="AAO62" i="2" l="1"/>
  <c r="AAN26" i="2" l="1"/>
  <c r="AAN62" i="2"/>
  <c r="AAM31" i="2" l="1"/>
  <c r="AAM30" i="2"/>
  <c r="AAM26" i="2"/>
  <c r="AAM67" i="2"/>
  <c r="JG68" i="1" l="1"/>
  <c r="AAB31" i="2" l="1"/>
  <c r="AAC31" i="2"/>
  <c r="ZZ36" i="2" l="1"/>
  <c r="ZZ45" i="2" l="1"/>
  <c r="AAI62" i="2" l="1"/>
  <c r="AAI36" i="2"/>
  <c r="AAI35" i="2"/>
  <c r="AAI31" i="2"/>
  <c r="AAI30" i="2"/>
  <c r="AAI26" i="2"/>
  <c r="JE68" i="1" l="1"/>
  <c r="JE67" i="1"/>
  <c r="AAE36" i="2" l="1"/>
  <c r="AAD36" i="2" l="1"/>
  <c r="AAD67" i="2"/>
  <c r="AAD31" i="2"/>
  <c r="AAC36" i="2"/>
  <c r="AAC30" i="2"/>
  <c r="JD62" i="1" l="1"/>
  <c r="ZZ21" i="2" l="1"/>
  <c r="ZZ83" i="2"/>
  <c r="ZZ30" i="2"/>
  <c r="ZZ26" i="2"/>
  <c r="ZZ64" i="2"/>
  <c r="ZZ62" i="2"/>
  <c r="ZZ67" i="2"/>
  <c r="ZZ31" i="2"/>
  <c r="ZY62" i="2" l="1"/>
  <c r="ZY67" i="2"/>
  <c r="ZY30" i="2"/>
  <c r="ZY36" i="2"/>
  <c r="ZY31" i="2"/>
  <c r="ZY26" i="2"/>
  <c r="ZJ26" i="2" l="1"/>
  <c r="ZH26" i="2"/>
  <c r="ZG26" i="2"/>
  <c r="ZF26" i="2"/>
  <c r="ZC26" i="2"/>
  <c r="ZA26" i="2"/>
  <c r="YZ26" i="2"/>
  <c r="YY26" i="2"/>
  <c r="YW26" i="2"/>
  <c r="YU26" i="2"/>
  <c r="YT26" i="2"/>
  <c r="YO26" i="2"/>
  <c r="YL26" i="2"/>
  <c r="YH26" i="2"/>
  <c r="YF26" i="2"/>
  <c r="YE26" i="2"/>
  <c r="XZ26" i="2"/>
  <c r="XY26" i="2"/>
  <c r="XT26" i="2"/>
  <c r="XS26" i="2"/>
  <c r="XQ26" i="2"/>
  <c r="XN26" i="2"/>
  <c r="XM26" i="2"/>
  <c r="XK26" i="2"/>
  <c r="XE26" i="2"/>
  <c r="XD26" i="2"/>
  <c r="XC26" i="2"/>
  <c r="WV26" i="2"/>
  <c r="WT26" i="2"/>
  <c r="WO26" i="2"/>
  <c r="WN26" i="2"/>
  <c r="WF26" i="2"/>
  <c r="WE26" i="2"/>
  <c r="WD26" i="2"/>
  <c r="WC26" i="2"/>
  <c r="WB26" i="2"/>
  <c r="WA26" i="2"/>
  <c r="VZ26" i="2"/>
  <c r="VY26" i="2"/>
  <c r="VX26" i="2"/>
  <c r="VV26" i="2"/>
  <c r="VU26" i="2"/>
  <c r="VS26" i="2"/>
  <c r="VR26" i="2"/>
  <c r="VQ26" i="2"/>
  <c r="VN26" i="2"/>
  <c r="VK26" i="2"/>
  <c r="VH26" i="2"/>
  <c r="VG26" i="2"/>
  <c r="VE26" i="2"/>
  <c r="VC26" i="2"/>
  <c r="UZ26" i="2"/>
  <c r="UY26" i="2"/>
  <c r="UW26" i="2"/>
  <c r="UV26" i="2"/>
  <c r="UU26" i="2"/>
  <c r="UT26" i="2"/>
  <c r="UQ26" i="2"/>
  <c r="UO26" i="2"/>
  <c r="UN26" i="2"/>
  <c r="UM26" i="2"/>
  <c r="UL26" i="2"/>
  <c r="UK26" i="2"/>
  <c r="UJ26" i="2"/>
  <c r="UI26" i="2"/>
  <c r="UE26" i="2"/>
  <c r="UD26" i="2"/>
  <c r="UB26" i="2"/>
  <c r="TX26" i="2"/>
  <c r="TW26" i="2"/>
  <c r="TV26" i="2"/>
  <c r="TU26" i="2"/>
  <c r="TR26" i="2"/>
  <c r="TQ26" i="2"/>
  <c r="TP26" i="2"/>
  <c r="TO26" i="2"/>
  <c r="TN26" i="2"/>
  <c r="TM26" i="2"/>
  <c r="TL26" i="2"/>
  <c r="TK26" i="2"/>
  <c r="TJ26" i="2"/>
  <c r="TH26" i="2"/>
  <c r="TG26" i="2"/>
  <c r="TF26" i="2"/>
  <c r="TB26" i="2"/>
  <c r="SZ26" i="2"/>
  <c r="SY26" i="2"/>
  <c r="SX26" i="2"/>
  <c r="SW26" i="2"/>
  <c r="SV26" i="2"/>
  <c r="SU26" i="2"/>
  <c r="SS26" i="2"/>
  <c r="SP26" i="2"/>
  <c r="SO26" i="2"/>
  <c r="SN26" i="2"/>
  <c r="SM26" i="2"/>
  <c r="SL26" i="2"/>
  <c r="SK26" i="2"/>
  <c r="SJ26" i="2"/>
  <c r="SI26" i="2"/>
  <c r="SH26" i="2"/>
  <c r="SG26" i="2"/>
  <c r="SF26" i="2"/>
  <c r="SE26" i="2"/>
  <c r="SD26" i="2"/>
  <c r="SC26" i="2"/>
  <c r="SA26" i="2"/>
  <c r="RZ26" i="2"/>
  <c r="RX26" i="2"/>
  <c r="RW26" i="2"/>
  <c r="RV26" i="2"/>
  <c r="RS26" i="2"/>
  <c r="RQ26" i="2"/>
  <c r="RN26" i="2"/>
  <c r="RM26" i="2"/>
  <c r="RL26" i="2"/>
  <c r="RK26" i="2"/>
  <c r="RJ26" i="2"/>
  <c r="RI26" i="2"/>
  <c r="RH26" i="2"/>
  <c r="RG26" i="2"/>
  <c r="RE26" i="2"/>
  <c r="RC26" i="2"/>
  <c r="RB26" i="2"/>
  <c r="RA26" i="2"/>
  <c r="QZ26" i="2"/>
  <c r="QY26" i="2"/>
  <c r="QI26" i="2"/>
  <c r="QC26" i="2"/>
  <c r="QA26" i="2"/>
  <c r="PV26" i="2"/>
  <c r="PT26" i="2"/>
  <c r="PS26" i="2"/>
  <c r="PR26" i="2"/>
  <c r="PM26" i="2"/>
  <c r="PK26" i="2"/>
  <c r="PI26" i="2"/>
  <c r="PG26" i="2"/>
  <c r="PF26" i="2"/>
  <c r="PE26" i="2"/>
  <c r="PD26" i="2"/>
  <c r="OZ26" i="2"/>
  <c r="OW26" i="2"/>
  <c r="OT26" i="2"/>
  <c r="OQ26" i="2"/>
  <c r="OP26" i="2"/>
  <c r="ON26" i="2"/>
  <c r="OL26" i="2"/>
  <c r="OK26" i="2"/>
  <c r="OJ26" i="2"/>
  <c r="OI26" i="2"/>
  <c r="OH26" i="2"/>
  <c r="OF26" i="2"/>
  <c r="OD26" i="2"/>
  <c r="NZ26" i="2"/>
  <c r="NW26" i="2"/>
  <c r="NT26" i="2"/>
  <c r="NS26" i="2"/>
  <c r="NE26" i="2"/>
  <c r="ND26" i="2"/>
  <c r="NB26" i="2"/>
  <c r="NA26" i="2"/>
  <c r="MP26" i="2"/>
  <c r="MM26" i="2"/>
  <c r="MI26" i="2"/>
  <c r="MG26" i="2"/>
  <c r="ME26" i="2"/>
  <c r="MD26" i="2"/>
  <c r="MC26" i="2"/>
  <c r="MB26" i="2"/>
  <c r="LY26" i="2"/>
  <c r="LX26" i="2"/>
  <c r="LV26" i="2"/>
  <c r="LU26" i="2"/>
  <c r="LS26" i="2"/>
  <c r="LQ26" i="2"/>
  <c r="LO26" i="2"/>
  <c r="LN26" i="2"/>
  <c r="LG26" i="2"/>
  <c r="LC26" i="2"/>
  <c r="KY26" i="2"/>
  <c r="KT26" i="2"/>
  <c r="KS26" i="2"/>
  <c r="KL26" i="2"/>
  <c r="KH26" i="2"/>
  <c r="KF26" i="2"/>
  <c r="KE26" i="2"/>
  <c r="KB26" i="2"/>
  <c r="KA26" i="2"/>
  <c r="JZ26" i="2"/>
  <c r="JX26" i="2"/>
  <c r="JW26" i="2"/>
  <c r="JT26" i="2"/>
  <c r="JR26" i="2"/>
  <c r="JN26" i="2"/>
  <c r="JK26" i="2"/>
  <c r="JI26" i="2"/>
  <c r="IZ26" i="2"/>
  <c r="IU26" i="2"/>
  <c r="IT26" i="2"/>
  <c r="IH26" i="2"/>
  <c r="IF26" i="2"/>
  <c r="ID26" i="2"/>
  <c r="HX26" i="2"/>
  <c r="HV26" i="2"/>
  <c r="HU26" i="2"/>
  <c r="HS26" i="2"/>
  <c r="HR26" i="2"/>
  <c r="HQ26" i="2"/>
  <c r="HO26" i="2"/>
  <c r="HL26" i="2"/>
  <c r="HJ26" i="2"/>
  <c r="HG26" i="2"/>
  <c r="HB26" i="2"/>
  <c r="GZ26" i="2"/>
  <c r="GS26" i="2"/>
  <c r="GO26" i="2"/>
  <c r="GJ26" i="2"/>
  <c r="GI26" i="2"/>
  <c r="GG26" i="2"/>
  <c r="GF26" i="2"/>
  <c r="GC26" i="2"/>
  <c r="FT26" i="2"/>
  <c r="FS26" i="2"/>
  <c r="FP26" i="2"/>
  <c r="FO26" i="2"/>
  <c r="FM26" i="2"/>
  <c r="FF26" i="2"/>
  <c r="FA26" i="2"/>
  <c r="EY26" i="2"/>
  <c r="EX26" i="2"/>
  <c r="EW26" i="2"/>
  <c r="EQ26" i="2"/>
  <c r="EP26" i="2"/>
  <c r="EI26" i="2"/>
  <c r="EH26" i="2"/>
  <c r="EF26" i="2"/>
  <c r="EB26" i="2"/>
  <c r="EA26" i="2"/>
  <c r="DN26" i="2"/>
  <c r="DI26" i="2"/>
  <c r="DG26" i="2"/>
  <c r="DA26" i="2"/>
  <c r="CZ26" i="2"/>
  <c r="CY26" i="2"/>
  <c r="CX26" i="2"/>
  <c r="CW26" i="2"/>
  <c r="CT26" i="2"/>
  <c r="CS26" i="2"/>
  <c r="CP26" i="2"/>
  <c r="CN26" i="2"/>
  <c r="CL26" i="2"/>
  <c r="CK26" i="2"/>
  <c r="CI26" i="2"/>
  <c r="CH26" i="2"/>
  <c r="CG26" i="2"/>
  <c r="CF26" i="2"/>
  <c r="CB26" i="2"/>
  <c r="BU26" i="2"/>
  <c r="BT26" i="2"/>
  <c r="BS26" i="2"/>
  <c r="BM26" i="2"/>
  <c r="BH26" i="2"/>
  <c r="BF26" i="2"/>
  <c r="BE26" i="2"/>
  <c r="AZ26" i="2"/>
  <c r="AY26" i="2"/>
  <c r="AW26" i="2"/>
  <c r="AV26" i="2"/>
  <c r="AU26" i="2"/>
  <c r="AS26" i="2"/>
  <c r="AP26" i="2"/>
  <c r="AM26" i="2"/>
  <c r="AJ26" i="2"/>
  <c r="AC26" i="2"/>
  <c r="AB26" i="2"/>
  <c r="O26" i="2"/>
  <c r="M26" i="2"/>
  <c r="L26" i="2"/>
  <c r="I26" i="2"/>
  <c r="ZV36" i="2" l="1"/>
  <c r="ZJ67" i="2" l="1"/>
  <c r="ZW68" i="2"/>
  <c r="ZW64" i="2"/>
  <c r="ZW62" i="2" l="1"/>
  <c r="ZW67" i="2"/>
  <c r="ZW36" i="2"/>
  <c r="ZW35" i="2"/>
  <c r="ZW21" i="2"/>
  <c r="ZW73" i="2"/>
  <c r="ZW26" i="2"/>
  <c r="ZV64" i="2" l="1"/>
  <c r="ZV67" i="2"/>
  <c r="ZV68" i="2"/>
  <c r="ZS20" i="2" l="1"/>
  <c r="ZU67" i="2"/>
  <c r="ZT31" i="2" l="1"/>
  <c r="ZU21" i="2" l="1"/>
  <c r="ZU45" i="2"/>
  <c r="ZU68" i="2"/>
  <c r="ZS31" i="2" l="1"/>
  <c r="ZS36" i="2"/>
  <c r="ZS62" i="2"/>
  <c r="ZS67" i="2"/>
  <c r="ZS4" i="2"/>
  <c r="ZS38" i="2"/>
  <c r="IZ62" i="1" l="1"/>
  <c r="IX67" i="1" l="1"/>
  <c r="ZJ31" i="2" l="1"/>
  <c r="ZI31" i="2"/>
  <c r="ZM31" i="2"/>
  <c r="ZM36" i="2"/>
  <c r="ZL26" i="2"/>
  <c r="ZL67" i="2"/>
  <c r="ZL68" i="2"/>
  <c r="IW44" i="1" l="1"/>
  <c r="IW26" i="1"/>
  <c r="ZK36" i="2" l="1"/>
  <c r="ZK31" i="2"/>
  <c r="ZJ68" i="2" l="1"/>
  <c r="ZJ36" i="2"/>
  <c r="ZJ35" i="2"/>
  <c r="ZJ30" i="2"/>
  <c r="ZJ62" i="2" l="1"/>
  <c r="ZJ64" i="2"/>
  <c r="ZI62" i="2" l="1"/>
  <c r="ZI36" i="2"/>
  <c r="ZI30" i="2"/>
  <c r="IV36" i="1" l="1"/>
  <c r="IV30" i="1"/>
  <c r="ZH35" i="2" l="1"/>
  <c r="ZH31" i="2"/>
  <c r="ZH30" i="2"/>
  <c r="ZG30" i="2" l="1"/>
  <c r="ZG31" i="2"/>
  <c r="ZF36" i="2" l="1"/>
  <c r="ZF31" i="2"/>
  <c r="ZC36" i="2" l="1"/>
  <c r="ZC35" i="2"/>
  <c r="ZA36" i="2" l="1"/>
  <c r="YW31" i="2" l="1"/>
  <c r="ZA31" i="2"/>
  <c r="YL62" i="2"/>
  <c r="YL31" i="2"/>
  <c r="YL64" i="2"/>
  <c r="ZA35" i="2" l="1"/>
  <c r="ZA40" i="2"/>
  <c r="ZA25" i="2"/>
  <c r="ZA41" i="2" l="1"/>
  <c r="ZA83" i="2"/>
  <c r="ZA30" i="2"/>
  <c r="ZA4" i="2"/>
  <c r="ZA62" i="2"/>
  <c r="IT44" i="1" l="1"/>
  <c r="YZ31" i="2" l="1"/>
  <c r="YZ30" i="2"/>
  <c r="YZ62" i="2"/>
  <c r="YZ36" i="2" l="1"/>
  <c r="YZ4" i="2"/>
  <c r="YZ35" i="2" l="1"/>
  <c r="YY83" i="2" l="1"/>
  <c r="YY49" i="2"/>
  <c r="YY30" i="2"/>
  <c r="YY25" i="2"/>
  <c r="YY20" i="2"/>
  <c r="YY77" i="2"/>
  <c r="YY62" i="2"/>
  <c r="YY64" i="2"/>
  <c r="YX31" i="2" l="1"/>
  <c r="YW4" i="2" l="1"/>
  <c r="YW62" i="2"/>
  <c r="YW36" i="2"/>
  <c r="YU31" i="2" l="1"/>
  <c r="YU44" i="2"/>
  <c r="YU4" i="2"/>
  <c r="YU62" i="2"/>
  <c r="YU64" i="2"/>
  <c r="YU30" i="2"/>
  <c r="YT31" i="2"/>
  <c r="YT62" i="2"/>
  <c r="YT88" i="2" l="1"/>
  <c r="YT64" i="2"/>
  <c r="YT30" i="2"/>
  <c r="YT4" i="2"/>
  <c r="YS31" i="2" l="1"/>
  <c r="IP26" i="1" l="1"/>
  <c r="IP4" i="1"/>
  <c r="IP62" i="1"/>
  <c r="YP62" i="2" l="1"/>
  <c r="YO36" i="2" l="1"/>
  <c r="YO31" i="2"/>
  <c r="YN62" i="2" l="1"/>
  <c r="YM31" i="2"/>
  <c r="YM36" i="2"/>
  <c r="YN31" i="2"/>
  <c r="YN36" i="2"/>
  <c r="YM67" i="2" l="1"/>
  <c r="YM62" i="2"/>
  <c r="YL67" i="2" l="1"/>
  <c r="YK67" i="2" l="1"/>
  <c r="H50" i="3" l="1"/>
  <c r="AY50" i="3" s="1"/>
  <c r="IO31" i="1" l="1"/>
  <c r="IO30" i="1"/>
  <c r="YI36" i="2" l="1"/>
  <c r="YH36" i="2" l="1"/>
  <c r="YH31" i="2"/>
  <c r="YH30" i="2"/>
  <c r="YH73" i="2"/>
  <c r="YH67" i="2"/>
  <c r="YH64" i="2"/>
  <c r="YG62" i="2" l="1"/>
  <c r="YG36" i="2"/>
  <c r="YE31" i="2" l="1"/>
  <c r="YE67" i="2"/>
  <c r="YE62" i="2"/>
  <c r="YE64" i="2" l="1"/>
  <c r="YE68" i="2"/>
  <c r="YB31" i="2" l="1"/>
  <c r="YB67" i="2"/>
  <c r="YB30" i="2"/>
  <c r="YB68" i="2" l="1"/>
  <c r="YA62" i="2" l="1"/>
  <c r="XZ31" i="2" l="1"/>
  <c r="XZ62" i="2"/>
  <c r="XZ30" i="2"/>
  <c r="XZ64" i="2" l="1"/>
  <c r="XY30" i="2" l="1"/>
  <c r="XY36" i="2"/>
  <c r="XY31" i="2"/>
  <c r="XY62" i="2"/>
  <c r="XY67" i="2"/>
  <c r="XY78" i="2"/>
  <c r="XX62" i="2" l="1"/>
  <c r="XX67" i="2" l="1"/>
  <c r="IM67" i="1" l="1"/>
  <c r="IM68" i="1"/>
  <c r="IM62" i="1"/>
  <c r="XW36" i="2" l="1"/>
  <c r="XW31" i="2"/>
  <c r="XV31" i="2" l="1"/>
  <c r="XU31" i="2"/>
  <c r="XU36" i="2"/>
  <c r="XS67" i="2" l="1"/>
  <c r="XS64" i="2"/>
  <c r="XS62" i="2"/>
  <c r="XS44" i="2"/>
  <c r="XS36" i="2"/>
  <c r="XS30" i="2"/>
  <c r="XS31" i="2"/>
  <c r="XS49" i="2" l="1"/>
  <c r="XS20" i="2"/>
  <c r="XS17" i="2"/>
  <c r="XS38" i="2"/>
  <c r="IL31" i="1" l="1"/>
  <c r="XR44" i="2" l="1"/>
  <c r="XR64" i="2"/>
  <c r="XR67" i="2"/>
  <c r="XF66" i="2" l="1"/>
  <c r="XQ64" i="2"/>
  <c r="XQ62" i="2"/>
  <c r="XN31" i="2" l="1"/>
  <c r="XN44" i="2"/>
  <c r="XN62" i="2"/>
  <c r="XN30" i="2"/>
  <c r="XN45" i="2"/>
  <c r="XM31" i="2" l="1"/>
  <c r="XM36" i="2"/>
  <c r="XM39" i="2"/>
  <c r="XM25" i="2"/>
  <c r="XM45" i="2"/>
  <c r="XM38" i="2"/>
  <c r="XM30" i="2"/>
  <c r="XM44" i="2"/>
  <c r="XM64" i="2"/>
  <c r="XM68" i="2"/>
  <c r="XQ49" i="2" l="1"/>
  <c r="IK31" i="1"/>
  <c r="IK44" i="1"/>
  <c r="XQ30" i="2" l="1"/>
  <c r="XQ38" i="2"/>
  <c r="XQ4" i="2"/>
  <c r="IJ26" i="1" l="1"/>
  <c r="XJ36" i="2" l="1"/>
  <c r="XJ4" i="2" l="1"/>
  <c r="XF25" i="2" l="1"/>
  <c r="XF31" i="2" l="1"/>
  <c r="XF62" i="2"/>
  <c r="II30" i="1" l="1"/>
  <c r="XE31" i="2"/>
  <c r="XD30" i="2" l="1"/>
  <c r="XD31" i="2"/>
  <c r="WY35" i="2"/>
  <c r="XD25" i="2" l="1"/>
  <c r="H25" i="3" s="1"/>
  <c r="AY25" i="3" s="1"/>
  <c r="XD62" i="2"/>
  <c r="XC62" i="2" l="1"/>
  <c r="XC36" i="2"/>
  <c r="IG26" i="1" l="1"/>
  <c r="IG62" i="1"/>
  <c r="XB31" i="2" l="1"/>
  <c r="XB36" i="2"/>
  <c r="XB62" i="2"/>
  <c r="XA30" i="2" l="1"/>
  <c r="WY62" i="2" l="1"/>
  <c r="IE62" i="1" l="1"/>
  <c r="ID31" i="1" l="1"/>
  <c r="WX30" i="2" l="1"/>
  <c r="WX62" i="2"/>
  <c r="WV30" i="2" l="1"/>
  <c r="WV62" i="2"/>
  <c r="WV35" i="2" l="1"/>
  <c r="WT35" i="2" l="1"/>
  <c r="WT31" i="2"/>
  <c r="WT30" i="2"/>
  <c r="WT62" i="2"/>
  <c r="WT64" i="2"/>
  <c r="WQ62" i="2" l="1"/>
  <c r="WR62" i="2"/>
  <c r="WP36" i="2" l="1"/>
  <c r="WP35" i="2"/>
  <c r="WO35" i="2" l="1"/>
  <c r="WO31" i="2"/>
  <c r="WO62" i="2"/>
  <c r="WO30" i="2" l="1"/>
  <c r="WN31" i="2" l="1"/>
  <c r="WN41" i="2"/>
  <c r="WN36" i="2" l="1"/>
  <c r="WN35" i="2"/>
  <c r="WN40" i="2"/>
  <c r="WN30" i="2"/>
  <c r="IC31" i="1" l="1"/>
  <c r="WK36" i="2" l="1"/>
  <c r="WK35" i="2"/>
  <c r="WJ36" i="2"/>
  <c r="IA38" i="1" l="1"/>
  <c r="LF38" i="1" s="1"/>
  <c r="E38" i="3" s="1"/>
  <c r="WI68" i="2" l="1"/>
  <c r="WH62" i="2" l="1"/>
  <c r="WH31" i="2"/>
  <c r="HR41" i="1" l="1"/>
  <c r="WF62" i="2" l="1"/>
  <c r="WF36" i="2"/>
  <c r="WF31" i="2"/>
  <c r="WF67" i="2"/>
  <c r="WD30" i="2" l="1"/>
  <c r="WD31" i="2"/>
  <c r="HZ26" i="1" l="1"/>
  <c r="WD67" i="2"/>
  <c r="WE36" i="2"/>
  <c r="WE90" i="2"/>
  <c r="WE30" i="2"/>
  <c r="WE20" i="2"/>
  <c r="WE4" i="2"/>
  <c r="WE62" i="2"/>
  <c r="WE67" i="2"/>
  <c r="WD64" i="2" l="1"/>
  <c r="WD36" i="2" l="1"/>
  <c r="WD62" i="2"/>
  <c r="WC36" i="2" l="1"/>
  <c r="WC31" i="2"/>
  <c r="WC4" i="2"/>
  <c r="WC62" i="2"/>
  <c r="WC67" i="2"/>
  <c r="WC30" i="2"/>
  <c r="HX44" i="1" l="1"/>
  <c r="HX31" i="1"/>
  <c r="HX35" i="1"/>
  <c r="HW26" i="1" l="1"/>
  <c r="WB36" i="2"/>
  <c r="WB90" i="2"/>
  <c r="WB31" i="2"/>
  <c r="WB30" i="2"/>
  <c r="WB91" i="2"/>
  <c r="WB62" i="2"/>
  <c r="WB67" i="2"/>
  <c r="WB4" i="2"/>
  <c r="WA30" i="2"/>
  <c r="VZ36" i="2" l="1"/>
  <c r="VZ41" i="2"/>
  <c r="VZ31" i="2"/>
  <c r="VZ30" i="2"/>
  <c r="VZ62" i="2"/>
  <c r="VZ67" i="2"/>
  <c r="HV26" i="1" l="1"/>
  <c r="VY41" i="2"/>
  <c r="VY31" i="2"/>
  <c r="VY30" i="2"/>
  <c r="VY20" i="2"/>
  <c r="VY4" i="2"/>
  <c r="VY36" i="2"/>
  <c r="VY68" i="2"/>
  <c r="VY62" i="2"/>
  <c r="VV49" i="2" l="1"/>
  <c r="HU26" i="1" l="1"/>
  <c r="VV31" i="2" l="1"/>
  <c r="VX36" i="2" l="1"/>
  <c r="VX90" i="2"/>
  <c r="VX31" i="2"/>
  <c r="VX44" i="2"/>
  <c r="VX62" i="2"/>
  <c r="VX67" i="2"/>
  <c r="VX41" i="2"/>
  <c r="VX30" i="2"/>
  <c r="VV36" i="2" l="1"/>
  <c r="VU44" i="2"/>
  <c r="VU62" i="2"/>
  <c r="VU36" i="2"/>
  <c r="VU31" i="2"/>
  <c r="HT30" i="1" l="1"/>
  <c r="HT31" i="1" l="1"/>
  <c r="HT41" i="1"/>
  <c r="HS30" i="1" l="1"/>
  <c r="VT62" i="2" l="1"/>
  <c r="VT64" i="2"/>
  <c r="VT67" i="2"/>
  <c r="VT68" i="2"/>
  <c r="VT36" i="2" l="1"/>
  <c r="VS36" i="2" l="1"/>
  <c r="VS31" i="2"/>
  <c r="VS68" i="2"/>
  <c r="VS64" i="2"/>
  <c r="VS62" i="2"/>
  <c r="VS67" i="2"/>
  <c r="HP67" i="1"/>
  <c r="VR67" i="2"/>
  <c r="HR44" i="1"/>
  <c r="HR30" i="1"/>
  <c r="VR36" i="2" l="1"/>
  <c r="VR62" i="2"/>
  <c r="HQ62" i="1" l="1"/>
  <c r="VR31" i="2" l="1"/>
  <c r="VQ67" i="2"/>
  <c r="VQ31" i="2"/>
  <c r="HP62" i="1" l="1"/>
  <c r="HP68" i="1"/>
  <c r="VQ36" i="2"/>
  <c r="HO62" i="1"/>
  <c r="VP31" i="2" l="1"/>
  <c r="VP62" i="2"/>
  <c r="VN31" i="2" l="1"/>
  <c r="VK32" i="2" l="1"/>
  <c r="VK35" i="2"/>
  <c r="VE32" i="2"/>
  <c r="VM31" i="2" l="1"/>
  <c r="VK31" i="2" l="1"/>
  <c r="VK36" i="2"/>
  <c r="VK66" i="2" l="1"/>
  <c r="VK4" i="2"/>
  <c r="VJ31" i="2" l="1"/>
  <c r="LU45" i="2"/>
  <c r="VJ36" i="2"/>
  <c r="VH36" i="2" l="1"/>
  <c r="VH31" i="2"/>
  <c r="VH4" i="2"/>
  <c r="VH62" i="2"/>
  <c r="VG49" i="2" l="1"/>
  <c r="VG31" i="2"/>
  <c r="VG62" i="2"/>
  <c r="VG68" i="2"/>
  <c r="VG64" i="2" l="1"/>
  <c r="VE31" i="2" l="1"/>
  <c r="VE62" i="2"/>
  <c r="VE68" i="2"/>
  <c r="VE83" i="2" l="1"/>
  <c r="VD61" i="2" l="1"/>
  <c r="VD62" i="2"/>
  <c r="VD67" i="2"/>
  <c r="VC36" i="2" l="1"/>
  <c r="VC31" i="2"/>
  <c r="VC4" i="2"/>
  <c r="VC62" i="2"/>
  <c r="VC67" i="2"/>
  <c r="VC64" i="2" l="1"/>
  <c r="VC68" i="2"/>
  <c r="UZ31" i="2" l="1"/>
  <c r="UV68" i="2" l="1"/>
  <c r="UZ36" i="2" l="1"/>
  <c r="UY38" i="2" l="1"/>
  <c r="UY31" i="2"/>
  <c r="UY62" i="2"/>
  <c r="UY67" i="2"/>
  <c r="UY36" i="2"/>
  <c r="UY17" i="2"/>
  <c r="UY68" i="2"/>
  <c r="UV62" i="2" l="1"/>
  <c r="UV64" i="2"/>
  <c r="UV31" i="2"/>
  <c r="UR62" i="2" l="1"/>
  <c r="US31" i="2" l="1"/>
  <c r="UR31" i="2"/>
  <c r="HN31" i="1" l="1"/>
  <c r="UU31" i="2" l="1"/>
  <c r="UU62" i="2" l="1"/>
  <c r="UU64" i="2"/>
  <c r="UU68" i="2"/>
  <c r="UU28" i="2"/>
  <c r="UT31" i="2" l="1"/>
  <c r="UT4" i="2"/>
  <c r="UO20" i="2" l="1"/>
  <c r="UT67" i="2"/>
  <c r="UT64" i="2"/>
  <c r="UT62" i="2"/>
  <c r="US67" i="2" l="1"/>
  <c r="UL4" i="2" l="1"/>
  <c r="UE31" i="2"/>
  <c r="UQ67" i="2"/>
  <c r="UQ62" i="2"/>
  <c r="UQ36" i="2"/>
  <c r="UQ31" i="2"/>
  <c r="UQ64" i="2"/>
  <c r="UQ41" i="2"/>
  <c r="UQ68" i="2"/>
  <c r="HM62" i="1" l="1"/>
  <c r="HL62" i="1"/>
  <c r="UP62" i="2"/>
  <c r="UO36" i="2"/>
  <c r="UO31" i="2"/>
  <c r="UO4" i="2"/>
  <c r="UO62" i="2"/>
  <c r="UO64" i="2"/>
  <c r="UO68" i="2"/>
  <c r="UN29" i="2"/>
  <c r="UN31" i="2"/>
  <c r="UN78" i="2"/>
  <c r="UN62" i="2"/>
  <c r="UN64" i="2"/>
  <c r="UN67" i="2"/>
  <c r="UN68" i="2"/>
  <c r="UN49" i="2"/>
  <c r="UN36" i="2"/>
  <c r="UN4" i="2"/>
  <c r="UM36" i="2"/>
  <c r="UM31" i="2"/>
  <c r="UM30" i="2"/>
  <c r="UM4" i="2"/>
  <c r="UM62" i="2"/>
  <c r="UM68" i="2"/>
  <c r="UM67" i="2"/>
  <c r="UL64" i="2" l="1"/>
  <c r="UL68" i="2"/>
  <c r="UL36" i="2" l="1"/>
  <c r="UL31" i="2"/>
  <c r="UL30" i="2"/>
  <c r="UL67" i="2"/>
  <c r="UL38" i="2"/>
  <c r="UL62" i="2"/>
  <c r="UL41" i="2"/>
  <c r="UL20" i="2"/>
  <c r="UL83" i="2"/>
  <c r="UL90" i="2"/>
  <c r="HJ67" i="1" l="1"/>
  <c r="HJ68" i="1"/>
  <c r="HJ62" i="1"/>
  <c r="HJ31" i="1"/>
  <c r="HI68" i="1"/>
  <c r="HI67" i="1"/>
  <c r="HI62" i="1"/>
  <c r="UK36" i="2"/>
  <c r="UK31" i="2"/>
  <c r="UK4" i="2"/>
  <c r="UK67" i="2"/>
  <c r="UK62" i="2"/>
  <c r="HH67" i="1" l="1"/>
  <c r="HH62" i="1"/>
  <c r="UJ31" i="2" l="1"/>
  <c r="UJ62" i="2"/>
  <c r="UJ64" i="2"/>
  <c r="UJ67" i="2"/>
  <c r="UI31" i="2" l="1"/>
  <c r="UI41" i="2"/>
  <c r="UI30" i="2"/>
  <c r="UI62" i="2"/>
  <c r="UI64" i="2"/>
  <c r="UI67" i="2"/>
  <c r="UE62" i="2" l="1"/>
  <c r="UD36" i="2" l="1"/>
  <c r="UD31" i="2"/>
  <c r="UD4" i="2"/>
  <c r="UD68" i="2"/>
  <c r="TZ36" i="2" l="1"/>
  <c r="TZ35" i="2"/>
  <c r="UB64" i="2" l="1"/>
  <c r="UC36" i="2"/>
  <c r="UC39" i="2"/>
  <c r="UC31" i="2"/>
  <c r="UC58" i="2"/>
  <c r="UC38" i="2"/>
  <c r="UB67" i="2"/>
  <c r="UB31" i="2"/>
  <c r="UB62" i="2"/>
  <c r="UA64" i="2" l="1"/>
  <c r="UA31" i="2"/>
  <c r="TZ31" i="2"/>
  <c r="TZ62" i="2"/>
  <c r="TY31" i="2"/>
  <c r="TY62" i="2"/>
  <c r="TX36" i="2" l="1"/>
  <c r="TX35" i="2"/>
  <c r="TX31" i="2"/>
  <c r="TX67" i="2"/>
  <c r="TX62" i="2"/>
  <c r="TW4" i="2"/>
  <c r="TW31" i="2"/>
  <c r="TW35" i="2"/>
  <c r="TW36" i="2"/>
  <c r="TW67" i="2"/>
  <c r="TW64" i="2"/>
  <c r="TW68" i="2"/>
  <c r="TV80" i="2"/>
  <c r="TV64" i="2"/>
  <c r="TU36" i="2" l="1"/>
  <c r="TU31" i="2"/>
  <c r="TU4" i="2"/>
  <c r="TN31" i="2" l="1"/>
  <c r="TR64" i="2" l="1"/>
  <c r="TR62" i="2"/>
  <c r="TR31" i="2"/>
  <c r="TP36" i="2" l="1"/>
  <c r="TR54" i="2" l="1"/>
  <c r="TR52" i="2"/>
  <c r="TR67" i="2"/>
  <c r="TQ40" i="2" l="1"/>
  <c r="TQ31" i="2"/>
  <c r="TQ62" i="2"/>
  <c r="TQ67" i="2"/>
  <c r="TQ68" i="2"/>
  <c r="TP62" i="2"/>
  <c r="TP31" i="2"/>
  <c r="TP30" i="2"/>
  <c r="TO62" i="2" l="1"/>
  <c r="TO36" i="2"/>
  <c r="TO30" i="2"/>
  <c r="TO4" i="2"/>
  <c r="TO41" i="2"/>
  <c r="TO31" i="2"/>
  <c r="TO67" i="2"/>
  <c r="TO38" i="2"/>
  <c r="TN67" i="2" l="1"/>
  <c r="TN35" i="2"/>
  <c r="TN36" i="2"/>
  <c r="TN30" i="2"/>
  <c r="TN62" i="2"/>
  <c r="TN4" i="2"/>
  <c r="TG31" i="2" l="1"/>
  <c r="TB31" i="2"/>
  <c r="TH31" i="2"/>
  <c r="TK32" i="2" l="1"/>
  <c r="TK35" i="2"/>
  <c r="HE26" i="1" l="1"/>
  <c r="HD62" i="1"/>
  <c r="TM62" i="2" l="1"/>
  <c r="TM49" i="2"/>
  <c r="TM80" i="2"/>
  <c r="TM78" i="2"/>
  <c r="TM68" i="2"/>
  <c r="TM67" i="2"/>
  <c r="TM64" i="2"/>
  <c r="TM20" i="2" l="1"/>
  <c r="TM35" i="2"/>
  <c r="TM36" i="2"/>
  <c r="TM30" i="2"/>
  <c r="TM31" i="2"/>
  <c r="TM4" i="2"/>
  <c r="TL80" i="2"/>
  <c r="TL67" i="2"/>
  <c r="TL30" i="2"/>
  <c r="TL31" i="2"/>
  <c r="TL62" i="2"/>
  <c r="TK31" i="2"/>
  <c r="TK68" i="2"/>
  <c r="TK67" i="2"/>
  <c r="TK62" i="2"/>
  <c r="TK64" i="2"/>
  <c r="TK36" i="2"/>
  <c r="TK4" i="2"/>
  <c r="TK21" i="2"/>
  <c r="TK30" i="2"/>
  <c r="TJ68" i="2"/>
  <c r="TJ64" i="2"/>
  <c r="TJ31" i="2"/>
  <c r="TJ4" i="2"/>
  <c r="TJ62" i="2"/>
  <c r="TJ30" i="2"/>
  <c r="TJ67" i="2"/>
  <c r="TJ36" i="2"/>
  <c r="TI36" i="2"/>
  <c r="TH32" i="2" l="1"/>
  <c r="TH62" i="2"/>
  <c r="TH44" i="2"/>
  <c r="TH67" i="2"/>
  <c r="TH64" i="2"/>
  <c r="TH68" i="2"/>
  <c r="TG36" i="2" l="1"/>
  <c r="TG67" i="2"/>
  <c r="TG62" i="2"/>
  <c r="TG64" i="2"/>
  <c r="TG44" i="2"/>
  <c r="TG68" i="2"/>
  <c r="TF68" i="2" l="1"/>
  <c r="TF67" i="2" l="1"/>
  <c r="TF30" i="2"/>
  <c r="TF31" i="2"/>
  <c r="TF4" i="2"/>
  <c r="TE62" i="2"/>
  <c r="TE36" i="2"/>
  <c r="TE31" i="2"/>
  <c r="TE67" i="2"/>
  <c r="TE4" i="2"/>
  <c r="HA26" i="1"/>
  <c r="HA4" i="1"/>
  <c r="HB67" i="1"/>
  <c r="HB68" i="1"/>
  <c r="HB62" i="1"/>
  <c r="HB26" i="1"/>
  <c r="HB4" i="1"/>
  <c r="TD31" i="2" l="1"/>
  <c r="TC62" i="2"/>
  <c r="TC31" i="2"/>
  <c r="TB36" i="2"/>
  <c r="TB62" i="2"/>
  <c r="TB67" i="2"/>
  <c r="TB30" i="2" l="1"/>
  <c r="TA44" i="2"/>
  <c r="TA68" i="2"/>
  <c r="TB20" i="2"/>
  <c r="TB32" i="2" l="1"/>
  <c r="TB68" i="2"/>
  <c r="TB64" i="2"/>
  <c r="TB4" i="2"/>
  <c r="SW36" i="2" l="1"/>
  <c r="SZ31" i="2" l="1"/>
  <c r="SZ62" i="2"/>
  <c r="SZ36" i="2"/>
  <c r="SZ30" i="2"/>
  <c r="SZ49" i="2"/>
  <c r="SZ5" i="2"/>
  <c r="SZ4" i="2"/>
  <c r="SY91" i="2"/>
  <c r="SY90" i="2"/>
  <c r="SY88" i="2"/>
  <c r="SY62" i="2"/>
  <c r="SY38" i="2"/>
  <c r="SY32" i="2"/>
  <c r="SY36" i="2"/>
  <c r="SY30" i="2"/>
  <c r="SY31" i="2"/>
  <c r="SY4" i="2"/>
  <c r="SY70" i="2"/>
  <c r="SY40" i="2"/>
  <c r="SY29" i="2"/>
  <c r="SY28" i="2"/>
  <c r="GX4" i="1" l="1"/>
  <c r="SW20" i="2" l="1"/>
  <c r="SW32" i="2"/>
  <c r="SW30" i="2"/>
  <c r="SW31" i="2"/>
  <c r="SW4" i="2"/>
  <c r="SX31" i="2"/>
  <c r="SX62" i="2"/>
  <c r="SX64" i="2"/>
  <c r="SX67" i="2"/>
  <c r="SW62" i="2" l="1"/>
  <c r="SV64" i="2" l="1"/>
  <c r="SV67" i="2"/>
  <c r="SV68" i="2"/>
  <c r="SR36" i="2"/>
  <c r="SR32" i="2"/>
  <c r="GW80" i="1"/>
  <c r="SW40" i="2" l="1"/>
  <c r="SW88" i="2"/>
  <c r="SW67" i="2"/>
  <c r="SW70" i="2"/>
  <c r="SW38" i="2"/>
  <c r="SW91" i="2"/>
  <c r="SW64" i="2"/>
  <c r="SW68" i="2"/>
  <c r="SV31" i="2"/>
  <c r="SV62" i="2"/>
  <c r="SV81" i="2"/>
  <c r="SV4" i="2"/>
  <c r="SV20" i="2"/>
  <c r="SV90" i="2"/>
  <c r="SV40" i="2"/>
  <c r="SV30" i="2"/>
  <c r="SV75" i="2"/>
  <c r="GW26" i="1"/>
  <c r="GW4" i="1"/>
  <c r="GW62" i="1"/>
  <c r="GW67" i="1"/>
  <c r="GW78" i="1"/>
  <c r="SU36" i="2"/>
  <c r="SU32" i="2"/>
  <c r="SU83" i="2"/>
  <c r="SU30" i="2"/>
  <c r="SU62" i="2"/>
  <c r="SU64" i="2"/>
  <c r="SU68" i="2"/>
  <c r="SU38" i="2"/>
  <c r="SU88" i="2"/>
  <c r="SU24" i="2"/>
  <c r="SU44" i="2"/>
  <c r="SU45" i="2"/>
  <c r="SU57" i="2"/>
  <c r="H57" i="3" s="1"/>
  <c r="AY57" i="3" s="1"/>
  <c r="SU4" i="2"/>
  <c r="GV62" i="1" l="1"/>
  <c r="GV68" i="1"/>
  <c r="GV21" i="1"/>
  <c r="GV22" i="1"/>
  <c r="SS32" i="2" l="1"/>
  <c r="SS31" i="2"/>
  <c r="SS30" i="2"/>
  <c r="SS4" i="2"/>
  <c r="SR67" i="2" l="1"/>
  <c r="SR31" i="2"/>
  <c r="SO31" i="2" l="1"/>
  <c r="SN31" i="2"/>
  <c r="SK30" i="2"/>
  <c r="SP5" i="2" l="1"/>
  <c r="SP4" i="2"/>
  <c r="SP17" i="2"/>
  <c r="SP45" i="2"/>
  <c r="SP44" i="2"/>
  <c r="SP75" i="2"/>
  <c r="SP66" i="2"/>
  <c r="SP68" i="2"/>
  <c r="SP67" i="2"/>
  <c r="SP38" i="2"/>
  <c r="SP32" i="2"/>
  <c r="SP30" i="2"/>
  <c r="SP31" i="2"/>
  <c r="SQ36" i="2"/>
  <c r="SQ41" i="2"/>
  <c r="SO36" i="2"/>
  <c r="SP49" i="2" l="1"/>
  <c r="SP70" i="2"/>
  <c r="SP40" i="2"/>
  <c r="SP36" i="2"/>
  <c r="SO45" i="2" l="1"/>
  <c r="SO68" i="2"/>
  <c r="SO67" i="2"/>
  <c r="SO62" i="2"/>
  <c r="SO64" i="2"/>
  <c r="SO40" i="2"/>
  <c r="SO30" i="2"/>
  <c r="SO4" i="2"/>
  <c r="SN83" i="2"/>
  <c r="SN67" i="2" l="1"/>
  <c r="SN78" i="2"/>
  <c r="SN62" i="2"/>
  <c r="SN64" i="2"/>
  <c r="SN68" i="2"/>
  <c r="SN75" i="2" l="1"/>
  <c r="SN29" i="2"/>
  <c r="SN4" i="2"/>
  <c r="SM58" i="2" l="1"/>
  <c r="SM44" i="2"/>
  <c r="SM81" i="2"/>
  <c r="SM67" i="2"/>
  <c r="SM62" i="2"/>
  <c r="SM30" i="2"/>
  <c r="SM31" i="2"/>
  <c r="SL31" i="2" l="1"/>
  <c r="SK31" i="2"/>
  <c r="SK36" i="2"/>
  <c r="SK62" i="2"/>
  <c r="SK4" i="2"/>
  <c r="SI78" i="2" l="1"/>
  <c r="SI4" i="2"/>
  <c r="SJ36" i="2" l="1"/>
  <c r="SJ41" i="2"/>
  <c r="SJ4" i="2"/>
  <c r="SJ31" i="2" l="1"/>
  <c r="SJ67" i="2"/>
  <c r="SJ32" i="2"/>
  <c r="SJ62" i="2"/>
  <c r="SJ20" i="2" l="1"/>
  <c r="SJ39" i="2"/>
  <c r="SJ44" i="2"/>
  <c r="SJ64" i="2"/>
  <c r="SJ45" i="2"/>
  <c r="SJ78" i="2"/>
  <c r="SI67" i="2" l="1"/>
  <c r="SI62" i="2"/>
  <c r="SI64" i="2"/>
  <c r="SI44" i="2" l="1"/>
  <c r="SI77" i="2"/>
  <c r="SI88" i="2"/>
  <c r="SI31" i="2"/>
  <c r="SI40" i="2"/>
  <c r="SI30" i="2"/>
  <c r="SI45" i="2"/>
  <c r="SI81" i="2"/>
  <c r="SI49" i="2"/>
  <c r="SI36" i="2"/>
  <c r="SI29" i="2"/>
  <c r="SI32" i="2"/>
  <c r="SI41" i="2"/>
  <c r="SI90" i="2"/>
  <c r="SI83" i="2"/>
  <c r="SI28" i="2"/>
  <c r="SH31" i="2"/>
  <c r="SH4" i="2"/>
  <c r="SH62" i="2"/>
  <c r="SH64" i="2"/>
  <c r="SH36" i="2"/>
  <c r="SH67" i="2"/>
  <c r="SH32" i="2"/>
  <c r="SH41" i="2"/>
  <c r="SH30" i="2"/>
  <c r="SH43" i="2"/>
  <c r="SH45" i="2"/>
  <c r="SH22" i="2"/>
  <c r="SH53" i="2"/>
  <c r="SH44" i="2"/>
  <c r="SH78" i="2"/>
  <c r="SH68" i="2"/>
  <c r="SH28" i="2"/>
  <c r="SH70" i="2"/>
  <c r="SH66" i="2"/>
  <c r="SG31" i="2" l="1"/>
  <c r="SG62" i="2"/>
  <c r="SG77" i="2" l="1"/>
  <c r="SG30" i="2"/>
  <c r="SG5" i="2"/>
  <c r="SG4" i="2"/>
  <c r="SF36" i="2"/>
  <c r="SF83" i="2"/>
  <c r="SF31" i="2"/>
  <c r="SF30" i="2"/>
  <c r="SF75" i="2"/>
  <c r="SF45" i="2"/>
  <c r="SF53" i="2"/>
  <c r="SF62" i="2"/>
  <c r="SF64" i="2"/>
  <c r="SF67" i="2"/>
  <c r="SF38" i="2"/>
  <c r="SF4" i="2" l="1"/>
  <c r="SF44" i="2"/>
  <c r="SF88" i="2"/>
  <c r="SF68" i="2"/>
  <c r="SE31" i="2"/>
  <c r="SE64" i="2" l="1"/>
  <c r="SE73" i="2" l="1"/>
  <c r="SE77" i="2"/>
  <c r="SE62" i="2"/>
  <c r="SE30" i="2"/>
  <c r="SE5" i="2"/>
  <c r="SE4" i="2"/>
  <c r="SD70" i="2" l="1"/>
  <c r="SD31" i="2"/>
  <c r="SD62" i="2"/>
  <c r="SD36" i="2"/>
  <c r="SD32" i="2"/>
  <c r="SD30" i="2"/>
  <c r="SD73" i="2"/>
  <c r="SD4" i="2"/>
  <c r="SD64" i="2"/>
  <c r="SD67" i="2"/>
  <c r="SD68" i="2"/>
  <c r="SC41" i="2" l="1"/>
  <c r="SC31" i="2"/>
  <c r="SC83" i="2"/>
  <c r="SC62" i="2"/>
  <c r="SC64" i="2" l="1"/>
  <c r="SC45" i="2"/>
  <c r="SC73" i="2"/>
  <c r="SC77" i="2"/>
  <c r="SC68" i="2"/>
  <c r="SC67" i="2"/>
  <c r="SC40" i="2"/>
  <c r="SC38" i="2"/>
  <c r="SC30" i="2"/>
  <c r="SB31" i="2"/>
  <c r="SB32" i="2"/>
  <c r="SB36" i="2"/>
  <c r="GT67" i="1" l="1"/>
  <c r="GT68" i="1"/>
  <c r="GT62" i="1"/>
  <c r="GT4" i="1"/>
  <c r="GT26" i="1"/>
  <c r="SA67" i="2"/>
  <c r="SA73" i="2"/>
  <c r="SA62" i="2"/>
  <c r="SA64" i="2"/>
  <c r="SA30" i="2"/>
  <c r="SA4" i="2"/>
  <c r="SA22" i="2"/>
  <c r="SA44" i="2"/>
  <c r="SA85" i="2"/>
  <c r="SA75" i="2"/>
  <c r="SA78" i="2"/>
  <c r="SA68" i="2"/>
  <c r="SA36" i="2"/>
  <c r="SA32" i="2"/>
  <c r="SA41" i="2"/>
  <c r="SA90" i="2"/>
  <c r="SA83" i="2"/>
  <c r="SA31" i="2"/>
  <c r="SA45" i="2"/>
  <c r="SA38" i="2"/>
  <c r="RZ36" i="2"/>
  <c r="RZ32" i="2"/>
  <c r="RZ41" i="2"/>
  <c r="RZ83" i="2"/>
  <c r="RZ31" i="2"/>
  <c r="RZ30" i="2"/>
  <c r="RZ4" i="2"/>
  <c r="RZ64" i="2"/>
  <c r="RZ68" i="2"/>
  <c r="RY31" i="2"/>
  <c r="RY62" i="2"/>
  <c r="RX62" i="2" l="1"/>
  <c r="RX36" i="2"/>
  <c r="RX39" i="2"/>
  <c r="RX30" i="2"/>
  <c r="RX4" i="2"/>
  <c r="RX5" i="2"/>
  <c r="RX64" i="2"/>
  <c r="RX68" i="2"/>
  <c r="RX32" i="2" l="1"/>
  <c r="RX41" i="2"/>
  <c r="RX20" i="2"/>
  <c r="RX67" i="2"/>
  <c r="RX31" i="2"/>
  <c r="RW62" i="2"/>
  <c r="RW16" i="2" l="1"/>
  <c r="RW32" i="2"/>
  <c r="RW41" i="2"/>
  <c r="RW36" i="2"/>
  <c r="RW31" i="2"/>
  <c r="RW30" i="2"/>
  <c r="RW4" i="2"/>
  <c r="AS4" i="3" l="1"/>
  <c r="RV31" i="2"/>
  <c r="RV62" i="2"/>
  <c r="RV53" i="2" l="1"/>
  <c r="RV44" i="2"/>
  <c r="RV80" i="2"/>
  <c r="RV68" i="2"/>
  <c r="RV64" i="2"/>
  <c r="RU31" i="2" l="1"/>
  <c r="RU62" i="2"/>
  <c r="AS17" i="3"/>
  <c r="AT17" i="3" s="1"/>
  <c r="RT31" i="2"/>
  <c r="GS67" i="1"/>
  <c r="GS68" i="1"/>
  <c r="GS31" i="1"/>
  <c r="GS75" i="1"/>
  <c r="GS4" i="1"/>
  <c r="GS88" i="1"/>
  <c r="GS44" i="1"/>
  <c r="GS62" i="1"/>
  <c r="GR67" i="1"/>
  <c r="GR68" i="1"/>
  <c r="GR26" i="1"/>
  <c r="GR4" i="1"/>
  <c r="GR78" i="1"/>
  <c r="LF78" i="1" s="1"/>
  <c r="E78" i="3" s="1"/>
  <c r="GR77" i="1"/>
  <c r="GR73" i="1"/>
  <c r="GR62" i="1"/>
  <c r="RS4" i="2"/>
  <c r="GQ31" i="1"/>
  <c r="GQ62" i="1"/>
  <c r="GQ26" i="1"/>
  <c r="RR36" i="2" l="1"/>
  <c r="RR31" i="2"/>
  <c r="GP45" i="1"/>
  <c r="GP44" i="1"/>
  <c r="GP40" i="1"/>
  <c r="LF40" i="1" s="1"/>
  <c r="E40" i="3" s="1"/>
  <c r="GP31" i="1"/>
  <c r="GP35" i="1"/>
  <c r="GP30" i="1"/>
  <c r="GP36" i="1"/>
  <c r="AR35" i="3"/>
  <c r="GO36" i="1"/>
  <c r="GO31" i="1"/>
  <c r="GO16" i="1"/>
  <c r="GO17" i="1"/>
  <c r="GO30" i="1"/>
  <c r="LF16" i="1" l="1"/>
  <c r="E16" i="3" s="1"/>
  <c r="H16" i="3" s="1"/>
  <c r="AY16" i="3" s="1"/>
  <c r="LF35" i="1"/>
  <c r="E35" i="3" s="1"/>
  <c r="H35" i="3" s="1"/>
  <c r="AY35" i="3" s="1"/>
  <c r="OD36" i="2"/>
  <c r="FY36" i="1"/>
  <c r="GE36" i="1"/>
  <c r="RQ90" i="2" l="1"/>
  <c r="RQ62" i="2"/>
  <c r="RQ64" i="2"/>
  <c r="RQ38" i="2"/>
  <c r="RQ32" i="2"/>
  <c r="RQ31" i="2"/>
  <c r="RK36" i="2" l="1"/>
  <c r="RH36" i="2"/>
  <c r="RE36" i="2" l="1"/>
  <c r="RO62" i="2" l="1"/>
  <c r="GN49" i="1" l="1"/>
  <c r="GN31" i="1"/>
  <c r="RN17" i="2" l="1"/>
  <c r="RN31" i="2" l="1"/>
  <c r="RN68" i="2"/>
  <c r="RN67" i="2"/>
  <c r="RN62" i="2"/>
  <c r="RN64" i="2"/>
  <c r="RN41" i="2"/>
  <c r="RN32" i="2"/>
  <c r="RN36" i="2"/>
  <c r="RN4" i="2"/>
  <c r="RM95" i="2"/>
  <c r="H95" i="3" s="1"/>
  <c r="AY95" i="3" s="1"/>
  <c r="RM67" i="2"/>
  <c r="RM44" i="2"/>
  <c r="RM68" i="2"/>
  <c r="RM62" i="2"/>
  <c r="RM32" i="2"/>
  <c r="RM31" i="2"/>
  <c r="RL62" i="2"/>
  <c r="RL32" i="2"/>
  <c r="GK62" i="1" l="1"/>
  <c r="GK36" i="1"/>
  <c r="GK31" i="1"/>
  <c r="GK49" i="1"/>
  <c r="GK17" i="1"/>
  <c r="GK30" i="1"/>
  <c r="RK67" i="2"/>
  <c r="RK62" i="2"/>
  <c r="RK31" i="2"/>
  <c r="RK4" i="2"/>
  <c r="RK41" i="2"/>
  <c r="RK20" i="2"/>
  <c r="RK39" i="2"/>
  <c r="RK32" i="2"/>
  <c r="RK30" i="2"/>
  <c r="RJ40" i="2"/>
  <c r="RJ31" i="2"/>
  <c r="RJ68" i="2"/>
  <c r="RJ67" i="2"/>
  <c r="RJ62" i="2"/>
  <c r="RJ41" i="2"/>
  <c r="RJ4" i="2"/>
  <c r="RI67" i="2"/>
  <c r="RI62" i="2"/>
  <c r="RI64" i="2"/>
  <c r="RI41" i="2"/>
  <c r="RI30" i="2"/>
  <c r="RI31" i="2"/>
  <c r="RI4" i="2"/>
  <c r="RH62" i="2"/>
  <c r="RH40" i="2"/>
  <c r="RH31" i="2"/>
  <c r="RH30" i="2"/>
  <c r="RH66" i="2"/>
  <c r="RH77" i="2"/>
  <c r="RH4" i="2"/>
  <c r="RH67" i="2"/>
  <c r="RH38" i="2"/>
  <c r="RG62" i="2"/>
  <c r="RH45" i="2"/>
  <c r="RH21" i="2"/>
  <c r="RH32" i="2"/>
  <c r="RF64" i="2" l="1"/>
  <c r="RF62" i="2"/>
  <c r="RF41" i="2"/>
  <c r="RF31" i="2"/>
  <c r="RG30" i="2"/>
  <c r="RG31" i="2"/>
  <c r="QS17" i="2"/>
  <c r="RE31" i="2" l="1"/>
  <c r="RE62" i="2"/>
  <c r="RE32" i="2"/>
  <c r="RE40" i="2"/>
  <c r="RE30" i="2"/>
  <c r="RE67" i="2"/>
  <c r="RD31" i="2"/>
  <c r="RE44" i="2"/>
  <c r="RE61" i="2"/>
  <c r="RE68" i="2"/>
  <c r="RE38" i="2"/>
  <c r="RE64" i="2"/>
  <c r="RC62" i="2"/>
  <c r="RC64" i="2"/>
  <c r="RC31" i="2"/>
  <c r="RC49" i="2"/>
  <c r="RA67" i="2" l="1"/>
  <c r="RB32" i="2"/>
  <c r="RB36" i="2"/>
  <c r="RB30" i="2"/>
  <c r="RB31" i="2"/>
  <c r="RB4" i="2"/>
  <c r="RB62" i="2"/>
  <c r="RB53" i="2"/>
  <c r="H53" i="3" s="1"/>
  <c r="AY53" i="3" s="1"/>
  <c r="RB91" i="2"/>
  <c r="RB40" i="2"/>
  <c r="RB90" i="2"/>
  <c r="RA31" i="2" l="1"/>
  <c r="RA62" i="2"/>
  <c r="RA20" i="2"/>
  <c r="RA77" i="2"/>
  <c r="RA70" i="2"/>
  <c r="RA30" i="2"/>
  <c r="RA4" i="2"/>
  <c r="RA64" i="2"/>
  <c r="RA44" i="2"/>
  <c r="QZ92" i="2"/>
  <c r="QZ17" i="2"/>
  <c r="QZ44" i="2"/>
  <c r="QZ86" i="2"/>
  <c r="QZ80" i="2"/>
  <c r="QZ62" i="2"/>
  <c r="QZ64" i="2"/>
  <c r="GJ30" i="1"/>
  <c r="GJ68" i="1"/>
  <c r="GJ67" i="1"/>
  <c r="GJ4" i="1"/>
  <c r="GJ66" i="1"/>
  <c r="GJ36" i="1"/>
  <c r="GJ31" i="1"/>
  <c r="GJ75" i="1"/>
  <c r="LF75" i="1" s="1"/>
  <c r="E75" i="3" s="1"/>
  <c r="QZ54" i="2"/>
  <c r="QZ78" i="2"/>
  <c r="QZ68" i="2"/>
  <c r="QZ67" i="2"/>
  <c r="QZ40" i="2"/>
  <c r="QZ29" i="2"/>
  <c r="QZ31" i="2"/>
  <c r="QY68" i="2"/>
  <c r="QY67" i="2"/>
  <c r="QY62" i="2"/>
  <c r="QY64" i="2"/>
  <c r="QY36" i="2"/>
  <c r="QY31" i="2"/>
  <c r="QY4" i="2"/>
  <c r="QY17" i="2"/>
  <c r="QY55" i="2"/>
  <c r="QY44" i="2"/>
  <c r="QY40" i="2"/>
  <c r="QY29" i="2"/>
  <c r="GI62" i="1" l="1"/>
  <c r="GI4" i="1"/>
  <c r="GI26" i="1"/>
  <c r="GH26" i="1"/>
  <c r="GH62" i="1"/>
  <c r="QX44" i="2"/>
  <c r="QX66" i="2"/>
  <c r="QX68" i="2"/>
  <c r="QX67" i="2"/>
  <c r="QX62" i="2"/>
  <c r="QX64" i="2"/>
  <c r="QX31" i="2"/>
  <c r="QX4" i="2"/>
  <c r="QS31" i="2" l="1"/>
  <c r="QS5" i="2"/>
  <c r="QW4" i="2"/>
  <c r="QV44" i="2"/>
  <c r="QW29" i="2"/>
  <c r="QW62" i="2"/>
  <c r="QW31" i="2"/>
  <c r="GG92" i="1"/>
  <c r="GG31" i="1"/>
  <c r="QV62" i="2" l="1"/>
  <c r="QV88" i="2"/>
  <c r="QV64" i="2"/>
  <c r="QV36" i="2"/>
  <c r="QV31" i="2"/>
  <c r="QV30" i="2"/>
  <c r="QV17" i="2"/>
  <c r="QV4" i="2"/>
  <c r="QV66" i="2"/>
  <c r="QW54" i="2"/>
  <c r="H54" i="3" s="1"/>
  <c r="AY54" i="3" s="1"/>
  <c r="QW42" i="2"/>
  <c r="QW91" i="2"/>
  <c r="QW80" i="2"/>
  <c r="QW88" i="2"/>
  <c r="QW70" i="2"/>
  <c r="QW66" i="2"/>
  <c r="QW40" i="2"/>
  <c r="QW36" i="2"/>
  <c r="QW30" i="2"/>
  <c r="QV68" i="2"/>
  <c r="QV67" i="2"/>
  <c r="QS44" i="2"/>
  <c r="QS83" i="2"/>
  <c r="QS88" i="2"/>
  <c r="QS68" i="2"/>
  <c r="QS67" i="2"/>
  <c r="QS62" i="2"/>
  <c r="QS64" i="2"/>
  <c r="QS30" i="2"/>
  <c r="QS38" i="2"/>
  <c r="QS32" i="2"/>
  <c r="QS36" i="2"/>
  <c r="AS14" i="3"/>
  <c r="AT14" i="3" s="1"/>
  <c r="AS16" i="3"/>
  <c r="AT16" i="3" s="1"/>
  <c r="AS12" i="3" l="1"/>
  <c r="AT12" i="3" s="1"/>
  <c r="QR17" i="2"/>
  <c r="QR81" i="2"/>
  <c r="QR88" i="2"/>
  <c r="QR66" i="2"/>
  <c r="QR68" i="2"/>
  <c r="QR62" i="2"/>
  <c r="QR64" i="2"/>
  <c r="QR41" i="2"/>
  <c r="QR38" i="2"/>
  <c r="H38" i="3" s="1"/>
  <c r="AY38" i="3" s="1"/>
  <c r="QR32" i="2"/>
  <c r="QR36" i="2"/>
  <c r="QR30" i="2"/>
  <c r="QR4" i="2" l="1"/>
  <c r="GF62" i="1"/>
  <c r="GF4" i="1"/>
  <c r="QQ31" i="2"/>
  <c r="GE20" i="1"/>
  <c r="GE4" i="1"/>
  <c r="GE30" i="1"/>
  <c r="GE41" i="1"/>
  <c r="GE31" i="1"/>
  <c r="QQ20" i="2"/>
  <c r="QQ41" i="2"/>
  <c r="QQ39" i="2"/>
  <c r="QQ32" i="2"/>
  <c r="QQ36" i="2"/>
  <c r="QQ30" i="2"/>
  <c r="QQ4" i="2"/>
  <c r="GE44" i="1"/>
  <c r="GE88" i="1"/>
  <c r="LF88" i="1" s="1"/>
  <c r="E88" i="3" s="1"/>
  <c r="GE17" i="1"/>
  <c r="LF17" i="1" s="1"/>
  <c r="E17" i="3" s="1"/>
  <c r="GE46" i="1"/>
  <c r="QQ44" i="2"/>
  <c r="QQ70" i="2"/>
  <c r="QQ66" i="2"/>
  <c r="QQ68" i="2"/>
  <c r="QQ67" i="2"/>
  <c r="QQ64" i="2"/>
  <c r="LF46" i="1" l="1"/>
  <c r="E46" i="3" s="1"/>
  <c r="H46" i="3" s="1"/>
  <c r="AY46" i="3" s="1"/>
  <c r="QP83" i="2"/>
  <c r="QP68" i="2"/>
  <c r="QP67" i="2"/>
  <c r="QP64" i="2"/>
  <c r="QP36" i="2"/>
  <c r="QP30" i="2"/>
  <c r="QP31" i="2"/>
  <c r="QP4" i="2"/>
  <c r="QP49" i="2"/>
  <c r="QP45" i="2"/>
  <c r="QP44" i="2"/>
  <c r="QP86" i="2"/>
  <c r="H86" i="3" s="1"/>
  <c r="AY86" i="3" s="1"/>
  <c r="QP85" i="2"/>
  <c r="QP62" i="2"/>
  <c r="QP29" i="2"/>
  <c r="QP28" i="2"/>
  <c r="QO62" i="2" l="1"/>
  <c r="QI31" i="2" l="1"/>
  <c r="QM31" i="2" l="1"/>
  <c r="AS18" i="3"/>
  <c r="AT18" i="3" s="1"/>
  <c r="QL31" i="2"/>
  <c r="QM4" i="2"/>
  <c r="GC44" i="1" l="1"/>
  <c r="GC29" i="1"/>
  <c r="GC92" i="1"/>
  <c r="LF92" i="1" s="1"/>
  <c r="E92" i="3" s="1"/>
  <c r="GC31" i="1"/>
  <c r="QL70" i="2" l="1"/>
  <c r="QL66" i="2"/>
  <c r="QL41" i="2"/>
  <c r="QL39" i="2"/>
  <c r="QL37" i="2"/>
  <c r="QL32" i="2"/>
  <c r="QL36" i="2"/>
  <c r="QL30" i="2"/>
  <c r="QL4" i="2"/>
  <c r="QM20" i="2"/>
  <c r="QM70" i="2"/>
  <c r="QM66" i="2"/>
  <c r="QM68" i="2"/>
  <c r="QM64" i="2"/>
  <c r="QM32" i="2"/>
  <c r="QM36" i="2"/>
  <c r="QM30" i="2"/>
  <c r="QL62" i="2"/>
  <c r="FZ24" i="1"/>
  <c r="LF24" i="1" l="1"/>
  <c r="E24" i="3" s="1"/>
  <c r="H24" i="3" s="1"/>
  <c r="AY24" i="3" s="1"/>
  <c r="QM67" i="2"/>
  <c r="QM62" i="2"/>
  <c r="QL5" i="2"/>
  <c r="QK22" i="2"/>
  <c r="QK73" i="2"/>
  <c r="QK68" i="2"/>
  <c r="QK62" i="2"/>
  <c r="QK64" i="2"/>
  <c r="QK30" i="2"/>
  <c r="QK31" i="2"/>
  <c r="QK85" i="2"/>
  <c r="H85" i="3" s="1"/>
  <c r="AY85" i="3" s="1"/>
  <c r="QK39" i="2"/>
  <c r="QK70" i="2"/>
  <c r="QK67" i="2"/>
  <c r="QK41" i="2"/>
  <c r="QK32" i="2"/>
  <c r="QK36" i="2"/>
  <c r="QK4" i="2"/>
  <c r="QK37" i="2"/>
  <c r="QJ62" i="2" l="1"/>
  <c r="QJ67" i="2" l="1"/>
  <c r="GB62" i="1" l="1"/>
  <c r="QG62" i="2"/>
  <c r="QI62" i="2"/>
  <c r="QI36" i="2" l="1"/>
  <c r="QI67" i="2"/>
  <c r="QI30" i="2"/>
  <c r="QI4" i="2"/>
  <c r="QI20" i="2"/>
  <c r="QI70" i="2"/>
  <c r="QI64" i="2"/>
  <c r="QI68" i="2"/>
  <c r="QI41" i="2"/>
  <c r="QI39" i="2"/>
  <c r="QI37" i="2"/>
  <c r="QI32" i="2"/>
  <c r="GA36" i="1"/>
  <c r="GA31" i="1"/>
  <c r="QH31" i="2" l="1"/>
  <c r="QH62" i="2"/>
  <c r="QG31" i="2"/>
  <c r="QF62" i="2" l="1"/>
  <c r="FZ36" i="1" l="1"/>
  <c r="QF31" i="2"/>
  <c r="FZ31" i="1"/>
  <c r="FY11" i="1"/>
  <c r="QE62" i="2"/>
  <c r="QD67" i="2"/>
  <c r="QC67" i="2"/>
  <c r="QC73" i="2"/>
  <c r="QC62" i="2"/>
  <c r="QC39" i="2"/>
  <c r="QC36" i="2"/>
  <c r="QC30" i="2"/>
  <c r="QC31" i="2"/>
  <c r="QC4" i="2"/>
  <c r="QC32" i="2"/>
  <c r="LF11" i="1" l="1"/>
  <c r="E11" i="3" s="1"/>
  <c r="H11" i="3" s="1"/>
  <c r="AY11" i="3" s="1"/>
  <c r="AS21" i="3"/>
  <c r="AT21" i="3" s="1"/>
  <c r="QC45" i="2"/>
  <c r="QC64" i="2"/>
  <c r="QC68" i="2" l="1"/>
  <c r="QC41" i="2"/>
  <c r="QC28" i="2"/>
  <c r="QB32" i="2" l="1"/>
  <c r="QB41" i="2"/>
  <c r="QB36" i="2"/>
  <c r="QB62" i="2"/>
  <c r="QB64" i="2"/>
  <c r="QB31" i="2"/>
  <c r="QB30" i="2"/>
  <c r="QB4" i="2"/>
  <c r="QA67" i="2"/>
  <c r="QA62" i="2"/>
  <c r="QA41" i="2"/>
  <c r="QA36" i="2"/>
  <c r="QA30" i="2"/>
  <c r="QA31" i="2"/>
  <c r="QA4" i="2"/>
  <c r="QA64" i="2"/>
  <c r="QA42" i="2"/>
  <c r="H42" i="3" s="1"/>
  <c r="AY42" i="3" s="1"/>
  <c r="QA68" i="2"/>
  <c r="QA39" i="2"/>
  <c r="FX36" i="1"/>
  <c r="FX31" i="1"/>
  <c r="PX62" i="2" l="1"/>
  <c r="FU67" i="1"/>
  <c r="PV67" i="2"/>
  <c r="PX31" i="2"/>
  <c r="FU62" i="1"/>
  <c r="FV67" i="1"/>
  <c r="PY31" i="2"/>
  <c r="PX68" i="2" l="1"/>
  <c r="PX64" i="2"/>
  <c r="PX67" i="2"/>
  <c r="PX30" i="2"/>
  <c r="FV68" i="1"/>
  <c r="FV62" i="1"/>
  <c r="FV4" i="1"/>
  <c r="PV62" i="2" l="1"/>
  <c r="PV32" i="2"/>
  <c r="PV31" i="2"/>
  <c r="PV36" i="2"/>
  <c r="PV64" i="2"/>
  <c r="PV30" i="2"/>
  <c r="PV45" i="2" l="1"/>
  <c r="PV4" i="2"/>
  <c r="FU68" i="1" l="1"/>
  <c r="PT31" i="2"/>
  <c r="PT30" i="2"/>
  <c r="PT4" i="2"/>
  <c r="PS62" i="2" l="1"/>
  <c r="PS70" i="2"/>
  <c r="PS41" i="2"/>
  <c r="PS32" i="2"/>
  <c r="PS36" i="2"/>
  <c r="PS30" i="2"/>
  <c r="PS31" i="2"/>
  <c r="PS4" i="2"/>
  <c r="PR4" i="2" l="1"/>
  <c r="PR62" i="2"/>
  <c r="PR67" i="2"/>
  <c r="PR68" i="2"/>
  <c r="PR31" i="2"/>
  <c r="FS31" i="1" l="1"/>
  <c r="PO96" i="2" l="1"/>
  <c r="H96" i="3" s="1"/>
  <c r="AY96" i="3" s="1"/>
  <c r="PO45" i="2"/>
  <c r="PO91" i="2"/>
  <c r="PO80" i="2"/>
  <c r="PO70" i="2"/>
  <c r="PO66" i="2"/>
  <c r="PO62" i="2"/>
  <c r="PO30" i="2"/>
  <c r="PO31" i="2"/>
  <c r="PO4" i="2"/>
  <c r="PN49" i="2"/>
  <c r="PN45" i="2"/>
  <c r="PN80" i="2"/>
  <c r="PN70" i="2"/>
  <c r="PN68" i="2"/>
  <c r="PN62" i="2"/>
  <c r="PN40" i="2"/>
  <c r="PN30" i="2"/>
  <c r="PN31" i="2"/>
  <c r="PN4" i="2"/>
  <c r="PN36" i="2"/>
  <c r="PM49" i="2"/>
  <c r="PM62" i="2"/>
  <c r="PM36" i="2"/>
  <c r="PM30" i="2"/>
  <c r="PM31" i="2"/>
  <c r="PM4" i="2"/>
  <c r="PM83" i="2"/>
  <c r="PM66" i="2"/>
  <c r="PM67" i="2"/>
  <c r="PM32" i="2"/>
  <c r="PL62" i="2"/>
  <c r="PK64" i="2" l="1"/>
  <c r="PK68" i="2"/>
  <c r="PK67" i="2"/>
  <c r="PK62" i="2"/>
  <c r="PK36" i="2"/>
  <c r="PK30" i="2"/>
  <c r="PK31" i="2"/>
  <c r="PK4" i="2"/>
  <c r="PJ68" i="2"/>
  <c r="PJ67" i="2"/>
  <c r="PJ62" i="2"/>
  <c r="PI49" i="2"/>
  <c r="PI31" i="2"/>
  <c r="PI4" i="2"/>
  <c r="PH31" i="2" l="1"/>
  <c r="PE45" i="2" l="1"/>
  <c r="PG62" i="2" l="1"/>
  <c r="PG31" i="2"/>
  <c r="PG49" i="2"/>
  <c r="PG67" i="2"/>
  <c r="PG64" i="2"/>
  <c r="PG4" i="2"/>
  <c r="PG36" i="2"/>
  <c r="PG30" i="2"/>
  <c r="PF49" i="2" l="1"/>
  <c r="PF45" i="2"/>
  <c r="PF83" i="2"/>
  <c r="PF67" i="2"/>
  <c r="PF68" i="2"/>
  <c r="PF64" i="2"/>
  <c r="PF62" i="2"/>
  <c r="PF40" i="2"/>
  <c r="PF36" i="2"/>
  <c r="PF31" i="2"/>
  <c r="PF4" i="2"/>
  <c r="PF44" i="2" l="1"/>
  <c r="PF30" i="2"/>
  <c r="PE49" i="2"/>
  <c r="PE20" i="2"/>
  <c r="PE67" i="2"/>
  <c r="PE62" i="2"/>
  <c r="PE64" i="2"/>
  <c r="PE40" i="2"/>
  <c r="H40" i="3" s="1"/>
  <c r="AY40" i="3" s="1"/>
  <c r="PE36" i="2"/>
  <c r="PE30" i="2"/>
  <c r="PE31" i="2"/>
  <c r="PE4" i="2"/>
  <c r="PE68" i="2"/>
  <c r="OZ67" i="2" l="1"/>
  <c r="OZ30" i="2"/>
  <c r="PD67" i="2"/>
  <c r="PA45" i="2" l="1"/>
  <c r="FQ62" i="1"/>
  <c r="FQ26" i="1"/>
  <c r="FQ49" i="1"/>
  <c r="LF49" i="1" s="1"/>
  <c r="E49" i="3" s="1"/>
  <c r="PD66" i="2"/>
  <c r="PD68" i="2"/>
  <c r="PD64" i="2"/>
  <c r="PD62" i="2"/>
  <c r="PD36" i="2"/>
  <c r="PD31" i="2"/>
  <c r="PD30" i="2"/>
  <c r="PB36" i="2" l="1"/>
  <c r="PA67" i="2"/>
  <c r="PA62" i="2"/>
  <c r="PA70" i="2"/>
  <c r="PA66" i="2"/>
  <c r="PA68" i="2"/>
  <c r="PA36" i="2"/>
  <c r="PA30" i="2"/>
  <c r="PA31" i="2"/>
  <c r="PA32" i="2"/>
  <c r="OZ70" i="2"/>
  <c r="OZ66" i="2"/>
  <c r="OZ68" i="2"/>
  <c r="OZ62" i="2"/>
  <c r="OZ36" i="2"/>
  <c r="OZ31" i="2"/>
  <c r="OZ32" i="2"/>
  <c r="OY31" i="2"/>
  <c r="FP62" i="1" l="1"/>
  <c r="FP68" i="1"/>
  <c r="FP67" i="1"/>
  <c r="OW62" i="2" l="1"/>
  <c r="FN31" i="1"/>
  <c r="FO66" i="1"/>
  <c r="LF66" i="1" s="1"/>
  <c r="E66" i="3" s="1"/>
  <c r="FO70" i="1"/>
  <c r="FO30" i="1"/>
  <c r="FO31" i="1"/>
  <c r="FO36" i="1"/>
  <c r="OX31" i="2"/>
  <c r="OW31" i="2"/>
  <c r="OW67" i="2"/>
  <c r="LF70" i="1" l="1"/>
  <c r="E70" i="3" s="1"/>
  <c r="H70" i="3" s="1"/>
  <c r="AY70" i="3" s="1"/>
  <c r="OU62" i="2"/>
  <c r="OU41" i="2"/>
  <c r="OT20" i="2" l="1"/>
  <c r="OT41" i="2"/>
  <c r="OT32" i="2"/>
  <c r="OT4" i="2"/>
  <c r="OT68" i="2"/>
  <c r="OT67" i="2"/>
  <c r="OT62" i="2"/>
  <c r="OS67" i="2"/>
  <c r="OS68" i="2"/>
  <c r="OS62" i="2"/>
  <c r="OP92" i="2" l="1"/>
  <c r="OQ4" i="2"/>
  <c r="OR68" i="2"/>
  <c r="OR67" i="2"/>
  <c r="OR62" i="2"/>
  <c r="AS54" i="3" l="1"/>
  <c r="AT54" i="3" s="1"/>
  <c r="OQ61" i="2"/>
  <c r="OQ45" i="2"/>
  <c r="OQ68" i="2"/>
  <c r="OQ67" i="2"/>
  <c r="OQ62" i="2"/>
  <c r="OQ39" i="2"/>
  <c r="OQ37" i="2"/>
  <c r="OQ29" i="2"/>
  <c r="OQ28" i="2"/>
  <c r="OQ77" i="2"/>
  <c r="OQ41" i="2"/>
  <c r="OQ32" i="2"/>
  <c r="OQ20" i="2"/>
  <c r="OP62" i="2"/>
  <c r="OP68" i="2" l="1"/>
  <c r="OO68" i="2"/>
  <c r="ON62" i="2"/>
  <c r="OM62" i="2" l="1"/>
  <c r="OM68" i="2"/>
  <c r="OI68" i="2" l="1"/>
  <c r="OI67" i="2"/>
  <c r="AS57" i="3"/>
  <c r="AT57" i="3" s="1"/>
  <c r="AS53" i="3"/>
  <c r="AT53" i="3" s="1"/>
  <c r="AS55" i="3"/>
  <c r="AT55" i="3" s="1"/>
  <c r="AT4" i="3"/>
  <c r="AS5" i="3"/>
  <c r="AT5" i="3" s="1"/>
  <c r="AS10" i="3"/>
  <c r="AT10" i="3" s="1"/>
  <c r="AS52" i="3"/>
  <c r="AT52" i="3" s="1"/>
  <c r="AS50" i="3"/>
  <c r="AT50" i="3" s="1"/>
  <c r="OI41" i="2"/>
  <c r="OL22" i="2"/>
  <c r="OH68" i="2"/>
  <c r="OL36" i="2"/>
  <c r="OL62" i="2"/>
  <c r="OK62" i="2"/>
  <c r="OK4" i="2"/>
  <c r="OK67" i="2"/>
  <c r="OJ67" i="2"/>
  <c r="OJ62" i="2"/>
  <c r="OJ28" i="2"/>
  <c r="OJ4" i="2"/>
  <c r="OI62" i="2"/>
  <c r="OH4" i="2"/>
  <c r="OH45" i="2"/>
  <c r="OH62" i="2"/>
  <c r="OH92" i="2"/>
  <c r="H92" i="3" s="1"/>
  <c r="AY92" i="3" s="1"/>
  <c r="NZ36" i="2" l="1"/>
  <c r="NZ4" i="2"/>
  <c r="OA36" i="2" l="1"/>
  <c r="OD90" i="2"/>
  <c r="OD62" i="2"/>
  <c r="OD31" i="2"/>
  <c r="OD32" i="2"/>
  <c r="OD49" i="2"/>
  <c r="OD30" i="2"/>
  <c r="OD4" i="2"/>
  <c r="OD77" i="2"/>
  <c r="OD73" i="2"/>
  <c r="NZ62" i="2" l="1"/>
  <c r="NZ41" i="2"/>
  <c r="NZ31" i="2"/>
  <c r="NY62" i="2"/>
  <c r="NY31" i="2"/>
  <c r="NW67" i="2" l="1"/>
  <c r="NW62" i="2"/>
  <c r="NW41" i="2"/>
  <c r="NW36" i="2"/>
  <c r="NW4" i="2"/>
  <c r="NS68" i="2" l="1"/>
  <c r="FH4" i="1"/>
  <c r="NW64" i="2"/>
  <c r="NM36" i="2"/>
  <c r="FJ68" i="1"/>
  <c r="FJ67" i="1"/>
  <c r="FI68" i="1"/>
  <c r="FI62" i="1"/>
  <c r="NV67" i="2"/>
  <c r="NV62" i="2"/>
  <c r="NU44" i="2" l="1"/>
  <c r="NU64" i="2"/>
  <c r="NU30" i="2"/>
  <c r="NT36" i="2" l="1"/>
  <c r="NT4" i="2"/>
  <c r="NS10" i="2" l="1"/>
  <c r="H10" i="3" s="1"/>
  <c r="AY10" i="3" s="1"/>
  <c r="NS64" i="2"/>
  <c r="NS4" i="2"/>
  <c r="FH26" i="1" l="1"/>
  <c r="NP36" i="2" l="1"/>
  <c r="NP30" i="2" l="1"/>
  <c r="NP67" i="2"/>
  <c r="NP62" i="2"/>
  <c r="NO67" i="2"/>
  <c r="NO62" i="2"/>
  <c r="NO64" i="2"/>
  <c r="NO30" i="2"/>
  <c r="NO31" i="2"/>
  <c r="NN68" i="2" l="1"/>
  <c r="NN64" i="2"/>
  <c r="NM67" i="2" l="1"/>
  <c r="NM64" i="2"/>
  <c r="NM62" i="2"/>
  <c r="NM41" i="2"/>
  <c r="NM30" i="2"/>
  <c r="NM31" i="2"/>
  <c r="NL31" i="2" l="1"/>
  <c r="NL4" i="2"/>
  <c r="NL44" i="2"/>
  <c r="NL66" i="2"/>
  <c r="NL67" i="2"/>
  <c r="NL62" i="2"/>
  <c r="NL36" i="2"/>
  <c r="NL30" i="2"/>
  <c r="NL64" i="2"/>
  <c r="NJ66" i="2" l="1"/>
  <c r="H66" i="3" s="1"/>
  <c r="AY66" i="3" s="1"/>
  <c r="NJ62" i="2"/>
  <c r="NJ36" i="2"/>
  <c r="NJ30" i="2"/>
  <c r="NJ4" i="2"/>
  <c r="NJ68" i="2"/>
  <c r="NJ31" i="2"/>
  <c r="NI31" i="2"/>
  <c r="FF36" i="1" l="1"/>
  <c r="NH31" i="2"/>
  <c r="NH68" i="2"/>
  <c r="NH64" i="2"/>
  <c r="FF44" i="1"/>
  <c r="LF36" i="1" l="1"/>
  <c r="E36" i="3" s="1"/>
  <c r="H36" i="3" s="1"/>
  <c r="AY36" i="3" s="1"/>
  <c r="AS11" i="3"/>
  <c r="AT11" i="3" s="1"/>
  <c r="NG33" i="2" l="1"/>
  <c r="NG62" i="2"/>
  <c r="NG31" i="2"/>
  <c r="NG67" i="2"/>
  <c r="NG64" i="2"/>
  <c r="NG30" i="2"/>
  <c r="NF44" i="2" l="1"/>
  <c r="NF62" i="2"/>
  <c r="NF64" i="2"/>
  <c r="NF31" i="2"/>
  <c r="NF30" i="2"/>
  <c r="NF78" i="2"/>
  <c r="NF68" i="2"/>
  <c r="NF67" i="2"/>
  <c r="NF32" i="2"/>
  <c r="NE68" i="2" l="1"/>
  <c r="NE67" i="2"/>
  <c r="NE62" i="2"/>
  <c r="NE30" i="2"/>
  <c r="NE31" i="2"/>
  <c r="NE4" i="2"/>
  <c r="NE32" i="2"/>
  <c r="ND78" i="2"/>
  <c r="ND31" i="2"/>
  <c r="ND30" i="2"/>
  <c r="MM62" i="2" l="1"/>
  <c r="FB62" i="1"/>
  <c r="EW62" i="1" l="1"/>
  <c r="ND62" i="2"/>
  <c r="MZ67" i="2"/>
  <c r="MZ62" i="2"/>
  <c r="EZ28" i="1" l="1"/>
  <c r="LF28" i="1" s="1"/>
  <c r="E28" i="3" s="1"/>
  <c r="MM68" i="2" l="1"/>
  <c r="MM64" i="2"/>
  <c r="MM31" i="2"/>
  <c r="MM67" i="2"/>
  <c r="MM4" i="2"/>
  <c r="ML62" i="2"/>
  <c r="MK62" i="2"/>
  <c r="MK31" i="2"/>
  <c r="MJ62" i="2"/>
  <c r="MJ68" i="2"/>
  <c r="MJ67" i="2"/>
  <c r="MJ64" i="2"/>
  <c r="MJ33" i="2"/>
  <c r="NB68" i="2" l="1"/>
  <c r="NB62" i="2"/>
  <c r="NB64" i="2"/>
  <c r="NB31" i="2"/>
  <c r="NB30" i="2"/>
  <c r="NA67" i="2"/>
  <c r="NA62" i="2"/>
  <c r="NA37" i="2"/>
  <c r="MZ31" i="2"/>
  <c r="MZ64" i="2"/>
  <c r="MZ78" i="2"/>
  <c r="FD67" i="1" l="1"/>
  <c r="FD68" i="1"/>
  <c r="FD62" i="1"/>
  <c r="FC26" i="1"/>
  <c r="FC62" i="1"/>
  <c r="FC68" i="1"/>
  <c r="FC67" i="1"/>
  <c r="MY31" i="2" l="1"/>
  <c r="MW62" i="2"/>
  <c r="MU31" i="2"/>
  <c r="MT21" i="2"/>
  <c r="MT17" i="2"/>
  <c r="H17" i="3" s="1"/>
  <c r="AY17" i="3" s="1"/>
  <c r="MT44" i="2"/>
  <c r="MT62" i="2"/>
  <c r="MT30" i="2"/>
  <c r="MT31" i="2"/>
  <c r="MS31" i="2"/>
  <c r="MS30" i="2"/>
  <c r="MS32" i="2"/>
  <c r="MS62" i="2"/>
  <c r="MR44" i="2"/>
  <c r="MR68" i="2"/>
  <c r="MP62" i="2"/>
  <c r="MP20" i="2"/>
  <c r="MP80" i="2"/>
  <c r="MP32" i="2"/>
  <c r="MP30" i="2"/>
  <c r="MP31" i="2"/>
  <c r="MP4" i="2"/>
  <c r="MP64" i="2"/>
  <c r="MO62" i="2"/>
  <c r="MN31" i="2"/>
  <c r="FB68" i="1"/>
  <c r="FB67" i="1"/>
  <c r="FB44" i="1"/>
  <c r="FA44" i="1" l="1"/>
  <c r="FA30" i="1" l="1"/>
  <c r="MI67" i="2" l="1"/>
  <c r="MI45" i="2"/>
  <c r="MI62" i="2"/>
  <c r="MI64" i="2"/>
  <c r="MI30" i="2"/>
  <c r="MI31" i="2"/>
  <c r="MI4" i="2"/>
  <c r="MI37" i="2"/>
  <c r="MC31" i="2" l="1"/>
  <c r="LX31" i="2"/>
  <c r="LV31" i="2"/>
  <c r="EV31" i="1"/>
  <c r="LY31" i="2" l="1"/>
  <c r="MH62" i="2"/>
  <c r="MG62" i="2"/>
  <c r="MG64" i="2"/>
  <c r="MH77" i="2"/>
  <c r="LY64" i="2"/>
  <c r="LY62" i="2"/>
  <c r="LY30" i="2"/>
  <c r="LY32" i="2"/>
  <c r="LY67" i="2"/>
  <c r="EU31" i="1"/>
  <c r="EY68" i="1" l="1"/>
  <c r="EY67" i="1"/>
  <c r="MH31" i="2"/>
  <c r="MH90" i="2"/>
  <c r="MH73" i="2"/>
  <c r="MH83" i="2"/>
  <c r="MH67" i="2"/>
  <c r="MH64" i="2"/>
  <c r="MH4" i="2"/>
  <c r="MH20" i="2"/>
  <c r="MH68" i="2"/>
  <c r="MG67" i="2" l="1"/>
  <c r="MG33" i="2"/>
  <c r="MG30" i="2"/>
  <c r="MG31" i="2"/>
  <c r="MG4" i="2"/>
  <c r="MF28" i="2"/>
  <c r="MF62" i="2"/>
  <c r="EX62" i="1"/>
  <c r="EW22" i="1"/>
  <c r="LF22" i="1" s="1"/>
  <c r="E22" i="3" s="1"/>
  <c r="EW21" i="1"/>
  <c r="LF21" i="1" s="1"/>
  <c r="E21" i="3" s="1"/>
  <c r="EW67" i="1"/>
  <c r="EW68" i="1"/>
  <c r="EV62" i="1"/>
  <c r="EU4" i="1"/>
  <c r="EU26" i="1"/>
  <c r="EU62" i="1"/>
  <c r="ME41" i="2" l="1"/>
  <c r="ME39" i="2"/>
  <c r="ME37" i="2"/>
  <c r="ME32" i="2"/>
  <c r="ME31" i="2"/>
  <c r="ME30" i="2"/>
  <c r="ME4" i="2"/>
  <c r="ME62" i="2"/>
  <c r="ME83" i="2"/>
  <c r="MD4" i="2"/>
  <c r="MD31" i="2"/>
  <c r="MD30" i="2"/>
  <c r="MD32" i="2"/>
  <c r="MD62" i="2"/>
  <c r="MD44" i="2"/>
  <c r="MD68" i="2"/>
  <c r="MD49" i="2"/>
  <c r="MD64" i="2"/>
  <c r="MD67" i="2"/>
  <c r="MB62" i="2"/>
  <c r="MB67" i="2"/>
  <c r="MB4" i="2"/>
  <c r="MB31" i="2"/>
  <c r="MB37" i="2"/>
  <c r="LC62" i="2" l="1"/>
  <c r="EP67" i="1" l="1"/>
  <c r="LU64" i="2" l="1"/>
  <c r="LU68" i="2"/>
  <c r="LM33" i="2"/>
  <c r="LV64" i="2"/>
  <c r="LV68" i="2"/>
  <c r="LV62" i="2"/>
  <c r="LV41" i="2"/>
  <c r="LV32" i="2" l="1"/>
  <c r="EQ62" i="1" l="1"/>
  <c r="EP62" i="1"/>
  <c r="EP68" i="1"/>
  <c r="EP37" i="1"/>
  <c r="LF37" i="1" s="1"/>
  <c r="E37" i="3" s="1"/>
  <c r="EO68" i="1"/>
  <c r="EO67" i="1"/>
  <c r="EO26" i="1"/>
  <c r="EO4" i="1"/>
  <c r="EO62" i="1"/>
  <c r="EN67" i="1"/>
  <c r="EN68" i="1"/>
  <c r="EN62" i="1"/>
  <c r="LU67" i="2"/>
  <c r="LU62" i="2"/>
  <c r="LU30" i="2"/>
  <c r="LU31" i="2"/>
  <c r="LU4" i="2"/>
  <c r="LS29" i="2" l="1"/>
  <c r="LS31" i="2"/>
  <c r="LS4" i="2"/>
  <c r="LS62" i="2"/>
  <c r="LS67" i="2"/>
  <c r="LS64" i="2"/>
  <c r="LR67" i="2" l="1"/>
  <c r="LR68" i="2"/>
  <c r="LQ49" i="2"/>
  <c r="LQ67" i="2"/>
  <c r="LQ62" i="2"/>
  <c r="LQ31" i="2"/>
  <c r="LQ4" i="2"/>
  <c r="LQ30" i="2"/>
  <c r="LO31" i="2" l="1"/>
  <c r="LO30" i="2"/>
  <c r="EM67" i="1" l="1"/>
  <c r="EM68" i="1"/>
  <c r="EM62" i="1"/>
  <c r="EM31" i="1"/>
  <c r="LN62" i="2" l="1"/>
  <c r="LN31" i="2"/>
  <c r="LN33" i="2"/>
  <c r="LN29" i="2"/>
  <c r="LN30" i="2"/>
  <c r="LN41" i="2"/>
  <c r="LM62" i="2" l="1"/>
  <c r="LM64" i="2"/>
  <c r="LM4" i="2"/>
  <c r="LM31" i="2"/>
  <c r="LL62" i="2"/>
  <c r="LL64" i="2"/>
  <c r="LL30" i="2"/>
  <c r="LL31" i="2"/>
  <c r="LL4" i="2"/>
  <c r="LK31" i="2"/>
  <c r="LI44" i="2" l="1"/>
  <c r="LI68" i="2"/>
  <c r="LI67" i="2"/>
  <c r="LI62" i="2"/>
  <c r="LI64" i="2"/>
  <c r="AS20" i="3"/>
  <c r="AT20" i="3" s="1"/>
  <c r="LG31" i="2" l="1"/>
  <c r="LG62" i="2"/>
  <c r="LG4" i="2"/>
  <c r="LG45" i="2"/>
  <c r="LG44" i="2"/>
  <c r="LG43" i="2"/>
  <c r="H43" i="3" s="1"/>
  <c r="AY43" i="3" s="1"/>
  <c r="LG30" i="2"/>
  <c r="LD31" i="2" l="1"/>
  <c r="LD62" i="2"/>
  <c r="LC31" i="2"/>
  <c r="LC45" i="2"/>
  <c r="LC68" i="2"/>
  <c r="LC67" i="2"/>
  <c r="LC30" i="2"/>
  <c r="LC4" i="2"/>
  <c r="LC64" i="2"/>
  <c r="LC61" i="2"/>
  <c r="LC33" i="2"/>
  <c r="LC29" i="2"/>
  <c r="KX31" i="2" l="1"/>
  <c r="KZ31" i="2"/>
  <c r="KY68" i="2"/>
  <c r="KY64" i="2"/>
  <c r="KY31" i="2"/>
  <c r="KY45" i="2"/>
  <c r="KY67" i="2"/>
  <c r="KY62" i="2"/>
  <c r="KU33" i="2"/>
  <c r="KU32" i="2"/>
  <c r="KL62" i="2" l="1"/>
  <c r="EH68" i="1" l="1"/>
  <c r="KS33" i="2" l="1"/>
  <c r="EI62" i="1"/>
  <c r="EH67" i="1"/>
  <c r="EH62" i="1"/>
  <c r="KT73" i="2" l="1"/>
  <c r="KT68" i="2"/>
  <c r="KT62" i="2"/>
  <c r="KT33" i="2"/>
  <c r="KT31" i="2"/>
  <c r="KT77" i="2"/>
  <c r="KT67" i="2"/>
  <c r="KT41" i="2"/>
  <c r="KT83" i="2"/>
  <c r="KT29" i="2"/>
  <c r="KT30" i="2"/>
  <c r="KT4" i="2"/>
  <c r="KS67" i="2"/>
  <c r="KS68" i="2"/>
  <c r="KS62" i="2"/>
  <c r="KS32" i="2"/>
  <c r="KS30" i="2"/>
  <c r="KR68" i="2"/>
  <c r="KR67" i="2"/>
  <c r="KR4" i="2"/>
  <c r="KN31" i="2"/>
  <c r="KN41" i="2"/>
  <c r="KH67" i="2" l="1"/>
  <c r="KH62" i="2"/>
  <c r="KH64" i="2"/>
  <c r="KH30" i="2"/>
  <c r="KH31" i="2"/>
  <c r="KH68" i="2"/>
  <c r="KM31" i="2" l="1"/>
  <c r="KL31" i="2"/>
  <c r="EE31" i="1"/>
  <c r="KJ62" i="2"/>
  <c r="KH45" i="2" l="1"/>
  <c r="KH44" i="2"/>
  <c r="KG62" i="2" l="1"/>
  <c r="KG31" i="2"/>
  <c r="KG64" i="2"/>
  <c r="KF64" i="2"/>
  <c r="KF31" i="2"/>
  <c r="KF4" i="2"/>
  <c r="KF62" i="2"/>
  <c r="KE31" i="2"/>
  <c r="KE62" i="2"/>
  <c r="KE83" i="2"/>
  <c r="KE4" i="2"/>
  <c r="KE30" i="2"/>
  <c r="KE33" i="2"/>
  <c r="KE32" i="2"/>
  <c r="KE77" i="2"/>
  <c r="KE64" i="2"/>
  <c r="EC62" i="1" l="1"/>
  <c r="EC4" i="1"/>
  <c r="ED62" i="1"/>
  <c r="ED4" i="1"/>
  <c r="EA31" i="1" l="1"/>
  <c r="KA31" i="2" l="1"/>
  <c r="KA67" i="2"/>
  <c r="KB31" i="2"/>
  <c r="KB67" i="2"/>
  <c r="KB62" i="2"/>
  <c r="KB32" i="2"/>
  <c r="KB33" i="2"/>
  <c r="KB30" i="2"/>
  <c r="KB4" i="2"/>
  <c r="KA62" i="2"/>
  <c r="KA81" i="2"/>
  <c r="KA78" i="2"/>
  <c r="KA64" i="2"/>
  <c r="KA41" i="2"/>
  <c r="KA30" i="2"/>
  <c r="KA68" i="2"/>
  <c r="KA4" i="2"/>
  <c r="JZ31" i="2" l="1"/>
  <c r="JZ30" i="2"/>
  <c r="JZ62" i="2"/>
  <c r="JZ41" i="2"/>
  <c r="JZ37" i="2"/>
  <c r="JZ32" i="2"/>
  <c r="JX62" i="2"/>
  <c r="JW62" i="2"/>
  <c r="JR62" i="2" l="1"/>
  <c r="JT62" i="2"/>
  <c r="JT68" i="2" l="1"/>
  <c r="JT67" i="2"/>
  <c r="JT64" i="2"/>
  <c r="JT31" i="2"/>
  <c r="JT4" i="2"/>
  <c r="JT30" i="2"/>
  <c r="DX31" i="1"/>
  <c r="JR67" i="2" l="1"/>
  <c r="JR64" i="2"/>
  <c r="JR33" i="2"/>
  <c r="JR30" i="2"/>
  <c r="JR31" i="2"/>
  <c r="JQ67" i="2"/>
  <c r="JQ64" i="2"/>
  <c r="JQ4" i="2"/>
  <c r="JM31" i="2" l="1"/>
  <c r="JL31" i="2"/>
  <c r="JN37" i="2"/>
  <c r="DU62" i="1" l="1"/>
  <c r="DU67" i="1"/>
  <c r="JP78" i="2" l="1"/>
  <c r="JP81" i="2"/>
  <c r="H81" i="3" s="1"/>
  <c r="AY81" i="3" s="1"/>
  <c r="JP67" i="2"/>
  <c r="JP64" i="2"/>
  <c r="JO67" i="2"/>
  <c r="JO62" i="2"/>
  <c r="JO31" i="2"/>
  <c r="JO5" i="2"/>
  <c r="JO4" i="2"/>
  <c r="JN33" i="2"/>
  <c r="JN31" i="2"/>
  <c r="JN30" i="2"/>
  <c r="JN62" i="2"/>
  <c r="JN67" i="2"/>
  <c r="JN64" i="2"/>
  <c r="JN4" i="2"/>
  <c r="JM33" i="2" l="1"/>
  <c r="JK31" i="2" l="1"/>
  <c r="JK78" i="2"/>
  <c r="H78" i="3" s="1"/>
  <c r="AY78" i="3" s="1"/>
  <c r="JK67" i="2"/>
  <c r="JK62" i="2"/>
  <c r="JK4" i="2"/>
  <c r="DS31" i="1"/>
  <c r="JI67" i="2" l="1"/>
  <c r="JI62" i="2"/>
  <c r="JI64" i="2"/>
  <c r="JI37" i="2"/>
  <c r="JI31" i="2"/>
  <c r="JH31" i="2"/>
  <c r="JH62" i="2"/>
  <c r="DN62" i="1" l="1"/>
  <c r="DO62" i="1"/>
  <c r="DR62" i="1" l="1"/>
  <c r="DQ62" i="1" l="1"/>
  <c r="DQ26" i="1"/>
  <c r="DQ4" i="1"/>
  <c r="DP67" i="1"/>
  <c r="DP62" i="1"/>
  <c r="DP26" i="1"/>
  <c r="JE62" i="2" l="1"/>
  <c r="JE67" i="2"/>
  <c r="JD31" i="2"/>
  <c r="JC31" i="2"/>
  <c r="JB31" i="2"/>
  <c r="JB62" i="2"/>
  <c r="JC62" i="2"/>
  <c r="JA62" i="2"/>
  <c r="IZ30" i="2"/>
  <c r="IZ31" i="2"/>
  <c r="IZ4" i="2"/>
  <c r="IZ67" i="2"/>
  <c r="IZ62" i="2"/>
  <c r="IU62" i="2" l="1"/>
  <c r="DN67" i="1" l="1"/>
  <c r="IQ31" i="2"/>
  <c r="IU31" i="2"/>
  <c r="DN68" i="1" l="1"/>
  <c r="DN4" i="1"/>
  <c r="IW4" i="2"/>
  <c r="IW67" i="2"/>
  <c r="IW62" i="2"/>
  <c r="IW31" i="2"/>
  <c r="IV67" i="2" l="1"/>
  <c r="IV62" i="2"/>
  <c r="IV64" i="2"/>
  <c r="IU67" i="2" l="1"/>
  <c r="IU64" i="2"/>
  <c r="IU32" i="2"/>
  <c r="IU30" i="2"/>
  <c r="IU61" i="2"/>
  <c r="AY61" i="3" s="1"/>
  <c r="DM62" i="1" l="1"/>
  <c r="IT49" i="2"/>
  <c r="IT45" i="2"/>
  <c r="IT31" i="2"/>
  <c r="IS31" i="2" l="1"/>
  <c r="IS62" i="2"/>
  <c r="IQ62" i="2" l="1"/>
  <c r="IG62" i="2" l="1"/>
  <c r="IN68" i="2"/>
  <c r="DL58" i="1" l="1"/>
  <c r="LF58" i="1" l="1"/>
  <c r="E58" i="3" s="1"/>
  <c r="H58" i="3" s="1"/>
  <c r="AY58" i="3" s="1"/>
  <c r="IP62" i="2"/>
  <c r="IP64" i="2"/>
  <c r="IO32" i="2" l="1"/>
  <c r="IO31" i="2"/>
  <c r="IN62" i="2"/>
  <c r="IN31" i="2"/>
  <c r="IN41" i="2" l="1"/>
  <c r="IN67" i="2"/>
  <c r="IN4" i="2"/>
  <c r="DK62" i="1" l="1"/>
  <c r="IK32" i="2" l="1"/>
  <c r="IJ62" i="2" l="1"/>
  <c r="DJ68" i="1"/>
  <c r="DJ67" i="1"/>
  <c r="DJ62" i="1"/>
  <c r="II44" i="2" l="1"/>
  <c r="II45" i="2"/>
  <c r="II62" i="2"/>
  <c r="II67" i="2" l="1"/>
  <c r="II68" i="2"/>
  <c r="II64" i="2"/>
  <c r="II31" i="2"/>
  <c r="IH31" i="2"/>
  <c r="IF68" i="2" l="1"/>
  <c r="IF67" i="2"/>
  <c r="IF62" i="2"/>
  <c r="IF33" i="2"/>
  <c r="IF31" i="2"/>
  <c r="IF30" i="2"/>
  <c r="IF4" i="2"/>
  <c r="DH62" i="1"/>
  <c r="DI62" i="1"/>
  <c r="DH68" i="1"/>
  <c r="DH67" i="1"/>
  <c r="IF75" i="2"/>
  <c r="IF5" i="2"/>
  <c r="IE31" i="2" l="1"/>
  <c r="IE4" i="2"/>
  <c r="IE68" i="2"/>
  <c r="IE64" i="2"/>
  <c r="IE62" i="2"/>
  <c r="IE44" i="2"/>
  <c r="IE67" i="2"/>
  <c r="ID62" i="2" l="1"/>
  <c r="ID67" i="2" l="1"/>
  <c r="ID91" i="2"/>
  <c r="ID68" i="2"/>
  <c r="ID37" i="2"/>
  <c r="ID31" i="2"/>
  <c r="ID4" i="2"/>
  <c r="DF26" i="1" l="1"/>
  <c r="HX30" i="2" l="1"/>
  <c r="HX31" i="2"/>
  <c r="DE26" i="1" l="1"/>
  <c r="HU67" i="2" l="1"/>
  <c r="HV64" i="2" l="1"/>
  <c r="HV68" i="2"/>
  <c r="DC44" i="1"/>
  <c r="LF44" i="1" s="1"/>
  <c r="E44" i="3" s="1"/>
  <c r="DD26" i="1"/>
  <c r="HV30" i="2" l="1"/>
  <c r="HV62" i="2"/>
  <c r="HV31" i="2"/>
  <c r="HU68" i="2"/>
  <c r="HU64" i="2"/>
  <c r="HU33" i="2"/>
  <c r="HU30" i="2"/>
  <c r="HU31" i="2"/>
  <c r="HU62" i="2"/>
  <c r="HT67" i="2"/>
  <c r="HT62" i="2"/>
  <c r="HR20" i="2" l="1"/>
  <c r="HT30" i="2" l="1"/>
  <c r="HS67" i="2" l="1"/>
  <c r="HS62" i="2"/>
  <c r="HS33" i="2"/>
  <c r="HQ62" i="2" l="1"/>
  <c r="HQ31" i="2"/>
  <c r="HQ33" i="2"/>
  <c r="HR31" i="2"/>
  <c r="HR62" i="2"/>
  <c r="HR64" i="2"/>
  <c r="HR67" i="2" l="1"/>
  <c r="HR73" i="2"/>
  <c r="HR33" i="2"/>
  <c r="HR30" i="2"/>
  <c r="CZ62" i="1" l="1"/>
  <c r="HM64" i="2" l="1"/>
  <c r="HN31" i="2" l="1"/>
  <c r="CY26" i="1" l="1"/>
  <c r="CY31" i="1"/>
  <c r="HM31" i="2" l="1"/>
  <c r="HM30" i="2"/>
  <c r="HM91" i="2" l="1"/>
  <c r="HK67" i="2" l="1"/>
  <c r="HK62" i="2"/>
  <c r="HJ83" i="2"/>
  <c r="CU67" i="1" l="1"/>
  <c r="HJ30" i="2"/>
  <c r="HJ4" i="2"/>
  <c r="HI31" i="2"/>
  <c r="HH62" i="2" l="1"/>
  <c r="HH31" i="2"/>
  <c r="CT67" i="1"/>
  <c r="HH68" i="2" l="1"/>
  <c r="HG62" i="2" l="1"/>
  <c r="HG31" i="2"/>
  <c r="HG67" i="2"/>
  <c r="HG4" i="2"/>
  <c r="HG68" i="2"/>
  <c r="HG64" i="2"/>
  <c r="HE62" i="2" l="1"/>
  <c r="HD67" i="2" l="1"/>
  <c r="HD30" i="2"/>
  <c r="HD31" i="2"/>
  <c r="HC31" i="2" l="1"/>
  <c r="HC62" i="2"/>
  <c r="HD33" i="2"/>
  <c r="HD62" i="2"/>
  <c r="CP45" i="1"/>
  <c r="HC67" i="2" l="1"/>
  <c r="HC68" i="2"/>
  <c r="HC64" i="2"/>
  <c r="HB20" i="2" l="1"/>
  <c r="HB67" i="2"/>
  <c r="HB68" i="2"/>
  <c r="HB64" i="2"/>
  <c r="HB31" i="2"/>
  <c r="HA67" i="2" l="1"/>
  <c r="HA62" i="2"/>
  <c r="GZ62" i="2" l="1"/>
  <c r="GZ30" i="2"/>
  <c r="GY21" i="2" l="1"/>
  <c r="GX62" i="2"/>
  <c r="GV67" i="2" l="1"/>
  <c r="GV62" i="2"/>
  <c r="GU62" i="2"/>
  <c r="GV31" i="2" l="1"/>
  <c r="GU31" i="2" l="1"/>
  <c r="GU67" i="2" l="1"/>
  <c r="GU4" i="2"/>
  <c r="GT62" i="2" l="1"/>
  <c r="GT33" i="2"/>
  <c r="GT4" i="2"/>
  <c r="CK33" i="1" l="1"/>
  <c r="GS62" i="2" l="1"/>
  <c r="GS64" i="2"/>
  <c r="GS31" i="2"/>
  <c r="GS37" i="2"/>
  <c r="GO31" i="2" l="1"/>
  <c r="GO62" i="2" l="1"/>
  <c r="GO67" i="2"/>
  <c r="GN67" i="2" l="1"/>
  <c r="GN62" i="2"/>
  <c r="GN30" i="2"/>
  <c r="CG62" i="1" l="1"/>
  <c r="GK21" i="2" l="1"/>
  <c r="GK80" i="2"/>
  <c r="GK68" i="2"/>
  <c r="GK62" i="2"/>
  <c r="GK67" i="2"/>
  <c r="GK37" i="2"/>
  <c r="GK31" i="2"/>
  <c r="GG33" i="2" l="1"/>
  <c r="GF68" i="2"/>
  <c r="GI31" i="2" l="1"/>
  <c r="GI68" i="2"/>
  <c r="GI64" i="2"/>
  <c r="GI41" i="2"/>
  <c r="GH62" i="2"/>
  <c r="GG32" i="2" l="1"/>
  <c r="GG31" i="2"/>
  <c r="GF62" i="2" l="1"/>
  <c r="GF45" i="2"/>
  <c r="GF67" i="2"/>
  <c r="GF64" i="2"/>
  <c r="GF31" i="2"/>
  <c r="GF4" i="2"/>
  <c r="CF62" i="1" l="1"/>
  <c r="GC62" i="2" l="1"/>
  <c r="GC31" i="2"/>
  <c r="GC67" i="2" l="1"/>
  <c r="GB62" i="2"/>
  <c r="CD62" i="1" l="1"/>
  <c r="FX31" i="2" l="1"/>
  <c r="FX62" i="2"/>
  <c r="FX68" i="2"/>
  <c r="FU31" i="2" l="1"/>
  <c r="CC62" i="1" l="1"/>
  <c r="FU45" i="2" l="1"/>
  <c r="FU67" i="2"/>
  <c r="FU62" i="2"/>
  <c r="CB26" i="1"/>
  <c r="FT31" i="2" l="1"/>
  <c r="FT67" i="2"/>
  <c r="FT62" i="2"/>
  <c r="CA26" i="1"/>
  <c r="FN91" i="2" l="1"/>
  <c r="FS45" i="2" l="1"/>
  <c r="FS44" i="2"/>
  <c r="H44" i="3" s="1"/>
  <c r="AY44" i="3" s="1"/>
  <c r="FS62" i="2"/>
  <c r="FS4" i="2"/>
  <c r="FS59" i="2"/>
  <c r="H59" i="3" s="1"/>
  <c r="AY59" i="3" s="1"/>
  <c r="FS33" i="2"/>
  <c r="FS30" i="2"/>
  <c r="FS31" i="2"/>
  <c r="FR31" i="2"/>
  <c r="FQ62" i="2" l="1"/>
  <c r="BP62" i="1" l="1"/>
  <c r="FP31" i="2" l="1"/>
  <c r="FO62" i="2"/>
  <c r="FO67" i="2"/>
  <c r="FO31" i="2"/>
  <c r="FG62" i="2"/>
  <c r="FA62" i="2" l="1"/>
  <c r="BZ45" i="1" l="1"/>
  <c r="LF45" i="1" l="1"/>
  <c r="E45" i="3" s="1"/>
  <c r="H45" i="3" s="1"/>
  <c r="AY45" i="3" s="1"/>
  <c r="BZ62" i="1"/>
  <c r="FM68" i="2" l="1"/>
  <c r="FM62" i="2"/>
  <c r="FM30" i="2"/>
  <c r="FM31" i="2"/>
  <c r="FM4" i="2"/>
  <c r="BY26" i="1" l="1"/>
  <c r="BX62" i="1"/>
  <c r="FL62" i="2"/>
  <c r="FL67" i="2"/>
  <c r="FL68" i="2"/>
  <c r="BW62" i="1"/>
  <c r="FK83" i="2"/>
  <c r="BV62" i="1"/>
  <c r="FG33" i="2" l="1"/>
  <c r="FG4" i="2"/>
  <c r="FF62" i="2"/>
  <c r="FF31" i="2"/>
  <c r="BU26" i="1" l="1"/>
  <c r="FD31" i="2" l="1"/>
  <c r="BS62" i="1"/>
  <c r="FD91" i="2"/>
  <c r="FD68" i="2"/>
  <c r="FD64" i="2"/>
  <c r="FC90" i="2"/>
  <c r="FA31" i="2" l="1"/>
  <c r="FA67" i="2"/>
  <c r="FA73" i="2"/>
  <c r="FA4" i="2"/>
  <c r="EZ67" i="2"/>
  <c r="EZ62" i="2"/>
  <c r="EZ32" i="2"/>
  <c r="BR26" i="1"/>
  <c r="EX75" i="2" l="1"/>
  <c r="H75" i="3" s="1"/>
  <c r="AY75" i="3" s="1"/>
  <c r="EX62" i="2"/>
  <c r="EX31" i="2"/>
  <c r="BO67" i="1"/>
  <c r="BO62" i="1"/>
  <c r="EW67" i="2"/>
  <c r="EW62" i="2"/>
  <c r="EW64" i="2"/>
  <c r="EW4" i="2"/>
  <c r="EU31" i="2" l="1"/>
  <c r="EU41" i="2"/>
  <c r="ES31" i="2" l="1"/>
  <c r="ES32" i="2"/>
  <c r="EN64" i="2" l="1"/>
  <c r="EN62" i="2"/>
  <c r="EN67" i="2"/>
  <c r="EQ62" i="2" l="1"/>
  <c r="EQ64" i="2"/>
  <c r="EQ31" i="2"/>
  <c r="EQ4" i="2"/>
  <c r="EQ33" i="2"/>
  <c r="EP62" i="2"/>
  <c r="EP68" i="2"/>
  <c r="EP64" i="2"/>
  <c r="BM30" i="1"/>
  <c r="EN91" i="2" l="1"/>
  <c r="EF49" i="2"/>
  <c r="EK67" i="2" l="1"/>
  <c r="EK62" i="2"/>
  <c r="EJ31" i="2"/>
  <c r="EH67" i="2" l="1"/>
  <c r="EH62" i="2"/>
  <c r="EH31" i="2"/>
  <c r="EF62" i="2"/>
  <c r="EF31" i="2"/>
  <c r="EG31" i="2" l="1"/>
  <c r="EG62" i="2"/>
  <c r="EG67" i="2"/>
  <c r="EF67" i="2" l="1"/>
  <c r="EF68" i="2"/>
  <c r="EF64" i="2"/>
  <c r="EF60" i="2"/>
  <c r="EF90" i="2"/>
  <c r="H90" i="3" s="1"/>
  <c r="AY90" i="3" s="1"/>
  <c r="EF88" i="2"/>
  <c r="H88" i="3" s="1"/>
  <c r="AY88" i="3" s="1"/>
  <c r="EE68" i="2"/>
  <c r="EE62" i="2"/>
  <c r="EE4" i="2"/>
  <c r="ED62" i="2"/>
  <c r="ED64" i="2"/>
  <c r="ED31" i="2"/>
  <c r="ED68" i="2"/>
  <c r="ED67" i="2"/>
  <c r="ED60" i="2"/>
  <c r="H60" i="3" s="1"/>
  <c r="AY60" i="3" s="1"/>
  <c r="EB4" i="2"/>
  <c r="EA33" i="2"/>
  <c r="EB67" i="2"/>
  <c r="EB64" i="2"/>
  <c r="EB62" i="2"/>
  <c r="EA31" i="2"/>
  <c r="EA62" i="2"/>
  <c r="DX68" i="2" l="1"/>
  <c r="BK67" i="1" l="1"/>
  <c r="BK62" i="1"/>
  <c r="BH31" i="1"/>
  <c r="DU67" i="2"/>
  <c r="BJ30" i="1" l="1"/>
  <c r="DV37" i="2" l="1"/>
  <c r="DV4" i="2"/>
  <c r="DV67" i="2"/>
  <c r="DV62" i="2"/>
  <c r="DV91" i="2"/>
  <c r="DV64" i="2"/>
  <c r="DU62" i="2"/>
  <c r="DU31" i="2"/>
  <c r="BI67" i="1" l="1"/>
  <c r="DP31" i="2" l="1"/>
  <c r="DP62" i="2"/>
  <c r="DP91" i="2"/>
  <c r="DP64" i="2"/>
  <c r="DP4" i="2"/>
  <c r="DO67" i="2"/>
  <c r="DO62" i="2"/>
  <c r="DN31" i="2"/>
  <c r="DM62" i="2"/>
  <c r="BG62" i="1" l="1"/>
  <c r="DL68" i="2"/>
  <c r="DL67" i="2"/>
  <c r="DL62" i="2"/>
  <c r="DL64" i="2"/>
  <c r="DJ67" i="2"/>
  <c r="DJ64" i="2"/>
  <c r="DJ62" i="2"/>
  <c r="DI62" i="2"/>
  <c r="DI67" i="2"/>
  <c r="DI31" i="2"/>
  <c r="DH33" i="2"/>
  <c r="DH31" i="2"/>
  <c r="DG31" i="2" l="1"/>
  <c r="BE31" i="1"/>
  <c r="BE32" i="1"/>
  <c r="BE30" i="1"/>
  <c r="BE67" i="1"/>
  <c r="BD67" i="1"/>
  <c r="BD62" i="1"/>
  <c r="BC31" i="1"/>
  <c r="DE31" i="2"/>
  <c r="DD31" i="2"/>
  <c r="CW67" i="2" l="1"/>
  <c r="CY31" i="2"/>
  <c r="AX32" i="1"/>
  <c r="CX31" i="2" l="1"/>
  <c r="CT62" i="2"/>
  <c r="CT68" i="2"/>
  <c r="CT67" i="2"/>
  <c r="CT64" i="2"/>
  <c r="CS67" i="2"/>
  <c r="CW31" i="2" l="1"/>
  <c r="DB31" i="2" l="1"/>
  <c r="DA91" i="2" l="1"/>
  <c r="DA73" i="2"/>
  <c r="DA77" i="2"/>
  <c r="DA80" i="2"/>
  <c r="DA68" i="2"/>
  <c r="DA64" i="2"/>
  <c r="DA32" i="2"/>
  <c r="DA30" i="2"/>
  <c r="DA4" i="2"/>
  <c r="DA67" i="2"/>
  <c r="DA62" i="2"/>
  <c r="CZ64" i="2"/>
  <c r="CZ41" i="2"/>
  <c r="CZ33" i="2"/>
  <c r="CZ31" i="2"/>
  <c r="CZ62" i="2"/>
  <c r="CW73" i="2"/>
  <c r="CW77" i="2"/>
  <c r="CW68" i="2"/>
  <c r="CW62" i="2"/>
  <c r="CW64" i="2"/>
  <c r="CW30" i="2"/>
  <c r="CW18" i="2"/>
  <c r="H18" i="3" s="1"/>
  <c r="AY18" i="3" s="1"/>
  <c r="CW55" i="2"/>
  <c r="H55" i="3" s="1"/>
  <c r="AY55" i="3" s="1"/>
  <c r="CW4" i="2"/>
  <c r="AW80" i="1" l="1"/>
  <c r="LF80" i="1" s="1"/>
  <c r="E80" i="3" s="1"/>
  <c r="AW67" i="1"/>
  <c r="AW31" i="1"/>
  <c r="AX41" i="1"/>
  <c r="AX31" i="1"/>
  <c r="AV31" i="1"/>
  <c r="AV62" i="1"/>
  <c r="CR31" i="2"/>
  <c r="AU67" i="1" l="1"/>
  <c r="CS68" i="2"/>
  <c r="CS64" i="2"/>
  <c r="CS37" i="2"/>
  <c r="H37" i="3" s="1"/>
  <c r="AY37" i="3" s="1"/>
  <c r="CS22" i="2"/>
  <c r="H22" i="3" s="1"/>
  <c r="AY22" i="3" s="1"/>
  <c r="CS21" i="2"/>
  <c r="H21" i="3" s="1"/>
  <c r="AY21" i="3" s="1"/>
  <c r="CS31" i="2"/>
  <c r="AU26" i="1"/>
  <c r="CQ31" i="2" l="1"/>
  <c r="CP33" i="2" l="1"/>
  <c r="AT62" i="1" l="1"/>
  <c r="AS62" i="1"/>
  <c r="AR62" i="1" l="1"/>
  <c r="AQ62" i="1" l="1"/>
  <c r="CN31" i="2" l="1"/>
  <c r="CI62" i="2" l="1"/>
  <c r="CM62" i="2" l="1"/>
  <c r="CM64" i="2"/>
  <c r="CM30" i="2"/>
  <c r="CM31" i="2"/>
  <c r="CK68" i="2"/>
  <c r="CK31" i="2"/>
  <c r="CK30" i="2"/>
  <c r="CK62" i="2"/>
  <c r="CK64" i="2"/>
  <c r="CK4" i="2"/>
  <c r="CJ31" i="2"/>
  <c r="CI41" i="2"/>
  <c r="CI31" i="2"/>
  <c r="CI39" i="2"/>
  <c r="CI32" i="2"/>
  <c r="CI33" i="2"/>
  <c r="CI30" i="2"/>
  <c r="CI4" i="2"/>
  <c r="CH31" i="2" l="1"/>
  <c r="CH62" i="2" l="1"/>
  <c r="CH64" i="2" l="1"/>
  <c r="CH33" i="2"/>
  <c r="CG31" i="2"/>
  <c r="CF62" i="2"/>
  <c r="CF41" i="2"/>
  <c r="CF30" i="2"/>
  <c r="CF31" i="2"/>
  <c r="CE31" i="2"/>
  <c r="CC62" i="2" l="1"/>
  <c r="BU33" i="2" l="1"/>
  <c r="CB20" i="2" l="1"/>
  <c r="CD64" i="2"/>
  <c r="CC31" i="2"/>
  <c r="CB4" i="2"/>
  <c r="CB62" i="2"/>
  <c r="CB31" i="2"/>
  <c r="CB30" i="2"/>
  <c r="BU31" i="2" l="1"/>
  <c r="AK31" i="1" l="1"/>
  <c r="BY29" i="2"/>
  <c r="BY30" i="2"/>
  <c r="BY31" i="2"/>
  <c r="BX31" i="2"/>
  <c r="BW31" i="2"/>
  <c r="BW62" i="2"/>
  <c r="BU62" i="2"/>
  <c r="BU30" i="2"/>
  <c r="BU49" i="2"/>
  <c r="BU64" i="2"/>
  <c r="BU68" i="2"/>
  <c r="BT62" i="2"/>
  <c r="BT30" i="2"/>
  <c r="BT31" i="2"/>
  <c r="BT4" i="2"/>
  <c r="AH31" i="1" l="1"/>
  <c r="BS67" i="2"/>
  <c r="BS62" i="2"/>
  <c r="BS30" i="2"/>
  <c r="BS31" i="2"/>
  <c r="BP64" i="2"/>
  <c r="AG62" i="1"/>
  <c r="AG26" i="1"/>
  <c r="AG4" i="1"/>
  <c r="AF62" i="1"/>
  <c r="AF73" i="1"/>
  <c r="LF73" i="1" s="1"/>
  <c r="E73" i="3" s="1"/>
  <c r="AF77" i="1"/>
  <c r="LF77" i="1" s="1"/>
  <c r="E77" i="3" s="1"/>
  <c r="AE68" i="1"/>
  <c r="AE4" i="1"/>
  <c r="LF4" i="1" s="1"/>
  <c r="E4" i="3" s="1"/>
  <c r="BO30" i="2" l="1"/>
  <c r="BO31" i="2"/>
  <c r="BM20" i="2"/>
  <c r="BM62" i="2"/>
  <c r="BM30" i="2"/>
  <c r="BM31" i="2"/>
  <c r="BM33" i="2"/>
  <c r="AD30" i="1" l="1"/>
  <c r="BH30" i="2"/>
  <c r="BL30" i="2"/>
  <c r="BL31" i="2"/>
  <c r="BK31" i="2"/>
  <c r="BK30" i="2"/>
  <c r="BJ62" i="2"/>
  <c r="BJ4" i="2"/>
  <c r="BH33" i="2"/>
  <c r="BH32" i="2"/>
  <c r="AD41" i="1"/>
  <c r="AC29" i="1"/>
  <c r="AC30" i="1"/>
  <c r="LF30" i="1" s="1"/>
  <c r="E30" i="3" s="1"/>
  <c r="AC31" i="1"/>
  <c r="LF29" i="1" l="1"/>
  <c r="E29" i="3" s="1"/>
  <c r="H29" i="3" s="1"/>
  <c r="AY29" i="3" s="1"/>
  <c r="BF31" i="2"/>
  <c r="BF30" i="2"/>
  <c r="BF62" i="2"/>
  <c r="BF64" i="2"/>
  <c r="BF68" i="2"/>
  <c r="BC41" i="2" l="1"/>
  <c r="BC68" i="2"/>
  <c r="BC64" i="2"/>
  <c r="AA20" i="1"/>
  <c r="LF20" i="1" l="1"/>
  <c r="E20" i="3" s="1"/>
  <c r="H20" i="3" s="1"/>
  <c r="AY20" i="3" s="1"/>
  <c r="AZ73" i="2"/>
  <c r="AZ80" i="2"/>
  <c r="H80" i="3" s="1"/>
  <c r="AY80" i="3" s="1"/>
  <c r="AZ64" i="2"/>
  <c r="AY4" i="2"/>
  <c r="AW64" i="2" l="1"/>
  <c r="AW67" i="2"/>
  <c r="AW68" i="2"/>
  <c r="AV67" i="2"/>
  <c r="AW62" i="2"/>
  <c r="AW30" i="2"/>
  <c r="AW31" i="2"/>
  <c r="AV32" i="2"/>
  <c r="AV30" i="2"/>
  <c r="AV31" i="2"/>
  <c r="AV62" i="2"/>
  <c r="AV41" i="2"/>
  <c r="AV33" i="2"/>
  <c r="AU67" i="2"/>
  <c r="AU62" i="2"/>
  <c r="AU64" i="2"/>
  <c r="AU39" i="2"/>
  <c r="AU33" i="2"/>
  <c r="AU31" i="2"/>
  <c r="AU4" i="2"/>
  <c r="AU41" i="2"/>
  <c r="AU32" i="2"/>
  <c r="AU30" i="2"/>
  <c r="AU28" i="2"/>
  <c r="AT64" i="2"/>
  <c r="AT4" i="2"/>
  <c r="AT62" i="2"/>
  <c r="W32" i="1" l="1"/>
  <c r="W31" i="1"/>
  <c r="AS83" i="2" l="1"/>
  <c r="AS73" i="2"/>
  <c r="AS77" i="2"/>
  <c r="AS62" i="2"/>
  <c r="AS33" i="2"/>
  <c r="AS4" i="2"/>
  <c r="V26" i="1" l="1"/>
  <c r="V67" i="1"/>
  <c r="E64" i="3"/>
  <c r="U68" i="1"/>
  <c r="U26" i="1"/>
  <c r="T62" i="1"/>
  <c r="S62" i="1"/>
  <c r="S68" i="1"/>
  <c r="LF67" i="1" l="1"/>
  <c r="E67" i="3" s="1"/>
  <c r="H67" i="3" s="1"/>
  <c r="AY67" i="3" s="1"/>
  <c r="AP31" i="2"/>
  <c r="AP33" i="2"/>
  <c r="AP41" i="2"/>
  <c r="AP30" i="2"/>
  <c r="AP73" i="2"/>
  <c r="F26" i="1" l="1"/>
  <c r="AM49" i="2" l="1"/>
  <c r="AM73" i="2"/>
  <c r="AM77" i="2"/>
  <c r="AM83" i="2"/>
  <c r="AM68" i="2"/>
  <c r="AM71" i="2"/>
  <c r="AM62" i="2"/>
  <c r="AM64" i="2"/>
  <c r="AM33" i="2"/>
  <c r="AM28" i="2"/>
  <c r="H28" i="3" s="1"/>
  <c r="AY28" i="3" s="1"/>
  <c r="AM5" i="2"/>
  <c r="H5" i="3" s="1"/>
  <c r="AY5" i="3" s="1"/>
  <c r="AM4" i="2"/>
  <c r="AJ62" i="2" l="1"/>
  <c r="AJ64" i="2"/>
  <c r="AJ4" i="2"/>
  <c r="Q52" i="1" l="1"/>
  <c r="LF52" i="1" l="1"/>
  <c r="E52" i="3" s="1"/>
  <c r="H52" i="3" s="1"/>
  <c r="AY52" i="3" s="1"/>
  <c r="AF49" i="2"/>
  <c r="H49" i="3" s="1"/>
  <c r="AY49" i="3" s="1"/>
  <c r="AF73" i="2"/>
  <c r="AF77" i="2"/>
  <c r="AF68" i="2"/>
  <c r="AF62" i="2"/>
  <c r="AF41" i="2"/>
  <c r="AF32" i="2"/>
  <c r="AF33" i="2"/>
  <c r="AG77" i="2"/>
  <c r="AC31" i="2" l="1"/>
  <c r="AC33" i="2"/>
  <c r="Z71" i="2" l="1"/>
  <c r="Z62" i="2"/>
  <c r="AB68" i="2"/>
  <c r="AB62" i="2"/>
  <c r="AB64" i="2"/>
  <c r="AB39" i="2"/>
  <c r="X77" i="2"/>
  <c r="W39" i="2" l="1"/>
  <c r="H39" i="3" s="1"/>
  <c r="AY39" i="3" s="1"/>
  <c r="W32" i="2"/>
  <c r="W62" i="2"/>
  <c r="U62" i="2" l="1"/>
  <c r="T91" i="2"/>
  <c r="T73" i="2"/>
  <c r="T77" i="2"/>
  <c r="T83" i="2"/>
  <c r="T64" i="2"/>
  <c r="S91" i="2"/>
  <c r="H91" i="3" s="1"/>
  <c r="AY91" i="3" s="1"/>
  <c r="S73" i="2"/>
  <c r="H73" i="3" s="1"/>
  <c r="AY73" i="3" s="1"/>
  <c r="S77" i="2"/>
  <c r="H77" i="3" s="1"/>
  <c r="AY77" i="3" s="1"/>
  <c r="S83" i="2"/>
  <c r="S64" i="2"/>
  <c r="H64" i="3" s="1"/>
  <c r="AY64" i="3" s="1"/>
  <c r="O62" i="1" l="1"/>
  <c r="O32" i="1"/>
  <c r="LF32" i="1" l="1"/>
  <c r="E32" i="3" s="1"/>
  <c r="H32" i="3" s="1"/>
  <c r="AY32" i="3" s="1"/>
  <c r="O31" i="2"/>
  <c r="G41" i="1" l="1"/>
  <c r="LF41" i="1" s="1"/>
  <c r="E41" i="3" s="1"/>
  <c r="O41" i="2"/>
  <c r="O68" i="2"/>
  <c r="P31" i="2"/>
  <c r="O33" i="2"/>
  <c r="I71" i="2" l="1"/>
  <c r="H71" i="3" s="1"/>
  <c r="AY71" i="3" s="1"/>
  <c r="I62" i="2"/>
  <c r="L62" i="2"/>
  <c r="Q83" i="2" l="1"/>
  <c r="H83" i="3" s="1"/>
  <c r="AY83" i="3" s="1"/>
  <c r="P68" i="2"/>
  <c r="P62" i="2"/>
  <c r="P41" i="2"/>
  <c r="P33" i="2"/>
  <c r="P4" i="2"/>
  <c r="M68" i="2"/>
  <c r="M62" i="2"/>
  <c r="M41" i="2"/>
  <c r="M33" i="2"/>
  <c r="M30" i="2"/>
  <c r="H30" i="3" s="1"/>
  <c r="AY30" i="3" s="1"/>
  <c r="M31" i="2"/>
  <c r="M4" i="2"/>
  <c r="L68" i="2"/>
  <c r="L41" i="2"/>
  <c r="L33" i="2"/>
  <c r="L31" i="2"/>
  <c r="L4" i="2"/>
  <c r="I31" i="2"/>
  <c r="I4" i="2"/>
  <c r="H62" i="2"/>
  <c r="H31" i="2"/>
  <c r="H4" i="2"/>
  <c r="E31" i="2"/>
  <c r="AFL3" i="2"/>
  <c r="H41" i="3" l="1"/>
  <c r="AY41" i="3" s="1"/>
  <c r="E68" i="1"/>
  <c r="E26" i="1"/>
  <c r="H31" i="1"/>
  <c r="H62" i="1"/>
  <c r="I62" i="1"/>
  <c r="I33" i="1"/>
  <c r="L62" i="1"/>
  <c r="L68" i="1"/>
  <c r="LF3" i="1"/>
  <c r="H4" i="3"/>
  <c r="AY4" i="3" s="1"/>
  <c r="LF31" i="1" l="1"/>
  <c r="E31" i="3" s="1"/>
  <c r="H31" i="3" s="1"/>
  <c r="AY31" i="3" s="1"/>
  <c r="LF68" i="1"/>
  <c r="E68" i="3" s="1"/>
  <c r="H68" i="3" s="1"/>
  <c r="AY68" i="3" s="1"/>
  <c r="LF33" i="1"/>
  <c r="E33" i="3" s="1"/>
  <c r="H33" i="3" s="1"/>
  <c r="AY33" i="3" s="1"/>
  <c r="E62" i="3"/>
  <c r="H62" i="3" s="1"/>
  <c r="AY62" i="3" s="1"/>
  <c r="LF26" i="1"/>
  <c r="E26" i="3" s="1"/>
  <c r="H26" i="3" s="1"/>
  <c r="AY26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Lugo</author>
    <author>Duglas Ledezma</author>
    <author>Denis Orta</author>
    <author>Nesrely Rodríguez</author>
  </authors>
  <commentList>
    <comment ref="GE4" authorId="0" shapeId="0" xr:uid="{968F5719-896E-477A-8F4B-263DC035D34D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devolucion de epa 
</t>
        </r>
      </text>
    </comment>
    <comment ref="GX4" authorId="0" shapeId="0" xr:uid="{8CDA08B5-0FC6-4BB7-8A30-6D48CEE4BEC1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se procede a dar ingreso a 4 cajas provenientes de la devolucion de  epa 
3 cajas completas y una con faltante 
</t>
        </r>
      </text>
    </comment>
    <comment ref="KQ4" authorId="1" shapeId="0" xr:uid="{5A440BD8-5593-44D1-83E7-3F4E59732324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  <comment ref="KQ5" authorId="1" shapeId="0" xr:uid="{A497E785-7132-4F95-A51B-D5A465C2B9F4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  <comment ref="KD8" authorId="1" shapeId="0" xr:uid="{E1651A4F-7FB1-4B4F-A402-6AF39A6BA14D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ENTREGO A NELSON EL DIA 22-03-23 Y SE DEVUELVE AL INVENTARIO  EL 17-05-23</t>
        </r>
      </text>
    </comment>
    <comment ref="KQ8" authorId="1" shapeId="0" xr:uid="{23428011-77BD-4098-903B-48428746CFFB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 devolucion que se le entrego a mrkt para sesion de fotos. 
</t>
        </r>
      </text>
    </comment>
    <comment ref="CC18" authorId="2" shapeId="0" xr:uid="{00000000-0006-0000-0000-00001D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</t>
        </r>
      </text>
    </comment>
    <comment ref="CJ18" authorId="2" shapeId="0" xr:uid="{00000000-0006-0000-0000-00001E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 Fulgor - Valencia</t>
        </r>
      </text>
    </comment>
    <comment ref="KQ20" authorId="1" shapeId="0" xr:uid="{82B2E2C7-C432-45EE-B9C4-B9BC435CA845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  <comment ref="GK22" authorId="0" shapeId="0" xr:uid="{52A0033D-965D-4C7C-A951-FB84B78EEA2D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este ajuste fue realizado por el error en despacho del cliente oceano pacifico Nota de credito N°00041
</t>
        </r>
      </text>
    </comment>
    <comment ref="BR26" authorId="2" shapeId="0" xr:uid="{00000000-0006-0000-0000-000002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</t>
        </r>
      </text>
    </comment>
    <comment ref="BU26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</t>
        </r>
      </text>
    </comment>
    <comment ref="CA26" authorId="2" shapeId="0" xr:uid="{00000000-0006-0000-0000-000004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Movimiento interno entre almacenes</t>
        </r>
      </text>
    </comment>
    <comment ref="CB26" authorId="2" shapeId="0" xr:uid="{00000000-0006-0000-0000-000005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almacenes.</t>
        </r>
      </text>
    </comment>
    <comment ref="CM26" authorId="2" shapeId="0" xr:uid="{00000000-0006-0000-0000-000006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almacenes.</t>
        </r>
      </text>
    </comment>
    <comment ref="CS26" authorId="2" shapeId="0" xr:uid="{17A00DB4-3955-4344-819B-534AB0ED8A1F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 en mal estado traida para un pedido de empleado.</t>
        </r>
      </text>
    </comment>
    <comment ref="CX26" authorId="2" shapeId="0" xr:uid="{5F420C11-B7BA-416B-8BCE-1DB712A7A1DA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Caja en mal estado traida de fulgor para ser usada en la podadora de cesped.</t>
        </r>
      </text>
    </comment>
    <comment ref="CY26" authorId="2" shapeId="0" xr:uid="{8584B6B0-5A96-4319-9C81-630ECCF58AB1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 desde fulgor a planta Valencia: 7 cajas de resto + 24 cajas en mal estado.</t>
        </r>
      </text>
    </comment>
    <comment ref="CZ26" authorId="2" shapeId="0" xr:uid="{56D2F981-0195-4806-9565-E3BE1E280D4A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 desde Fulgor a planta Valencia.</t>
        </r>
      </text>
    </comment>
    <comment ref="DA26" authorId="2" shapeId="0" xr:uid="{0AE82995-0800-476D-957D-9679C63B3D29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 desde Fulgor a planta Valencia.</t>
        </r>
      </text>
    </comment>
    <comment ref="DB26" authorId="2" shapeId="0" xr:uid="{B132587D-F8B5-49F7-A18E-A53C7529733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 desde Fulgor a planta Valencia.</t>
        </r>
      </text>
    </comment>
    <comment ref="DD26" authorId="2" shapeId="0" xr:uid="{EA1DE013-AD08-44BE-87AC-667FE76B657B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 desde Fulgor a planta Valencia.</t>
        </r>
      </text>
    </comment>
    <comment ref="DE26" authorId="2" shapeId="0" xr:uid="{2257E581-ADD2-4D59-A66D-D725330A523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 desde Fulgor a planta Valencia.</t>
        </r>
      </text>
    </comment>
    <comment ref="DF26" authorId="2" shapeId="0" xr:uid="{E8887C1B-5528-4835-A8FF-6EA44FD68478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 desde Fulgor a planta Valencia.</t>
        </r>
      </text>
    </comment>
    <comment ref="EF26" authorId="2" shapeId="0" xr:uid="{81829DFE-2007-4846-AE3A-7FCB9FF684DC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Correspondiente a ajuste realizado en sistema para corregir swithc con el Adv 20W50 por error en despacho.</t>
        </r>
      </text>
    </comment>
    <comment ref="GT26" authorId="0" shapeId="0" xr:uid="{58962D0D-A973-44A6-9CAF-739AC4C53BF0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Contenedor incompleto (FALTO UNA PALETA DE 44)
</t>
        </r>
      </text>
    </comment>
    <comment ref="IH26" authorId="3" shapeId="0" xr:uid="{2D15A2FD-899A-44C0-8404-080D8BB5B208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devolución: nota de entrega para personal de RACDA, NO VINO A RETIRAR</t>
        </r>
      </text>
    </comment>
    <comment ref="CN30" authorId="2" shapeId="0" xr:uid="{00000000-0006-0000-0000-000001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</t>
        </r>
      </text>
    </comment>
    <comment ref="CO30" authorId="2" shapeId="0" xr:uid="{B84F1A5E-A98B-489F-92D8-C35F00142CED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</t>
        </r>
      </text>
    </comment>
    <comment ref="CQ30" authorId="2" shapeId="0" xr:uid="{083953C0-0C0F-42D4-835B-20DCEE9BF42D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</t>
        </r>
      </text>
    </comment>
    <comment ref="CR30" authorId="2" shapeId="0" xr:uid="{75168338-EC03-44D4-8CED-04A4F733AD13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almacenes.</t>
        </r>
      </text>
    </comment>
    <comment ref="KI30" authorId="3" shapeId="0" xr:uid="{24F0CBED-9E6A-4492-883A-6DC0F2EFE603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 4 CAJAS QUE LLEGARON DE ORIGEN COLOMBIANO COMO HX5 15W-40 Y LLEGÓ HX5 20W-50 3X4 </t>
        </r>
      </text>
    </comment>
    <comment ref="CR31" authorId="2" shapeId="0" xr:uid="{AEE3BBCF-10AB-4318-A795-37B27A268C1A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almacenes.</t>
        </r>
      </text>
    </comment>
    <comment ref="CY31" authorId="2" shapeId="0" xr:uid="{155427D5-4338-4A03-924F-FC4D0C694903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 desde fulgor a planta Valencia: 25 cajas de resto + 1 paleta de 175 con cajas manchadas.</t>
        </r>
      </text>
    </comment>
    <comment ref="DF31" authorId="2" shapeId="0" xr:uid="{03787552-172E-4E90-B01B-5ED36F4DA2F7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 desde Fulgor a planta Valencia.</t>
        </r>
      </text>
    </comment>
    <comment ref="DS31" authorId="2" shapeId="0" xr:uid="{ACC20B57-6A8F-4794-BADA-B8E8087E2DB8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</t>
        </r>
      </text>
    </comment>
    <comment ref="DV31" authorId="2" shapeId="0" xr:uid="{06E5BFE2-3BC8-4A5C-A708-A5B4ABBAA195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DW31" authorId="2" shapeId="0" xr:uid="{BDFC508C-C6A2-421E-82AF-6ADC83EF2E18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DX31" authorId="2" shapeId="0" xr:uid="{46665749-7753-499F-9651-2E9EC3AEA6DF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DZ31" authorId="2" shapeId="0" xr:uid="{AAB9DE91-8ED4-408F-A2F6-3EF5E66D8FB5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EA31" authorId="2" shapeId="0" xr:uid="{49AF33F9-1D3F-4026-8E50-3BFC60A0EEAE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EB31" authorId="2" shapeId="0" xr:uid="{4A1FEF8C-D44B-42E7-98E3-6FC77DED7021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ED31" authorId="2" shapeId="0" xr:uid="{D6B6BB12-0974-4E32-BD11-1D5DF2EE011C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EE31" authorId="2" shapeId="0" xr:uid="{BEA8B7AC-9D6A-49B4-9B72-298BD83FF8C2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</t>
        </r>
      </text>
    </comment>
    <comment ref="EF31" authorId="2" shapeId="0" xr:uid="{0FAD57B0-9416-45EF-A1E0-A0922A8D539A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EG31" authorId="2" shapeId="0" xr:uid="{6257EE6E-10C4-40EB-AEFA-90EE1A5FB1F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Movimiento entre almacenes</t>
        </r>
      </text>
    </comment>
    <comment ref="EK31" authorId="2" shapeId="0" xr:uid="{C1A82F6C-25CC-416A-8125-ED3F996C5A06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Movimiento entre almacenes</t>
        </r>
      </text>
    </comment>
    <comment ref="EL31" authorId="2" shapeId="0" xr:uid="{BDEEB703-E1A4-453A-880E-F791913FF409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EM31" authorId="2" shapeId="0" xr:uid="{D4BCA0B0-EA14-4357-BFFE-80B4D56BF6A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ER31" authorId="2" shapeId="0" xr:uid="{53DC32CC-2B7B-4760-9CBE-8FF6EAE4DFBD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ES31" authorId="2" shapeId="0" xr:uid="{EF9B2B38-6828-4835-A29C-AF881385094A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almacenes</t>
        </r>
      </text>
    </comment>
    <comment ref="ET31" authorId="2" shapeId="0" xr:uid="{59A2F07F-F30C-4603-97D1-FCB925FF5ABA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</t>
        </r>
      </text>
    </comment>
    <comment ref="EU31" authorId="2" shapeId="0" xr:uid="{51E7C7CA-9FE1-46B2-BBD5-2D018C16DE7C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</t>
        </r>
      </text>
    </comment>
    <comment ref="IH31" authorId="3" shapeId="0" xr:uid="{49E9F2A3-1A9F-46D1-A4A4-BDE364D85AB4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devolución: nota de entrega para personal de RACDA, NO VINO A RETIRAR</t>
        </r>
      </text>
    </comment>
    <comment ref="AT32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Ajuste de inventario positivo por envases sin caja.</t>
        </r>
      </text>
    </comment>
    <comment ref="BR32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Luis Escanio</t>
        </r>
      </text>
    </comment>
    <comment ref="BR33" authorId="2" shapeId="0" xr:uid="{00000000-0006-0000-0000-000007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Devolucion de Luis Escanio</t>
        </r>
      </text>
    </comment>
    <comment ref="CK33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almacen fulgor - Valencia</t>
        </r>
      </text>
    </comment>
    <comment ref="JV35" authorId="1" shapeId="0" xr:uid="{E61B2E09-FD2D-4784-A34B-091D1C57149B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DE EPA POR NO TENER  LOTE</t>
        </r>
      </text>
    </comment>
    <comment ref="JW35" authorId="1" shapeId="0" xr:uid="{F92BE1C4-F632-4A9D-8A09-207824670C38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2 CAJAS DEVOLUCION DE EPA 11-4-23
</t>
        </r>
      </text>
    </comment>
    <comment ref="KQ35" authorId="1" shapeId="0" xr:uid="{F5BBE708-11E3-4E10-8686-4FA017A14D50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  <comment ref="JV36" authorId="1" shapeId="0" xr:uid="{8896B72A-780D-4AA0-820C-72BB117A0F11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2 CAJAS + 1 CON FALTANTES DEVOLUCION DE EPA POR NO TENER LOTE </t>
        </r>
      </text>
    </comment>
    <comment ref="GD38" authorId="0" shapeId="0" xr:uid="{71CB70EF-C82E-4F3D-B59C-3BBA1F86FFEA}">
      <text>
        <r>
          <rPr>
            <b/>
            <sz val="16"/>
            <color indexed="81"/>
            <rFont val="Tahoma"/>
            <family val="2"/>
          </rPr>
          <t>Daniel Lugo:</t>
        </r>
        <r>
          <rPr>
            <sz val="16"/>
            <color indexed="81"/>
            <rFont val="Tahoma"/>
            <family val="2"/>
          </rPr>
          <t xml:space="preserve">
se realiza traspaso de producto para mantener trazabilidad con finanzas </t>
        </r>
      </text>
    </comment>
    <comment ref="KQ38" authorId="1" shapeId="0" xr:uid="{47E37600-470A-48A2-8143-1D07C43DF4F2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  <comment ref="IN39" authorId="3" shapeId="0" xr:uid="{F6C8634F-769D-43DD-9A2B-D7022F271FFB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devolución de epa guia 45868, no pidió este producto, pidió 12x1</t>
        </r>
      </text>
    </comment>
    <comment ref="HR41" authorId="3" shapeId="0" xr:uid="{D4B6B3A0-04C3-4CF9-9DB1-AAC2F6B7D27A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3 cajas de Penzoil 6X1L que llegaron como 15w-40</t>
        </r>
      </text>
    </comment>
    <comment ref="JV42" authorId="3" shapeId="0" xr:uid="{2ED168BF-0D30-4740-82D6-9165EC3D3712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devolucion de blitz 2000</t>
        </r>
      </text>
    </comment>
    <comment ref="KQ49" authorId="1" shapeId="0" xr:uid="{651E5B59-4EA4-4AE5-9DE4-E1A3DDFC6E0D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  <comment ref="FR61" authorId="0" shapeId="0" xr:uid="{8332CBC7-6311-48DC-B06A-52970013EAC5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devolucion luselago 
</t>
        </r>
      </text>
    </comment>
    <comment ref="JA61" authorId="3" shapeId="0" xr:uid="{133E6F34-3DC6-4DA8-B156-0F7611E03D93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devolución de Disbattery Lara por tener tapas rotas factura 2452</t>
        </r>
      </text>
    </comment>
    <comment ref="AO62" authorId="2" shapeId="0" xr:uid="{00000000-0006-0000-0000-00000E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Pailas provenientes de Fulgor</t>
        </r>
      </text>
    </comment>
    <comment ref="AP62" authorId="2" shapeId="0" xr:uid="{00000000-0006-0000-0000-00000F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Pailas provenientes de fulgor.</t>
        </r>
      </text>
    </comment>
    <comment ref="AQ62" authorId="2" shapeId="0" xr:uid="{00000000-0006-0000-0000-000010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Pailas provenientes de Fulgor.</t>
        </r>
      </text>
    </comment>
    <comment ref="AR62" authorId="2" shapeId="0" xr:uid="{00000000-0006-0000-0000-000011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Pailas provenientes de Fulgor</t>
        </r>
      </text>
    </comment>
    <comment ref="AS62" authorId="2" shapeId="0" xr:uid="{00000000-0006-0000-0000-000012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Pailas provenientes de Fulgor</t>
        </r>
      </text>
    </comment>
    <comment ref="AT62" authorId="2" shapeId="0" xr:uid="{00000000-0006-0000-0000-000013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Pailas provenientes de Fulgor.</t>
        </r>
      </text>
    </comment>
    <comment ref="BN62" authorId="2" shapeId="0" xr:uid="{00000000-0006-0000-0000-000014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Movimiento interno de productos.</t>
        </r>
      </text>
    </comment>
    <comment ref="BO62" authorId="2" shapeId="0" xr:uid="{00000000-0006-0000-0000-000015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</t>
        </r>
      </text>
    </comment>
    <comment ref="BP62" authorId="2" shapeId="0" xr:uid="{00000000-0006-0000-0000-000016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
</t>
        </r>
      </text>
    </comment>
    <comment ref="BQ62" authorId="2" shapeId="0" xr:uid="{00000000-0006-0000-0000-000017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</t>
        </r>
      </text>
    </comment>
    <comment ref="BS62" authorId="2" shapeId="0" xr:uid="{00000000-0006-0000-0000-000018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</t>
        </r>
      </text>
    </comment>
    <comment ref="BT62" authorId="2" shapeId="0" xr:uid="{00000000-0006-0000-0000-000019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</t>
        </r>
      </text>
    </comment>
    <comment ref="BU62" authorId="2" shapeId="0" xr:uid="{00000000-0006-0000-0000-00001A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</t>
        </r>
      </text>
    </comment>
    <comment ref="CC62" authorId="2" shapeId="0" xr:uid="{00000000-0006-0000-0000-00001B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almacenes.</t>
        </r>
      </text>
    </comment>
    <comment ref="CZ62" authorId="2" shapeId="0" xr:uid="{1B04EFA4-A639-4131-B164-879C3A759DE5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Recepcion de contenedores
</t>
        </r>
      </text>
    </comment>
    <comment ref="KQ62" authorId="1" shapeId="0" xr:uid="{2FD3702F-54E0-4CCA-9F8D-98832CC59267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  <comment ref="KK63" authorId="3" shapeId="0" xr:uid="{81AF1681-291A-48C5-BD7B-80284BF03E95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Se ajusto 24 tambores en profit ya que se creo nuevo codido de rimula R250 y se despacho uno </t>
        </r>
      </text>
    </comment>
    <comment ref="DT64" authorId="2" shapeId="0" xr:uid="{44C0C48A-0569-4F34-906B-36BAFBE29885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Devolucion del tambor por lote.</t>
        </r>
      </text>
    </comment>
    <comment ref="IB65" authorId="3" shapeId="0" xr:uid="{1892E2DD-FB16-425D-8489-C8F3D0D309AA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nota de credito 00043 para solventar error de despacho, se debia despachar R4 15w40 5gal y se despacho R4 15W 40 20L fact1997</t>
        </r>
      </text>
    </comment>
    <comment ref="BO67" authorId="2" shapeId="0" xr:uid="{00000000-0006-0000-0000-00000D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entre almacenes</t>
        </r>
      </text>
    </comment>
    <comment ref="CT67" authorId="2" shapeId="0" xr:uid="{CE84DB3C-CE74-4149-9201-BC10A5A509E8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almacenes.</t>
        </r>
      </text>
    </comment>
    <comment ref="CU67" authorId="2" shapeId="0" xr:uid="{201C6C3A-33A3-4595-9E12-9DC64BD99871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entre almacenes.</t>
        </r>
      </text>
    </comment>
    <comment ref="CV67" authorId="2" shapeId="0" xr:uid="{67B6A166-4E28-49B2-8016-EA8FF9943B45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Traspaso interno desde Fulgor a planta Valencia</t>
        </r>
      </text>
    </comment>
    <comment ref="IB67" authorId="3" shapeId="0" xr:uid="{07D3DCC8-ECFC-41B8-949B-7A29E97EF3E5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nota de credito 00043 para solventar error de despacho, se debia despachar R4 15w40 5gal y se despacho R4 15W 40 20L fact1997</t>
        </r>
      </text>
    </comment>
    <comment ref="BA68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Devolucion de Todo Suministros</t>
        </r>
      </text>
    </comment>
    <comment ref="CJ68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Traslado entre almcane Fulgor - Valencia</t>
        </r>
      </text>
    </comment>
    <comment ref="KS69" authorId="3" shapeId="0" xr:uid="{28324072-BE3B-4F7F-95C9-896C3AF146AB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traslado desde fulgor</t>
        </r>
      </text>
    </comment>
    <comment ref="KT69" authorId="3" shapeId="0" xr:uid="{7671FA87-58D2-410D-AE43-AE384807F1AA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en profit esta registrado un solo codigo, pero fisicamente hay uno que es de origen USA  y otro de Brasil. Se ajusta para alinear inventario</t>
        </r>
      </text>
    </comment>
    <comment ref="KQ70" authorId="1" shapeId="0" xr:uid="{DB4F90DF-66DD-48B9-89ED-B9ED99DFD45A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  <comment ref="KQ79" authorId="1" shapeId="0" xr:uid="{5574635C-7A8C-4F0C-B474-81845FE1A231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  <comment ref="CJ83" authorId="2" shapeId="0" xr:uid="{00000000-0006-0000-0000-00001C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Una caja devuelta por el distribuidor Dicolvica Consecionario por presentar faltante de envases aun estando sellada de origen.</t>
        </r>
      </text>
    </comment>
    <comment ref="KQ89" authorId="1" shapeId="0" xr:uid="{1068FE86-A9A8-48E7-940E-C17FE3432EAF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  <comment ref="EG90" authorId="2" shapeId="0" xr:uid="{A0A0992E-1A5A-4111-A03E-53812C4F0EF2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Devolucion por error en pedido de cliente</t>
        </r>
      </text>
    </comment>
    <comment ref="KQ90" authorId="1" shapeId="0" xr:uid="{1FB0F196-08FF-4F19-8DD1-F0605433D775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devolucion  que se le entrego a mrkt para sesion de fotos.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Denis Orta</author>
    <author>Daniel Lugo</author>
    <author>Duglas Ledezma</author>
    <author>Nesrely Rodríguez</author>
  </authors>
  <commentList>
    <comment ref="GU4" authorId="0" shapeId="0" xr:uid="{00000000-0006-0000-0100-00002A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Despacho a DGM en carro particular Reanult clio Azul</t>
        </r>
      </text>
    </comment>
    <comment ref="KN4" authorId="0" shapeId="0" xr:uid="{F8EF99AD-FA8A-4430-93AF-825166B24FD5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Correspondiente a ajuste realizado en sistema para corregir swithc con el Adv 20W50 por error en despacho.</t>
        </r>
      </text>
    </comment>
    <comment ref="QQ4" authorId="1" shapeId="0" xr:uid="{A4A50638-FE62-4E03-A78E-016FB148BA00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devolucion de epa 3 unds
</t>
        </r>
      </text>
    </comment>
    <comment ref="AET4" authorId="2" shapeId="0" xr:uid="{3DF86819-F714-4820-A853-2282C96E15AE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AFC4" authorId="3" shapeId="0" xr:uid="{7EAB3ED2-4434-4BCA-9D5C-23A16461A7A1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go park</t>
        </r>
      </text>
    </comment>
    <comment ref="AET5" authorId="2" shapeId="0" xr:uid="{BB4FF9B9-FDCC-4B7E-87CC-EB6F106727E9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AET8" authorId="2" shapeId="0" xr:uid="{F06B3F17-B58D-4720-9BCC-EDB0FC1590F1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EL17" authorId="0" shapeId="0" xr:uid="{00000000-0006-0000-0100-000031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Correspondiente a ajuste realizado a paila rota para ser usada a mantenimiento.</t>
        </r>
      </text>
    </comment>
    <comment ref="JD17" authorId="0" shapeId="0" xr:uid="{24130C99-5B99-4F41-8926-BE1BC0D34ED4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 rota entregada a mtto bajo la autorizacion de Nelson Azocar
</t>
        </r>
      </text>
    </comment>
    <comment ref="RN17" authorId="1" shapeId="0" xr:uid="{9C39E1F8-F848-4ECF-9424-734F2A320701}">
      <text>
        <r>
          <rPr>
            <b/>
            <sz val="10"/>
            <color indexed="81"/>
            <rFont val="Tahoma"/>
            <family val="2"/>
          </rPr>
          <t>Daniel Lugo:</t>
        </r>
        <r>
          <rPr>
            <sz val="10"/>
            <color indexed="81"/>
            <rFont val="Tahoma"/>
            <family val="2"/>
          </rPr>
          <t xml:space="preserve">
3 pailas dadas a mantenimiento para uso interno MMT de compresores  OA /Denis y Nelson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Y17" authorId="2" shapeId="0" xr:uid="{7C42C0BA-AD04-48CA-846D-FF9B5C038772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paila se le entrego a alexis para los compresores de planta bajo autorizacion de sr nelson </t>
        </r>
      </text>
    </comment>
    <comment ref="BD20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 entregada a Mtoo. Para mantenimiento de planta.</t>
        </r>
      </text>
    </comment>
    <comment ref="CB20" authorId="0" shapeId="0" xr:uid="{00000000-0006-0000-0100-00002D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caja entregada a mtto.</t>
        </r>
      </text>
    </comment>
    <comment ref="GU20" authorId="0" shapeId="0" xr:uid="{00000000-0006-0000-0100-00002E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Despacho a DGM en carro particular Reanult clio Azul</t>
        </r>
      </text>
    </comment>
    <comment ref="AET20" authorId="2" shapeId="0" xr:uid="{23F964C6-E730-4402-AC69-E46A906AA535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CN21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Salida de pailas entregadas a Orlando</t>
        </r>
      </text>
    </comment>
    <comment ref="GY21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Pailas dadas de baja por estar en mal estado: 3 para fulgor y 3 para mtto.</t>
        </r>
      </text>
    </comment>
    <comment ref="OL21" authorId="0" shapeId="0" xr:uid="{EB3F678A-4C91-4D91-9139-0A7A3DE10984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24 pailas  ya enviadas correspondientes al switche por error en despacho</t>
        </r>
      </text>
    </comment>
    <comment ref="OL22" authorId="0" shapeId="0" xr:uid="{231CCD62-CB37-4551-9FB8-E4AAE16EF963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24 pailas  ya enviadas correspondientes al switche por error en despacho</t>
        </r>
      </text>
    </comment>
    <comment ref="AEA25" authorId="3" shapeId="0" xr:uid="{E893F7E0-0354-4909-B65B-360574BB4727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4 CAJAS QUE LLEGARON DE ORIGEN COLOMBIANO COMO HX5 15W-40 Y LLEGÓ HX5 20W-50 3X4 </t>
        </r>
      </text>
    </comment>
    <comment ref="HO26" authorId="0" shapeId="0" xr:uid="{6522D093-8E11-4A12-8BAA-D00B5E05D6EA}">
      <text>
        <r>
          <rPr>
            <b/>
            <sz val="9"/>
            <color indexed="81"/>
            <rFont val="Tahoma"/>
            <family val="2"/>
          </rPr>
          <t>Denis Orta:
Caja en mal estado entregada a FdO para uso en la desmalezadora.</t>
        </r>
      </text>
    </comment>
    <comment ref="HR26" authorId="0" shapeId="0" xr:uid="{5984AB12-BA5C-43F5-990F-5CF41A6F9E84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3 Cajas despachadas a fulgor
</t>
        </r>
      </text>
    </comment>
    <comment ref="HX26" authorId="0" shapeId="0" xr:uid="{6E828273-E25B-41CF-A211-6458C1C7AE49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Despacho a empleado corregido el 16-11-2020 por error en carga de pedido.</t>
        </r>
      </text>
    </comment>
    <comment ref="VZ26" authorId="3" shapeId="0" xr:uid="{707BF828-85D6-45A5-B0AF-303BA3A3AADD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entregada a patricio garces retirada por haileen bozo</t>
        </r>
      </text>
    </comment>
    <comment ref="ABT27" authorId="3" shapeId="0" xr:uid="{CEB7F4A9-4E06-482A-961F-46DE16238726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1 caja entregada a facilidades de oficina para mantenimiento del galpon</t>
        </r>
      </text>
    </comment>
    <comment ref="UU28" authorId="3" shapeId="0" xr:uid="{D6BEDA0D-150E-42AF-9DB1-F67A3EEDABFC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Ajuste por mal despacho Disbattery Aragua Factura 01688 sustituye a 01627</t>
        </r>
      </text>
    </comment>
    <comment ref="BH3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Ajuste de inventario por faltante detectado en paleta durante despacho. 1 caja</t>
        </r>
      </text>
    </comment>
    <comment ref="K3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Cajas entregadas a Liseth por emergencia.</t>
        </r>
      </text>
    </comment>
    <comment ref="BE3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 entregada para la alcaldia.</t>
        </r>
      </text>
    </comment>
    <comment ref="CQ3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3 cajas entregadas a Fulgor (Soel Silva)
</t>
        </r>
      </text>
    </comment>
    <comment ref="HZ31" authorId="0" shapeId="0" xr:uid="{A37E562C-2F79-41D9-B8F9-85CD2000408C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Cajas despachadas a la gobernacion del Edo. Carabobo</t>
        </r>
      </text>
    </comment>
    <comment ref="KI31" authorId="0" shapeId="0" xr:uid="{714B06B5-3D6D-46BD-A08D-21CDFC87FBFD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Con fecha 24-02-2021
</t>
        </r>
      </text>
    </comment>
    <comment ref="LZ31" authorId="0" shapeId="0" xr:uid="{B762CFB6-2C14-4A50-AE75-67A51DC65426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Pedido de Sefinca</t>
        </r>
      </text>
    </comment>
    <comment ref="SM31" authorId="1" shapeId="0" xr:uid="{29BBD4E9-90E7-43C2-B9CD-A7A84683BCFD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cajas dada al departamento de marketing para premio 
</t>
        </r>
      </text>
    </comment>
    <comment ref="VV31" authorId="3" shapeId="0" xr:uid="{D57F653B-BD9B-4C0A-A7D2-555DA49FAFC1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se destruyo una caja vacia de 20w50 detectada En el proceso de rearmado de paleta del producto SHELL HELIX HX5 20W-50 SN 6x1L, vacía de origen. Esta caja estaba completamente sellada en una de las esquinas de la paleta.</t>
        </r>
      </text>
    </comment>
    <comment ref="VZ31" authorId="3" shapeId="0" xr:uid="{EB588540-9A57-410B-8C53-44CA04F24900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entregada a patricio garces retirada por haileen bozo
</t>
        </r>
      </text>
    </comment>
    <comment ref="ABT31" authorId="3" shapeId="0" xr:uid="{4AD409DE-924B-4716-8DE6-028596F36CFD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1 caja dentregada a facilidades de oficina para mantenimiento del tractor</t>
        </r>
      </text>
    </comment>
    <comment ref="AFC31" authorId="3" shapeId="0" xr:uid="{3C2A0C62-4388-4A0B-85F3-89F947FDA9E5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go park</t>
        </r>
      </text>
    </comment>
    <comment ref="BH32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Ajuste por faltante de envases en cajas provenientes de importacion cerradas - 1 Caja vacia.</t>
        </r>
      </text>
    </comment>
    <comment ref="VK32" authorId="3" shapeId="0" xr:uid="{DCCA4B95-8B15-4A95-A275-8B42ED9858DC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ajuste para solventar Switche de 3unidades entre SP Y SN
</t>
        </r>
      </text>
    </comment>
    <comment ref="BE33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 entregada para la alcaldia.</t>
        </r>
      </text>
    </comment>
    <comment ref="BH3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Ajuste por faltante de envases en cajas provenientes de importacion cerradas - 3 Cajas vacias</t>
        </r>
      </text>
    </comment>
    <comment ref="CB3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Cajas entregadas a mtto.</t>
        </r>
      </text>
    </comment>
    <comment ref="GG33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 entrega como ofrenda durante Bendicion de planta.</t>
        </r>
      </text>
    </comment>
    <comment ref="GU33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Despacho a DGM en carro particular Reanult clio Azul</t>
        </r>
      </text>
    </comment>
    <comment ref="GY33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4 cajas manchadas dadas de baja  para el mantenimiento de los montacargas.</t>
        </r>
      </text>
    </comment>
    <comment ref="KS33" authorId="0" shapeId="0" xr:uid="{08B7B066-2BFB-44F9-ABDD-B5228A31FCC3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 entregada a mantenimiento para los montacargas.
</t>
        </r>
      </text>
    </comment>
    <comment ref="VK35" authorId="3" shapeId="0" xr:uid="{006BF699-E4F4-4CCB-9117-67B6540A4673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ajuste para solventar Switche de 3unidades entre SP Y SN</t>
        </r>
      </text>
    </comment>
    <comment ref="AET35" authorId="2" shapeId="0" xr:uid="{A61207CD-A63B-41C9-BB11-92804BC09D4C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NH36" authorId="0" shapeId="0" xr:uid="{FA74286E-4339-47E0-BAA0-A43CC3AF8738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caja entregada a mercadeo, deberá ser devuelta</t>
        </r>
      </text>
    </comment>
    <comment ref="QJ36" authorId="1" shapeId="0" xr:uid="{2A8681E6-CD77-491C-B7F4-48BF175C87FB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se aprovaron 3 cajas para mantenimiento autorizaso por denis orta 
</t>
        </r>
      </text>
    </comment>
    <comment ref="SP36" authorId="1" shapeId="0" xr:uid="{074EEF74-B41F-4EDD-8CDB-510C3053242B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DESPACHO insystech solisitud de atencion al cliente 
</t>
        </r>
      </text>
    </comment>
    <comment ref="SW36" authorId="0" shapeId="0" xr:uid="{3E8C575E-93CD-4F6F-B0B6-0BB9265034F8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Caja de HX7 10W40 dada de baja por encontrarse vacio proveniente de origen asi.</t>
        </r>
      </text>
    </comment>
    <comment ref="TG36" authorId="0" shapeId="0" xr:uid="{9406A1C1-B821-4353-A43D-1DD48DBBBCCF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Cajas entregadas a mantenimiento para ser usadas en los montacargas</t>
        </r>
      </text>
    </comment>
    <comment ref="YI36" authorId="3" shapeId="0" xr:uid="{9C4A8D15-ACEC-4B52-9F80-C491CF87DE18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4 cajas entregadas a mantenimiento para cambio de aceite de montacargas</t>
        </r>
      </text>
    </comment>
    <comment ref="AEA36" authorId="3" shapeId="0" xr:uid="{77E348DB-18C0-4406-B283-032DE9030B6D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1 CAJA 10W-40 VACIA QUE SE DIO DE BAJA</t>
        </r>
      </text>
    </comment>
    <comment ref="QO37" authorId="1" shapeId="0" xr:uid="{1B49EC14-154F-4DB9-B6A6-01CFAC695848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se realiza traspaso para mantener trazabilidad con finanzas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AET38" authorId="2" shapeId="0" xr:uid="{3FDF97AB-8BF3-482C-A98E-F3C9142DAC80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BL39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Cajas entregadas a Vassa a Solicitud de Nelson Azocar</t>
        </r>
      </text>
    </comment>
    <comment ref="GI41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Ultimo despacho del Ultra viejo, inicio de los despachos del ultra nuevo</t>
        </r>
      </text>
    </comment>
    <comment ref="WH41" authorId="3" shapeId="0" xr:uid="{4FB223C3-B941-48A5-A713-1EE28D174A02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3 cajas de Penzoil 6X1L que llegaron el 13-06-22 como 15w-40, fueron entregadas al sr Nelson Azocar.</t>
        </r>
      </text>
    </comment>
    <comment ref="GB45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Una paila entregada a mantenimiento para el correctivo de la torre del montacargas.</t>
        </r>
      </text>
    </comment>
    <comment ref="LU45" authorId="3" shapeId="0" xr:uid="{48E2A75C-26E5-4A20-9BB9-92F7592BF940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5 pailas entregadas a la contratista según aprobación de Nelson Azocar</t>
        </r>
      </text>
    </comment>
    <comment ref="ND45" authorId="0" shapeId="0" xr:uid="{27A764A2-0031-4190-AA26-420A4A209FF2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3 Pailas de Hydraulic 68 en buen estado, entregadas a la contratista de la grua que levanta la estructura del galpon según autorizacion verbal de Nelson Azocar</t>
        </r>
      </text>
    </comment>
    <comment ref="BD49" authorId="0" shapeId="0" xr:uid="{00000000-0006-0000-0100-000027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 entregada a BF para desmaezadora</t>
        </r>
      </text>
    </comment>
    <comment ref="EF49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caja entreegada a FdO para su uso en la desmalezadora.</t>
        </r>
      </text>
    </comment>
    <comment ref="FH49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175 Cajas complemento de carga despachada en fulgor 00158</t>
        </r>
      </text>
    </comment>
    <comment ref="ND49" authorId="0" shapeId="0" xr:uid="{5A693995-EE2E-449E-9D30-B4154CC020C1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Caja de Anautilus entregada a FdO bajo la aprobacion verbal de Nelson azocar
</t>
        </r>
      </text>
    </comment>
    <comment ref="AET49" authorId="2" shapeId="0" xr:uid="{41A09591-8EFB-4087-9B2B-4A24B1A2D110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EL54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Correspondiente a ajuste realizado a paila rota para ser usada en actividades de mantenimiento.</t>
        </r>
      </text>
    </comment>
    <comment ref="MZ57" authorId="0" shapeId="0" xr:uid="{B926BF96-A1BF-4E4A-8E85-9CFEC51FE428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 dada de baja bajo aprobacion de Nelson Azocar (Paila vacia)</t>
        </r>
      </text>
    </comment>
    <comment ref="QE57" authorId="1" shapeId="0" xr:uid="{33B05AFF-846F-471C-B6E1-560935EF7DCA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paila sacada por destruccion aprobada por nelson y denis
</t>
        </r>
      </text>
    </comment>
    <comment ref="LU58" authorId="3" shapeId="0" xr:uid="{01921B18-8028-45DB-B118-7671F8443BE6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3 pailas entregadas a la contratista por aprobación de Nelson Azocar</t>
        </r>
      </text>
    </comment>
    <comment ref="ZQ61" authorId="3" shapeId="0" xr:uid="{6FD5C3A4-779E-4BF5-8F11-6C1E38CE0D5B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Reposición de pailas con tapas rotas de disbattery Aragua, devueltas por el cliente</t>
        </r>
      </text>
    </comment>
    <comment ref="CQ62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Salida de cuadrapack entregado al laboratorio como muestra previo OA de Nelson</t>
        </r>
      </text>
    </comment>
    <comment ref="EL62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Correspondiente a ajuste realizado por paila vacia.</t>
        </r>
      </text>
    </comment>
    <comment ref="FI62" authorId="0" shapeId="0" xr:uid="{00000000-0006-0000-0100-00001C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Pailas vacias dadas de baja por falla de empaque.</t>
        </r>
      </text>
    </comment>
    <comment ref="FN62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Denis Orta:
Pailas vacias dadas de baja por falla de empaque.</t>
        </r>
      </text>
    </comment>
    <comment ref="GU62" authorId="0" shapeId="0" xr:uid="{00000000-0006-0000-0100-00001E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Despacho a DGM en carro particular Reanult clio Azul</t>
        </r>
      </text>
    </comment>
    <comment ref="GV62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6 Pailas dadas de baja por estar vacias (4 contamindas con agua - 2 que perdieeron todo el producto) Según OA de Nelson Azocar</t>
        </r>
      </text>
    </comment>
    <comment ref="GY62" authorId="0" shapeId="0" xr:uid="{00000000-0006-0000-0100-000020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3 Pailas vacias dadas de baja para su destruccion.</t>
        </r>
      </text>
    </comment>
    <comment ref="HK62" authorId="0" shapeId="0" xr:uid="{EE8F6519-E5F8-42DF-9266-FEE75FF8E8E8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69 + 49 pailas entregadas a Rebattery</t>
        </r>
      </text>
    </comment>
    <comment ref="HZ62" authorId="0" shapeId="0" xr:uid="{394F970E-E91F-41F7-AB9B-4DF2A1B38678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Despacho realizado a particular según requerimiento del Sr. Patricio</t>
        </r>
      </text>
    </comment>
    <comment ref="MZ62" authorId="0" shapeId="0" xr:uid="{F3946E69-9E00-413F-B22C-B19E221399C7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11 pailas vacias dadas de baja con autorizacion de Nelson Azocar</t>
        </r>
      </text>
    </comment>
    <comment ref="QE62" authorId="1" shapeId="0" xr:uid="{F6EADD84-0A8A-42BE-9CDA-86E9B33AF8D6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4 pailas para destruccion aprobadas por nelson y denis 
</t>
        </r>
      </text>
    </comment>
    <comment ref="UF62" authorId="0" shapeId="0" xr:uid="{CB969AC3-7FC0-4634-87D6-94F3DFF93F7C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 entregada a Mercadeo según aprobacion de Nelson Azocar</t>
        </r>
      </text>
    </comment>
    <comment ref="AET62" authorId="2" shapeId="0" xr:uid="{19D7F018-240C-403C-B454-11995739F074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EL64" authorId="0" shapeId="0" xr:uid="{00000000-0006-0000-0100-000021000000}">
      <text>
        <r>
          <rPr>
            <b/>
            <sz val="9"/>
            <color indexed="81"/>
            <rFont val="Tahoma"/>
            <family val="2"/>
          </rPr>
          <t xml:space="preserve">Denis Orta:
</t>
        </r>
        <r>
          <rPr>
            <sz val="9"/>
            <color indexed="81"/>
            <rFont val="Tahoma"/>
            <family val="2"/>
          </rPr>
          <t>Correspondiente a ajuste de inventario por diferencia generada en recepcion de montacargas.</t>
        </r>
      </text>
    </comment>
    <comment ref="FI64" authorId="0" shapeId="0" xr:uid="{00000000-0006-0000-0100-000022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Movimiento Interno de productos realizado con unidad de AgroFanb</t>
        </r>
      </text>
    </comment>
    <comment ref="JM64" authorId="0" shapeId="0" xr:uid="{A1062882-5719-4AF8-AF97-6AB8508BD09B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Devolucion de tambor por lote.</t>
        </r>
      </text>
    </comment>
    <comment ref="AEG64" authorId="3" shapeId="0" xr:uid="{9D30136F-4BE8-4FAE-A1AB-419A8DB992DF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Se ajusto 24 tambores en profit ya que se creo nuevo codido de rimula R250 y se despacho uno por otro</t>
        </r>
      </text>
    </comment>
    <comment ref="WD65" authorId="3" shapeId="0" xr:uid="{4B63D810-FA5E-4981-BD16-F85AA09883C5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error de despacho, de debia despachar R4 15w40 5gal y se despacho R4 15W 40 20L</t>
        </r>
      </text>
    </comment>
    <comment ref="NH66" authorId="0" shapeId="0" xr:uid="{D7617E96-BF5D-4486-A058-299E37BD869C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caja entregada a Mercadeo debera ser devuellta</t>
        </r>
      </text>
    </comment>
    <comment ref="NN66" authorId="0" shapeId="0" xr:uid="{43C19236-7031-455D-8DC6-66F6D441096A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Una caja entregada a finanzas para el cambio de aceite de las camionetas de planta.</t>
        </r>
      </text>
    </comment>
    <comment ref="BD67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 xml:space="preserve">Denis Orta:
</t>
        </r>
        <r>
          <rPr>
            <sz val="9"/>
            <color indexed="81"/>
            <rFont val="Tahoma"/>
            <family val="2"/>
          </rPr>
          <t>Ajuste de inventario por Switche entre dos presentaciones del mismo producto.</t>
        </r>
      </text>
    </comment>
    <comment ref="CW67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cuadrapack entregado al laboratorio según aprobacion de Nelson A</t>
        </r>
      </text>
    </comment>
    <comment ref="EL67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Correspondiente a ajuste realizado por paila vacia.</t>
        </r>
      </text>
    </comment>
    <comment ref="EN67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3 Pailas entregas a Mantenimiento para ser usadas en la planta electrica.</t>
        </r>
      </text>
    </comment>
    <comment ref="FI67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Pailas vacias dadas de baja por falla de empaque.</t>
        </r>
      </text>
    </comment>
    <comment ref="FN67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Denis Orta:
Pailas vacias dadas de baja por falla de empaque.</t>
        </r>
      </text>
    </comment>
    <comment ref="GU67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Despacho a DGM en carro particular Reanult clio Azul</t>
        </r>
      </text>
    </comment>
    <comment ref="GV67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paila dada de baja por estar vacia, al perder todo su contenido según aprobacion de Nelson.
</t>
        </r>
      </text>
    </comment>
    <comment ref="HK67" authorId="0" shapeId="0" xr:uid="{A2034B3C-C616-4168-B77C-B3EF40EDB828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111 + 165 pailas entregadas a rebattery</t>
        </r>
      </text>
    </comment>
    <comment ref="HU67" authorId="0" shapeId="0" xr:uid="{80DCCF5B-B4AB-406E-B859-9C804F51615D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diferencia entre lo registrado y la documentacion por error en carga solventado con doble facturacion, los documentos del registro no coinciden con las facturas finales.</t>
        </r>
      </text>
    </comment>
    <comment ref="IV67" authorId="0" shapeId="0" xr:uid="{A7BDA15F-1059-4095-A947-1ABE8987148C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3 pailas en mal estado entregadas a mantenimiento para el mantenimiento preventivo de la planta electrica.</t>
        </r>
      </text>
    </comment>
    <comment ref="JK67" authorId="0" shapeId="0" xr:uid="{C557FC5E-7105-449C-A38D-35722CBF3B72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Despacho de DGM</t>
        </r>
      </text>
    </comment>
    <comment ref="KC67" authorId="0" shapeId="0" xr:uid="{C73DA45B-C41A-44BC-AE4A-58CBFB60DB6D}">
      <text>
        <r>
          <rPr>
            <b/>
            <sz val="9"/>
            <color indexed="81"/>
            <rFont val="Tahoma"/>
            <family val="2"/>
          </rPr>
          <t>Denis Orta:
Paila dada para el mantenimiento de la planta de 90 KVA</t>
        </r>
      </text>
    </comment>
    <comment ref="MZ67" authorId="0" shapeId="0" xr:uid="{EAF0BEFD-AF4C-49A8-A0D1-99F4D5006A97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32 pailas vacias de R4 dadas de baja con autorizacion de Nelson Azocar</t>
        </r>
      </text>
    </comment>
    <comment ref="QD67" authorId="1" shapeId="0" xr:uid="{F6629121-25BA-4B80-BF8B-FEEFA6A8EB75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cuatros pailas para destruccion aprovadas por Nelson A. y Denis O.</t>
        </r>
      </text>
    </comment>
    <comment ref="QJ67" authorId="1" shapeId="0" xr:uid="{5B4705F3-4686-42BD-AB84-7B97335577D7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4 pilas dadas manteniemiento previa autorizacion denis orta 
</t>
        </r>
      </text>
    </comment>
    <comment ref="UF67" authorId="0" shapeId="0" xr:uid="{DEF1C83A-C77A-406A-8212-E3D5EC8B8D94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 entregada a Mercadeo según aprobacion de Nelson Azocar</t>
        </r>
      </text>
    </comment>
    <comment ref="EL68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Correspondiente a ajuste de inventario por diferencia generada en recepcion de montacargas.</t>
        </r>
      </text>
    </comment>
    <comment ref="HH68" authorId="0" shapeId="0" xr:uid="{46ED67F7-7689-4D8C-A2FB-C21FAB4D4892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5 Tambores fuera de especificacion, entregados a la Gobernacion del Edo. Aragua como donacion.</t>
        </r>
      </text>
    </comment>
    <comment ref="UU68" authorId="3" shapeId="0" xr:uid="{2EE9ADF5-4BC3-41C4-953F-79FBEFE3BD1D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Ajuste por mal despacho Disbattery Aragua Factura 01688 sustituye a 01627</t>
        </r>
      </text>
    </comment>
    <comment ref="AFD68" authorId="3" shapeId="0" xr:uid="{8B959F8C-B7A5-426D-B24C-A4A6ADAE3916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en profit esta registrado un solo codigo, pero fisicamente hay uno que es de origen USA  y otro de Brasil. Se ajusta para alinear inventario</t>
        </r>
      </text>
    </comment>
    <comment ref="AET70" authorId="2" shapeId="0" xr:uid="{CADA414E-6A05-4EC0-A766-5111644C9E34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AK71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Paila entregada a Mtto. Para bomba diesel.
Aprobado por Nelson Azocar</t>
        </r>
      </text>
    </comment>
    <comment ref="BD71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Ajuste de inventario por Switche entre dos presentaciones del mismo producto.</t>
        </r>
      </text>
    </comment>
    <comment ref="DX73" authorId="0" shapeId="0" xr:uid="{00000000-0006-0000-0100-000024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Denis Orta:
Switche realizado para corregir diferencia por facturacion</t>
        </r>
      </text>
    </comment>
    <comment ref="EN73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Caja entregada a mantenimiento para ser usada en la planta electrica.</t>
        </r>
      </text>
    </comment>
    <comment ref="EX75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Devolucion de Tambores por error en despacho.</t>
        </r>
      </text>
    </comment>
    <comment ref="DX77" authorId="0" shapeId="0" xr:uid="{00000000-0006-0000-0100-000023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Switche realizado para corregir diferencia por facturacion</t>
        </r>
      </text>
    </comment>
    <comment ref="TJ78" authorId="0" shapeId="0" xr:uid="{7284C9DA-0F34-460F-8A46-BB63B7B773B5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Una paila entregada por el Sr. Edward a constructora de Rodolfo Mazzeta bajo aprobacion de Nelson Azocar</t>
        </r>
      </text>
    </comment>
    <comment ref="AET79" authorId="2" shapeId="0" xr:uid="{A97C4912-8735-470B-BA03-CEE42726F760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HJ83" authorId="0" shapeId="0" xr:uid="{B2B1E4E5-4CE7-4D80-BD3B-B8F288F61EAC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caja despachada por reposicion</t>
        </r>
      </text>
    </comment>
    <comment ref="JD83" authorId="0" shapeId="0" xr:uid="{04B8AE7F-F6BA-4C93-BF2A-40E40D902FE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Caja con faltante entrregada a mtto para la caja de los montacargas.</t>
        </r>
      </text>
    </comment>
    <comment ref="TH83" authorId="0" shapeId="0" xr:uid="{03AC44AE-0149-4403-8586-7148C8C60701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Una caja en mal estado entregada a mantenimiento para los montacargas.</t>
        </r>
      </text>
    </comment>
    <comment ref="AET89" authorId="2" shapeId="0" xr:uid="{2B0B5B5A-3E64-4AD3-B1BF-E55EE50EF611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AET90" authorId="2" shapeId="0" xr:uid="{1FA0B9AF-7ECE-448F-89B7-5C52B2D4712B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1 caja que se le entrego a mrkt para sesion de fotos. 
</t>
        </r>
      </text>
    </comment>
    <comment ref="EN91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1 paila entregada a mantenimiento para ser usada en el montacargas electrico.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Denis Orta</author>
    <author>Daniel Lugo</author>
    <author>Nesrely Rodríguez</author>
    <author>Duglas Ledezma</author>
  </authors>
  <commentList>
    <comment ref="I3" authorId="0" shapeId="0" xr:uid="{88148A62-F475-48CB-93BE-B0D7A6DE56ED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Octubre 2019</t>
        </r>
      </text>
    </comment>
    <comment ref="J3" authorId="0" shapeId="0" xr:uid="{8AB053D1-7B6B-404C-885C-9DC78415D61B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Noviembre 2019</t>
        </r>
      </text>
    </comment>
    <comment ref="K3" authorId="0" shapeId="0" xr:uid="{389404F2-0E5B-483E-BE9C-6BCEBAA3CB9B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Diciembre 2019</t>
        </r>
      </text>
    </comment>
    <comment ref="L3" authorId="0" shapeId="0" xr:uid="{94E45602-DBB1-497C-B99E-76B05FC741B9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Enero 2020 CIRCULAR</t>
        </r>
      </text>
    </comment>
    <comment ref="M3" authorId="0" shapeId="0" xr:uid="{B2DA5E37-773E-4DDE-9A7A-944FD9A5D36F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Febrero 2020 CIRCULAR</t>
        </r>
      </text>
    </comment>
    <comment ref="N3" authorId="0" shapeId="0" xr:uid="{DE305A8F-08AF-4DD1-81B2-F95F2D95D650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Marzo 2020 CIRCULAR</t>
        </r>
      </text>
    </comment>
    <comment ref="O3" authorId="0" shapeId="0" xr:uid="{0EBA2DCA-DC67-4E63-B3F7-062B67B7CE2B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Abril 2020 CIR</t>
        </r>
      </text>
    </comment>
    <comment ref="P3" authorId="0" shapeId="0" xr:uid="{5816CA46-4336-4BD4-AFE0-44E2B05BC243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Mayo 2020</t>
        </r>
      </text>
    </comment>
    <comment ref="Q3" authorId="0" shapeId="0" xr:uid="{83D64803-EC47-4AE1-8EFB-D10586EAC17B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Junio 2020</t>
        </r>
      </text>
    </comment>
    <comment ref="R3" authorId="0" shapeId="0" xr:uid="{80EF3FEC-609A-434E-94AE-4E7ACD59F096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Julio - Agosto 2020 Circular</t>
        </r>
      </text>
    </comment>
    <comment ref="S3" authorId="0" shapeId="0" xr:uid="{49A2B990-1EDA-4065-AC3C-4B1CC2DF5B5C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Septiembre - Octubre 2020</t>
        </r>
      </text>
    </comment>
    <comment ref="T3" authorId="0" shapeId="0" xr:uid="{C936204F-3CC7-4CC8-AFE9-036853ACFDC3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Noviembre - Diciembre 2020 Circular</t>
        </r>
      </text>
    </comment>
    <comment ref="U3" authorId="0" shapeId="0" xr:uid="{20824C9B-6A89-4EB6-A608-9373B959870E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Diciembre 2020 CIR</t>
        </r>
      </text>
    </comment>
    <comment ref="V3" authorId="0" shapeId="0" xr:uid="{00566EBF-640E-4032-AE30-FAC1B121F24B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Diciembre 2020 - Enero 2021 CIRCULAR</t>
        </r>
      </text>
    </comment>
    <comment ref="W3" authorId="0" shapeId="0" xr:uid="{FE29159D-F258-4135-B59B-C516B8B44201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Enero - Febrero 2021</t>
        </r>
      </text>
    </comment>
    <comment ref="X3" authorId="0" shapeId="0" xr:uid="{6A80A728-C5A9-402A-862E-8940C2869DBD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Marzo 2021
CIRCULAR</t>
        </r>
      </text>
    </comment>
    <comment ref="Y3" authorId="0" shapeId="0" xr:uid="{C48608B2-3A43-4E9F-813D-8C29CF561062}">
      <text>
        <r>
          <rPr>
            <b/>
            <sz val="9"/>
            <color indexed="81"/>
            <rFont val="Tahoma"/>
            <family val="2"/>
          </rPr>
          <t>Denis Orta:</t>
        </r>
        <r>
          <rPr>
            <sz val="9"/>
            <color indexed="81"/>
            <rFont val="Tahoma"/>
            <family val="2"/>
          </rPr>
          <t xml:space="preserve">
Abril - Mayo 2021 verde cir</t>
        </r>
      </text>
    </comment>
    <comment ref="Z3" authorId="1" shapeId="0" xr:uid="{8EC1CE4D-D282-4C53-A4D3-1267EEB6399E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junio y julio 2021
CUADRADO</t>
        </r>
      </text>
    </comment>
    <comment ref="AA3" authorId="1" shapeId="0" xr:uid="{2D1A31BE-BE30-4C99-8B32-25841FB8A320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agosto septiembre
2021</t>
        </r>
      </text>
    </comment>
    <comment ref="AB3" authorId="1" shapeId="0" xr:uid="{A357111E-F93F-4136-8C32-7C0A83379057}">
      <text>
        <r>
          <rPr>
            <b/>
            <sz val="14"/>
            <color indexed="81"/>
            <rFont val="Tahoma"/>
            <family val="2"/>
          </rPr>
          <t>Daniel Lugo:</t>
        </r>
        <r>
          <rPr>
            <sz val="14"/>
            <color indexed="81"/>
            <rFont val="Tahoma"/>
            <family val="2"/>
          </rPr>
          <t xml:space="preserve">
amarillo y naranja  nuevo octubre y noviembre 2021 CUADRADO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" authorId="1" shapeId="0" xr:uid="{F91D3230-0A94-4175-BA56-2B55D03B4E1B}">
      <text>
        <r>
          <rPr>
            <b/>
            <sz val="14"/>
            <color indexed="81"/>
            <rFont val="Tahoma"/>
            <family val="2"/>
          </rPr>
          <t>Daniel Lugo:</t>
        </r>
        <r>
          <rPr>
            <sz val="14"/>
            <color indexed="81"/>
            <rFont val="Tahoma"/>
            <family val="2"/>
          </rPr>
          <t xml:space="preserve">
amarillo y naranja  nuevo octubre y noviembre 2021</t>
        </r>
      </text>
    </comment>
    <comment ref="AD3" authorId="1" shapeId="0" xr:uid="{3FE1FACF-9796-4CC6-9D43-3C6AAA415464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DICIEMBRE 2021
ENERO 2022 CUADRADO</t>
        </r>
      </text>
    </comment>
    <comment ref="AE3" authorId="1" shapeId="0" xr:uid="{5C5580DD-A527-4D33-B75A-FF555DF279F2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ENERO DESDE EL 06-01-22</t>
        </r>
      </text>
    </comment>
    <comment ref="AF3" authorId="1" shapeId="0" xr:uid="{6498F251-88E4-4243-8BF9-E3A9047F5362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febrero 2022 CUADRADO
</t>
        </r>
      </text>
    </comment>
    <comment ref="AG3" authorId="2" shapeId="0" xr:uid="{9FBD83DA-C570-4369-9D49-17E065D954D8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Blanco Cuadrado Marzo 2022</t>
        </r>
      </text>
    </comment>
    <comment ref="AH3" authorId="1" shapeId="0" xr:uid="{54BEBACA-C6AA-497B-B1AC-F891AE64B13C}">
      <text>
        <r>
          <rPr>
            <b/>
            <sz val="14"/>
            <color indexed="81"/>
            <rFont val="Tahoma"/>
            <family val="2"/>
          </rPr>
          <t>Daniel Lugo:</t>
        </r>
        <r>
          <rPr>
            <sz val="14"/>
            <color indexed="81"/>
            <rFont val="Tahoma"/>
            <family val="2"/>
          </rPr>
          <t xml:space="preserve">
amarillo Abril 2022</t>
        </r>
        <r>
          <rPr>
            <sz val="9"/>
            <color indexed="81"/>
            <rFont val="Tahoma"/>
            <family val="2"/>
          </rPr>
          <t xml:space="preserve">
CUADRADO</t>
        </r>
      </text>
    </comment>
    <comment ref="AI3" authorId="2" shapeId="0" xr:uid="{66566CCC-973F-4874-93D7-1B12778948AA}">
      <text>
        <r>
          <rPr>
            <b/>
            <sz val="9"/>
            <color indexed="81"/>
            <rFont val="Tahoma"/>
            <family val="2"/>
          </rPr>
          <t>Nesrely Rodríguez: MAYO 2022 AZUL CIRCULAR</t>
        </r>
      </text>
    </comment>
    <comment ref="AJ3" authorId="2" shapeId="0" xr:uid="{B7756BE7-59EA-495E-B9D2-4D754EB81A53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Junio 2022  AZUL TRIANGULAR</t>
        </r>
      </text>
    </comment>
    <comment ref="AK3" authorId="2" shapeId="0" xr:uid="{D0363110-B73C-42FF-9DE3-D0B78C2EC6D1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JULIO -AGOSTO 2022 NARANJA TRIANGULAR</t>
        </r>
      </text>
    </comment>
    <comment ref="AL3" authorId="2" shapeId="0" xr:uid="{0D95C0BF-4FA9-4BAF-B4DF-CCF5683C8144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SEPTIEMBRE- OCTUBRE 2022 TRIANGULAR</t>
        </r>
      </text>
    </comment>
    <comment ref="AM3" authorId="2" shapeId="0" xr:uid="{67081ADE-36A0-4B96-9D52-A83E7C62B57F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Noviembre y Diciembre 2022
Blanco Triangular
</t>
        </r>
      </text>
    </comment>
    <comment ref="AN3" authorId="1" shapeId="0" xr:uid="{4FA28A63-9309-4B31-AA92-39F9D502214B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Diciembre 2022- Enero 2023- Febrero 2023 Verde Triangular
</t>
        </r>
      </text>
    </comment>
    <comment ref="AO3" authorId="3" shapeId="0" xr:uid="{7DE222AC-69EA-4930-A8E6-3B9DF779F387}">
      <text>
        <r>
          <rPr>
            <b/>
            <sz val="9"/>
            <color indexed="81"/>
            <rFont val="Tahoma"/>
            <family val="2"/>
          </rPr>
          <t>Duglas Ledezma:</t>
        </r>
        <r>
          <rPr>
            <sz val="9"/>
            <color indexed="81"/>
            <rFont val="Tahoma"/>
            <family val="2"/>
          </rPr>
          <t xml:space="preserve">
MARZO ,  ABRIL y MAYO 2023 AMARILLO TRIANGULAR 
</t>
        </r>
      </text>
    </comment>
  </commentList>
</comments>
</file>

<file path=xl/sharedStrings.xml><?xml version="1.0" encoding="utf-8"?>
<sst xmlns="http://schemas.openxmlformats.org/spreadsheetml/2006/main" count="4951" uniqueCount="1242">
  <si>
    <t>Producto</t>
  </si>
  <si>
    <t>3x4</t>
  </si>
  <si>
    <t>6x1</t>
  </si>
  <si>
    <t>12x1</t>
  </si>
  <si>
    <t>20L</t>
  </si>
  <si>
    <t>5gx1</t>
  </si>
  <si>
    <t>UMB</t>
  </si>
  <si>
    <t>10x1</t>
  </si>
  <si>
    <t>Entrada</t>
  </si>
  <si>
    <t>Salidas</t>
  </si>
  <si>
    <t>Diferencia</t>
  </si>
  <si>
    <t>Fecha</t>
  </si>
  <si>
    <t>Total Despachado</t>
  </si>
  <si>
    <t>Total Recibido</t>
  </si>
  <si>
    <t>Teórico</t>
  </si>
  <si>
    <t>Físico APLV</t>
  </si>
  <si>
    <t>Físico NAPLV</t>
  </si>
  <si>
    <t>1x18Kg</t>
  </si>
  <si>
    <t>1x55g</t>
  </si>
  <si>
    <t>Verde</t>
  </si>
  <si>
    <t>Morado</t>
  </si>
  <si>
    <t>Blanco</t>
  </si>
  <si>
    <t>Naranja</t>
  </si>
  <si>
    <t>Azul</t>
  </si>
  <si>
    <t>Amarillo</t>
  </si>
  <si>
    <t>Marrón</t>
  </si>
  <si>
    <t>14-01-20201</t>
  </si>
  <si>
    <t>209 L</t>
  </si>
  <si>
    <t xml:space="preserve">Azul </t>
  </si>
  <si>
    <t>Cantidad de M3</t>
  </si>
  <si>
    <t>M3 por unidad</t>
  </si>
  <si>
    <t xml:space="preserve">Toneladas </t>
  </si>
  <si>
    <t xml:space="preserve">TIPO </t>
  </si>
  <si>
    <t>A</t>
  </si>
  <si>
    <t>B</t>
  </si>
  <si>
    <t>C</t>
  </si>
  <si>
    <t>amarillo</t>
  </si>
  <si>
    <t>naranja</t>
  </si>
  <si>
    <t>morado</t>
  </si>
  <si>
    <t xml:space="preserve">verde </t>
  </si>
  <si>
    <t>45657855</t>
  </si>
  <si>
    <t>SHELL OMALA S2 G 100 1x20L</t>
  </si>
  <si>
    <t>45659855</t>
  </si>
  <si>
    <t>SHELL OMALA S2 G 220 1x20L</t>
  </si>
  <si>
    <t>45683809</t>
  </si>
  <si>
    <t>SHELL OMALA S2 G 220 EXPO TB 209L</t>
  </si>
  <si>
    <t>45660855</t>
  </si>
  <si>
    <t>SHELL OMALA S2 G 320 1x20L</t>
  </si>
  <si>
    <t>45684809</t>
  </si>
  <si>
    <t>SHELL OMALA S2 G 320 EXPO TB 209L</t>
  </si>
  <si>
    <t>45685855</t>
  </si>
  <si>
    <t>SHELL OMALA S2 G 460 1x20L</t>
  </si>
  <si>
    <t>45312905</t>
  </si>
  <si>
    <t>SHELL ADVANCE 4T AX5 20W-50 SL/MA CX 12x1L</t>
  </si>
  <si>
    <t>44774905</t>
  </si>
  <si>
    <t>SHELL ADVANCE 4T AX7 10W-40 SM/MA2 CX 12x1L</t>
  </si>
  <si>
    <t>550052774</t>
  </si>
  <si>
    <t>SHELL ALEXIA 40 1x55GAL</t>
  </si>
  <si>
    <t>550052775</t>
  </si>
  <si>
    <t>SHELL ALEXIA 70 1x55GAL</t>
  </si>
  <si>
    <t>550054547</t>
  </si>
  <si>
    <t>SHELL ARGINA S2 40 1x55GAL</t>
  </si>
  <si>
    <t>550047079</t>
  </si>
  <si>
    <t>SHELL ARGINA S4 40 1x55GAL</t>
  </si>
  <si>
    <t>550014136</t>
  </si>
  <si>
    <t>SHELL CATENEX T 121 1x209L</t>
  </si>
  <si>
    <t>550027265</t>
  </si>
  <si>
    <t>SHELL CORENA S4 P 100 1x20L</t>
  </si>
  <si>
    <t>550026300</t>
  </si>
  <si>
    <t>SHELL CORENA S4 R 68 1x5GAL</t>
  </si>
  <si>
    <t>550047075</t>
  </si>
  <si>
    <t>SHELL GADINIA S3 40 1x55GAL</t>
  </si>
  <si>
    <t>550027631</t>
  </si>
  <si>
    <t>SHELL GADUS S2 V220 2 AIWJ 10x0.4KG</t>
  </si>
  <si>
    <t>550050706</t>
  </si>
  <si>
    <t>SHELL GADUS S2 V220AC 2 1x18KG</t>
  </si>
  <si>
    <t>550050708</t>
  </si>
  <si>
    <t>SHELL GADUS S2 V220AD 2 1x18KG</t>
  </si>
  <si>
    <t>550025731</t>
  </si>
  <si>
    <t>SHELL HEAT TRANSFER S2  1x209L</t>
  </si>
  <si>
    <t>43512905</t>
  </si>
  <si>
    <t>SHELL HELIX HX5 15W-40 SL 12x1L</t>
  </si>
  <si>
    <t>43509809</t>
  </si>
  <si>
    <t>SHELL HELIX HX5 15W-40 SL TB 209L</t>
  </si>
  <si>
    <t>550053426</t>
  </si>
  <si>
    <t>SHELL HELIX HX5 20W-50 SN 1x209L</t>
  </si>
  <si>
    <t>550045853</t>
  </si>
  <si>
    <t>SHELL HELIX HX5 20W-50 SN 3x4L</t>
  </si>
  <si>
    <t>550045885</t>
  </si>
  <si>
    <t>SHELL HELIX HX5 20W-50 SN 6x1L</t>
  </si>
  <si>
    <t>550057749</t>
  </si>
  <si>
    <t>SHELL HELIX HX7 SP 10W-30 6x1L</t>
  </si>
  <si>
    <t>550052038</t>
  </si>
  <si>
    <t>SHELL HELIX HX7 10W-30 SN PLUS 6x1L</t>
  </si>
  <si>
    <t>550045905</t>
  </si>
  <si>
    <t>SHELL HELIX HX7 10W-40 A1W9 6x1L</t>
  </si>
  <si>
    <t>550057767</t>
  </si>
  <si>
    <t>SHELL HELIX HX7 SP 10W-40 6x1L</t>
  </si>
  <si>
    <t>41051905</t>
  </si>
  <si>
    <t>SHELL HELIX HX8 PRO AG 0W-20 CX 12x1L</t>
  </si>
  <si>
    <t>40926905</t>
  </si>
  <si>
    <t>SHELL HELIX HX8 PRO AG 0W-20 EXPO 12x1L</t>
  </si>
  <si>
    <t>550049041</t>
  </si>
  <si>
    <t>SHELL HELIX HX8 PRO AG 0W-20 LATA 3x4L</t>
  </si>
  <si>
    <t>550050102</t>
  </si>
  <si>
    <t>SHELL HELIX HX8 PROFESSIONAL AG 5W-30 6x1L</t>
  </si>
  <si>
    <t>550057742</t>
  </si>
  <si>
    <t>SHELL HELIX ULTRA 5W-40 6x1L</t>
  </si>
  <si>
    <t>550026710</t>
  </si>
  <si>
    <t>SHELL HYDRAULIC S1 M 46 1x55GAL</t>
  </si>
  <si>
    <t>550026700</t>
  </si>
  <si>
    <t>SHELL HYDRAULIC S1 M 46 1x5GAL</t>
  </si>
  <si>
    <t>550026699</t>
  </si>
  <si>
    <t>SHELL HYDRAULIC S1 M 68 1x55GAL</t>
  </si>
  <si>
    <t>550026697</t>
  </si>
  <si>
    <t>SHELL HYDRAULIC S1 M 68 1x5GAL</t>
  </si>
  <si>
    <t>550022488</t>
  </si>
  <si>
    <t>SHELL MELINA S 30 1x55GAL</t>
  </si>
  <si>
    <t>550036571</t>
  </si>
  <si>
    <t>SHELL MYSELLA S2 Z 40 1x55GAL</t>
  </si>
  <si>
    <t>550036183</t>
  </si>
  <si>
    <t>SHELL MYSELLA S3 N 40 1x55GAL</t>
  </si>
  <si>
    <t>550049771</t>
  </si>
  <si>
    <t>SHELL NAUTILUS PREMIUM OUTB 2T 6x1L</t>
  </si>
  <si>
    <t>550025692</t>
  </si>
  <si>
    <t>SHELL REFRIGERATION OIL S2 FR-A 68 1x20L</t>
  </si>
  <si>
    <t>550026834</t>
  </si>
  <si>
    <t>SHELL REFRIGERATION OIL S2 FR-A 68 1x55GAL</t>
  </si>
  <si>
    <t>550025702</t>
  </si>
  <si>
    <t>SHELL REFRIGERATION OIL S4 FR-V 68 1x20L</t>
  </si>
  <si>
    <t>44245809</t>
  </si>
  <si>
    <t>SHELL RIMULA R2 50 TB 209L EXPO</t>
  </si>
  <si>
    <t>44245855</t>
  </si>
  <si>
    <t>SHELL RIMULA R2 50 FR 1x20L EXPO</t>
  </si>
  <si>
    <t>44243855</t>
  </si>
  <si>
    <t>SHELL RIMULA R4 X 15W-40 CI-4 1x20L</t>
  </si>
  <si>
    <t>550045436</t>
  </si>
  <si>
    <t>SHELL RIMULA R4 X 15W-40 3x4L</t>
  </si>
  <si>
    <t>44243809</t>
  </si>
  <si>
    <t>SHELL RIMULA R4X 15W-40 TB 209L EXPO</t>
  </si>
  <si>
    <t>550045438</t>
  </si>
  <si>
    <t>SHELL RIMULA R5 E 10W-40 3x4L</t>
  </si>
  <si>
    <t>44414855</t>
  </si>
  <si>
    <t>SHELL RIMULA RT4 X 15W-40 CI-4 1x20L</t>
  </si>
  <si>
    <t>550032121</t>
  </si>
  <si>
    <t>SHELL RISELLA X 415 1x209L</t>
  </si>
  <si>
    <t>45387905</t>
  </si>
  <si>
    <t>SHELL SPIRAX S2 A 80W-90 12x1L EXPO</t>
  </si>
  <si>
    <t>550029925</t>
  </si>
  <si>
    <t>SHELL SPIRAX S2 A 80W-90 1x55GAL</t>
  </si>
  <si>
    <t>45372905</t>
  </si>
  <si>
    <t>SHELL SPIRAX S2 A 85W-140 12x1L EXPO</t>
  </si>
  <si>
    <t>45372855</t>
  </si>
  <si>
    <t>SHELL SPIRAX S2 A 85W-140 1x20L</t>
  </si>
  <si>
    <t>45372809</t>
  </si>
  <si>
    <t>SHELL SPIRAX S2 A 85W-140 TB 209L EXPO</t>
  </si>
  <si>
    <t>43592855</t>
  </si>
  <si>
    <t>SHELL SPIRAX S2 A 90 1x20L</t>
  </si>
  <si>
    <t>550049814</t>
  </si>
  <si>
    <t>SHELL SPIRAX S3 ATF MD3 6x1L</t>
  </si>
  <si>
    <t>550026900</t>
  </si>
  <si>
    <t>SHELL SPIRAX S4 CX 30 1x55GAL</t>
  </si>
  <si>
    <t>550026907</t>
  </si>
  <si>
    <t>SHELL SPIRAX S4 CX 50 1x55GAL</t>
  </si>
  <si>
    <t>550026891</t>
  </si>
  <si>
    <t>SHELL SPIRAX S4 TXM 1x5GAL</t>
  </si>
  <si>
    <t>550050052</t>
  </si>
  <si>
    <t>SHELL SPIRAX S6 ATF X 6x1L</t>
  </si>
  <si>
    <t>550045415</t>
  </si>
  <si>
    <t>SHELL TELLUS S2 MX 68 1x5GAL</t>
  </si>
  <si>
    <t>6560200055</t>
  </si>
  <si>
    <t>SHELL TURBO OIL T 32 1x55GAL</t>
  </si>
  <si>
    <t>6560500055</t>
  </si>
  <si>
    <t>SHELL TURBO T OIL 68 1x55GAL</t>
  </si>
  <si>
    <t>550043380</t>
  </si>
  <si>
    <t>SHELL TURBO S4 GX 32 1x55GAL</t>
  </si>
  <si>
    <t>Codigo</t>
  </si>
  <si>
    <t>SHELL REFRIGERATION OIL S4 FR-V 68</t>
  </si>
  <si>
    <t>Shell Rimula R4 X 15w40 1x5g</t>
  </si>
  <si>
    <t>Inventario Profit</t>
  </si>
  <si>
    <t>Código</t>
  </si>
  <si>
    <t>Descripción</t>
  </si>
  <si>
    <t>Actual</t>
  </si>
  <si>
    <t>CAJA</t>
  </si>
  <si>
    <t>41068905</t>
  </si>
  <si>
    <t>SHELL HELIX ULTRA 5W-40 SN 12x1L</t>
  </si>
  <si>
    <t>TAMBOR</t>
  </si>
  <si>
    <t>43509905</t>
  </si>
  <si>
    <t>PAILA</t>
  </si>
  <si>
    <t>500000214</t>
  </si>
  <si>
    <t>SHELL CATENEX T 121 BULK</t>
  </si>
  <si>
    <t>LTR</t>
  </si>
  <si>
    <t>550052035</t>
  </si>
  <si>
    <t>SHELL HELIX ULTRA 5W-40 SN CX 6x1L</t>
  </si>
  <si>
    <t>550054282</t>
  </si>
  <si>
    <t>SHELL RIMULA R4 X 15W40 1X5G</t>
  </si>
  <si>
    <t>QA-1010</t>
  </si>
  <si>
    <t>QUALID FILTRO PARA AIRE 1010</t>
  </si>
  <si>
    <t>UND</t>
  </si>
  <si>
    <t>QA-10190</t>
  </si>
  <si>
    <t>QUALID FILTRO PARA AIRE 10190</t>
  </si>
  <si>
    <t>QA-10242</t>
  </si>
  <si>
    <t>QUALID FILTRO PARA AIRE 10242</t>
  </si>
  <si>
    <t>QA-10262</t>
  </si>
  <si>
    <t>QUALID FILTRO PARA AIRE 10262</t>
  </si>
  <si>
    <t>QA-10755</t>
  </si>
  <si>
    <t>QUALID FILTRO PARA AIRE 10755</t>
  </si>
  <si>
    <t>QA-10835</t>
  </si>
  <si>
    <t>QUALID FILTRO PARA AIRE 10835</t>
  </si>
  <si>
    <t>QA-1111</t>
  </si>
  <si>
    <t>QUALID FILTRO PARA AIRE 1111</t>
  </si>
  <si>
    <t>QA-1211</t>
  </si>
  <si>
    <t>QUALID FILTRO PARA AIRE 1211</t>
  </si>
  <si>
    <t>QA-2222</t>
  </si>
  <si>
    <t>QUALID FILTRO PARA AIRE 2222</t>
  </si>
  <si>
    <t>QA-5700</t>
  </si>
  <si>
    <t>QUALID FILTRO PARA AIRE 5700</t>
  </si>
  <si>
    <t>QA-6558</t>
  </si>
  <si>
    <t>QUALID FILTRO PARA AIRE 6558</t>
  </si>
  <si>
    <t>QA-8000</t>
  </si>
  <si>
    <t>QUALID FILTRO PARA AIRE 8000</t>
  </si>
  <si>
    <t>QA-8004</t>
  </si>
  <si>
    <t>QUALID FILTRO PARA AIRE 8004</t>
  </si>
  <si>
    <t>QA-8208</t>
  </si>
  <si>
    <t>QUALID FILTRO PARA AIRE 8208</t>
  </si>
  <si>
    <t>QA-9074</t>
  </si>
  <si>
    <t>QUALID FILTRO PARA AIRE 9074</t>
  </si>
  <si>
    <t>QA-91485</t>
  </si>
  <si>
    <t>QUALID FILTRO PARA AIRE 91485</t>
  </si>
  <si>
    <t>QA-9430</t>
  </si>
  <si>
    <t>QUALID FILTRO PARA AIRE 9430</t>
  </si>
  <si>
    <t>QA-9683</t>
  </si>
  <si>
    <t>QUALID FILTRO PARA AIRE 9683</t>
  </si>
  <si>
    <t>QA-9687</t>
  </si>
  <si>
    <t>QUALID FILTRO PARA AIRE 9687</t>
  </si>
  <si>
    <t>QA-9902</t>
  </si>
  <si>
    <t>QUALID FILTRO PARA AIRE 9902</t>
  </si>
  <si>
    <t>QAC-L</t>
  </si>
  <si>
    <t>QUALID ABRILLANTADOR DE CAUCHOS 12x1L</t>
  </si>
  <si>
    <t>QC-1010</t>
  </si>
  <si>
    <t>QUALID FILTRO PARA COMBUSTIBLE 1010</t>
  </si>
  <si>
    <t>QC-1036</t>
  </si>
  <si>
    <t>QUALID FILTRO PARA COMBUSTIBLE 1036</t>
  </si>
  <si>
    <t>QC-1083</t>
  </si>
  <si>
    <t>QUALID FILTRO PARA COMBUSTIBLE 1083</t>
  </si>
  <si>
    <t>QC-1100</t>
  </si>
  <si>
    <t>QUALID FILTRO PARA COMBUSTIBLE 1100</t>
  </si>
  <si>
    <t>QC-1120</t>
  </si>
  <si>
    <t>QUALID FILTRO PARA COMBUSTIBLE 1120</t>
  </si>
  <si>
    <t>QC-2</t>
  </si>
  <si>
    <t>QUALID FILTRO PARA COMBUSTIBLE 2</t>
  </si>
  <si>
    <t>QC-3583</t>
  </si>
  <si>
    <t>QUALID FILTRO PARA COMBUSTIBLE 3583</t>
  </si>
  <si>
    <t>QC-3641</t>
  </si>
  <si>
    <t>QUALID FILTRO PARA COMBUSTIBLE 3641</t>
  </si>
  <si>
    <t>QC-3727</t>
  </si>
  <si>
    <t>QUALID FILTRO PARA COMBUSTIBLE 3727</t>
  </si>
  <si>
    <t>QC-3802</t>
  </si>
  <si>
    <t>QUALID FILTRO PARA COMBUSTIBLE 3802</t>
  </si>
  <si>
    <t>QC-3850</t>
  </si>
  <si>
    <t>QUALID FILTRO PARA COMBUSTIBLE 3850</t>
  </si>
  <si>
    <t>QC-5010</t>
  </si>
  <si>
    <t>QUALID FILTRO PARA COMBUSTIBLE 5010</t>
  </si>
  <si>
    <t>QC-5110</t>
  </si>
  <si>
    <t>QUALID FILTRO PARA COMBUSTIBLE 5110</t>
  </si>
  <si>
    <t>QC-511A</t>
  </si>
  <si>
    <t>QUALID FILTRO PARA COMBUSTIBLE 511A</t>
  </si>
  <si>
    <t>QC-5961</t>
  </si>
  <si>
    <t>QUALID FILTRO PARA COMBUSTIBLE 5961</t>
  </si>
  <si>
    <t>QC-618</t>
  </si>
  <si>
    <t>QUALID FILTRO PARA COMBUSTIBLE 618</t>
  </si>
  <si>
    <t>QC-619</t>
  </si>
  <si>
    <t>QUALID FILTRO PARA COMBUSTIBLE 619</t>
  </si>
  <si>
    <t>QC-645A</t>
  </si>
  <si>
    <t>QUALID FILTRO PARA COMBUSTIBLE 645A</t>
  </si>
  <si>
    <t>QC-6680</t>
  </si>
  <si>
    <t>QUALID FILTRO PARA COMBUSTIBLE 6680</t>
  </si>
  <si>
    <t>QC-7110</t>
  </si>
  <si>
    <t>QUALID FILTRO PARA COMBUSTIBLE 7110</t>
  </si>
  <si>
    <t>QC-7194</t>
  </si>
  <si>
    <t>QUALID FILTRO PARA COMBUSTIBLE 7194</t>
  </si>
  <si>
    <t>QC-7612</t>
  </si>
  <si>
    <t>QUALID FILTRO PARA COMBUSTIBLE 7612</t>
  </si>
  <si>
    <t>QC-7729</t>
  </si>
  <si>
    <t>QUALID FILTRO PARA COMBUSTIBLE 7729</t>
  </si>
  <si>
    <t>QC-9292</t>
  </si>
  <si>
    <t>QUALID FILTRO PARA COMBUSTIBLE 9292</t>
  </si>
  <si>
    <t>QC-986</t>
  </si>
  <si>
    <t>QUALID FILTRO PARA COMBUSTIBLE 986</t>
  </si>
  <si>
    <t>QC-991</t>
  </si>
  <si>
    <t>QUALID FILTRO PARA COMBUSTIBLE 991</t>
  </si>
  <si>
    <t>QD-6904</t>
  </si>
  <si>
    <t>QUALID FILTRO PARA DIESEL 6904</t>
  </si>
  <si>
    <t>QD-6905</t>
  </si>
  <si>
    <t>QUALID FILTRO PARA DIESEL 6905</t>
  </si>
  <si>
    <t>QDI-T</t>
  </si>
  <si>
    <t>QUALID DESENGRASANTE INDUSTRIAL 1x200L</t>
  </si>
  <si>
    <t>QDM-G</t>
  </si>
  <si>
    <t>QUALID DESENGRASANTE MULTIPROPOSITO 4x3.785L</t>
  </si>
  <si>
    <t>QDM-L</t>
  </si>
  <si>
    <t>QUALID DESENGRASANTE MULTIPROPOSITO 12x1L</t>
  </si>
  <si>
    <t>QDM-T</t>
  </si>
  <si>
    <t>QUALID DESENGRASANTE MULTIPROPOSITO 1x200L</t>
  </si>
  <si>
    <t>QDOT3-290</t>
  </si>
  <si>
    <t>QUALID LIQUIDO DE FRENOS DOT 3 12x290ML</t>
  </si>
  <si>
    <t>QDOT3-946</t>
  </si>
  <si>
    <t>QUALID LIQUIDO DE FRENOS DOT 3 12x946ML</t>
  </si>
  <si>
    <t>QDOT4-290</t>
  </si>
  <si>
    <t>QUALID LIQUIDO DE FRENOS DOT 4 12x290ML</t>
  </si>
  <si>
    <t>QDOT4-946</t>
  </si>
  <si>
    <t>QUALID LIQUIDO DE FRENOS DOT 4 12x946ML</t>
  </si>
  <si>
    <t>QEO-350</t>
  </si>
  <si>
    <t>QUALID ELEVADOR DE OCTANAJE 12x350ML</t>
  </si>
  <si>
    <t>QFM-G</t>
  </si>
  <si>
    <t>QUALID FORMULA MARINA 4x3.785L</t>
  </si>
  <si>
    <t>QFM-L</t>
  </si>
  <si>
    <t>QUALID FORMULA MARINA 12x1L</t>
  </si>
  <si>
    <t>QL-10060</t>
  </si>
  <si>
    <t>QUALID FILTRO PARA ACEITE 10060</t>
  </si>
  <si>
    <t>QL-10158</t>
  </si>
  <si>
    <t>QUALID FILTRO PARA ACEITE 10158</t>
  </si>
  <si>
    <t>QL-10295</t>
  </si>
  <si>
    <t>QUALID FILTRO PARA ACEITE 10295</t>
  </si>
  <si>
    <t>QL-10358</t>
  </si>
  <si>
    <t>QUALID FILTRO PARA ACEITE 10358</t>
  </si>
  <si>
    <t>QL-10575</t>
  </si>
  <si>
    <t>QUALID FILTRO PARA ACEITE 10575</t>
  </si>
  <si>
    <t>QL-13</t>
  </si>
  <si>
    <t>QUALID FILTRO PARA ACEITE 13</t>
  </si>
  <si>
    <t>QL-16</t>
  </si>
  <si>
    <t>QUALID FILTRO PARA ACEITE 16</t>
  </si>
  <si>
    <t>QL-2</t>
  </si>
  <si>
    <t>QUALID FILTRO PARA ACEITE 2</t>
  </si>
  <si>
    <t>QL-2004</t>
  </si>
  <si>
    <t>QUALID FILTRO PARA ACEITE 2004</t>
  </si>
  <si>
    <t>QL-3387</t>
  </si>
  <si>
    <t>QUALID FILTRO PARA ACEITE 3387</t>
  </si>
  <si>
    <t>QL-3600</t>
  </si>
  <si>
    <t>QUALID FILTRO PARA ACEITE 3600</t>
  </si>
  <si>
    <t>QL-3614</t>
  </si>
  <si>
    <t>QUALID FILTRO PARA ACEITE 3614</t>
  </si>
  <si>
    <t>QL-3690</t>
  </si>
  <si>
    <t>QUALID FILTRO PARA ACEITE 3690</t>
  </si>
  <si>
    <t>QL-3807</t>
  </si>
  <si>
    <t>QUALID FILTRO PARA ACEITE 3807</t>
  </si>
  <si>
    <t>QL-3980</t>
  </si>
  <si>
    <t>QUALID FILTRO PARA ACEITE 3980</t>
  </si>
  <si>
    <t>QL-4558</t>
  </si>
  <si>
    <t>QUALID FILTRO PARA ACEITE 4558</t>
  </si>
  <si>
    <t>QL-4967</t>
  </si>
  <si>
    <t>QUALID FILTRO PARA ACEITE 4967</t>
  </si>
  <si>
    <t>QL-5103</t>
  </si>
  <si>
    <t>QUALID FILTRO PARA ACEITE 5103</t>
  </si>
  <si>
    <t>QL-5113</t>
  </si>
  <si>
    <t>QUALID FILTRO PARA ACEITE 5113</t>
  </si>
  <si>
    <t>QL-5548</t>
  </si>
  <si>
    <t>QUALID FILTRO PARA ACEITE 5548</t>
  </si>
  <si>
    <t>QL-6607</t>
  </si>
  <si>
    <t>QUALID FILTRO PARA ACEITE 6607</t>
  </si>
  <si>
    <t>QL-7317</t>
  </si>
  <si>
    <t>QUALID FILTRO PARA ACEITE 7317</t>
  </si>
  <si>
    <t>QL-8</t>
  </si>
  <si>
    <t>QUALID FILTRO PARA ACEITE 8</t>
  </si>
  <si>
    <t>QL-9814</t>
  </si>
  <si>
    <t>QUALID FILTRO PARA ACEITE 9814</t>
  </si>
  <si>
    <t>QRHTR-G</t>
  </si>
  <si>
    <t>QUALID REFRIGERANTE HIGH TEMP ROJO 4x3.785L</t>
  </si>
  <si>
    <t>QRHTR-T</t>
  </si>
  <si>
    <t>QUALID REFRIGERANTE HIGH TEMP ROJO 1x200L</t>
  </si>
  <si>
    <t>QRHTV-G</t>
  </si>
  <si>
    <t>QUALID REFRIGERANTE HIGH TEMP VERDE  4x3.785L</t>
  </si>
  <si>
    <t>QRHTV-T</t>
  </si>
  <si>
    <t>QUALID REFRIGERANTE HIGH TEMP VERDE 1x200L</t>
  </si>
  <si>
    <t>QRPR50-G</t>
  </si>
  <si>
    <t>QUALID REFRIGERANTE PREMIUM ROJO 50% 4x3.785L</t>
  </si>
  <si>
    <t>QRPR50-T</t>
  </si>
  <si>
    <t>QUALID REFRIGERANTE PREMIUM ROJO 50% 1x200L</t>
  </si>
  <si>
    <t>QSH-G</t>
  </si>
  <si>
    <t>QUALID SHAMPOO 4x3.785L</t>
  </si>
  <si>
    <t>QSH-L</t>
  </si>
  <si>
    <t>QUALID SHAMPOO 12x1L</t>
  </si>
  <si>
    <t>QSH-T</t>
  </si>
  <si>
    <t>QUALID SHAMPOO 1x200L</t>
  </si>
  <si>
    <t>Z0000042</t>
  </si>
  <si>
    <t>INVENTARIO DE HERRAMIENTAS</t>
  </si>
  <si>
    <t>Z0000045</t>
  </si>
  <si>
    <t>PRESTUL JUEGO DE DADO</t>
  </si>
  <si>
    <t>Z0000046</t>
  </si>
  <si>
    <t>BESTLY LLAVE AJUST 12</t>
  </si>
  <si>
    <t>Z0000047</t>
  </si>
  <si>
    <t>AMPRO LLAVE COMBiNADA 25 MM</t>
  </si>
  <si>
    <t>Z0000048</t>
  </si>
  <si>
    <t>AMPRO LLAVE COMBINADA 27 MM</t>
  </si>
  <si>
    <t>Z0000049</t>
  </si>
  <si>
    <t>AMPRO LLAVE COMBINADA 26 MM</t>
  </si>
  <si>
    <t>Z0000050</t>
  </si>
  <si>
    <t>CARRITO PORTA FLEJE</t>
  </si>
  <si>
    <t>Z0000051</t>
  </si>
  <si>
    <t>TENAZA - TENZOR PARA FLEJE PLASTICO</t>
  </si>
  <si>
    <t>Z0000052</t>
  </si>
  <si>
    <t>BOBINAS DE FLEJE</t>
  </si>
  <si>
    <t>Z0000053</t>
  </si>
  <si>
    <t>ROLLO DE PLASTICO FILM STRECH</t>
  </si>
  <si>
    <t>Z0000054</t>
  </si>
  <si>
    <t>BOLSA DE GRAPAS PARA FLEJE PLASTICO</t>
  </si>
  <si>
    <t>Z0000055</t>
  </si>
  <si>
    <t>FORROS</t>
  </si>
  <si>
    <t>Z0000063</t>
  </si>
  <si>
    <t>BROCHAS</t>
  </si>
  <si>
    <t>Z0000066</t>
  </si>
  <si>
    <t>IMPRESORA CANON MF264DW</t>
  </si>
  <si>
    <t>Z0000067</t>
  </si>
  <si>
    <t>SERVIDOR DELL T140</t>
  </si>
  <si>
    <t>Z0000068</t>
  </si>
  <si>
    <t>LICENCIA PROFIT PLUS 2KDOCE NOMINA</t>
  </si>
  <si>
    <t>Z0000069</t>
  </si>
  <si>
    <t>LAPTOP 17.3 RYZEN 12GB 128GB 1 TB HDD</t>
  </si>
  <si>
    <t>Z0000070</t>
  </si>
  <si>
    <t>LAPTOP LENOVO 15.6 13 8GB 256 GB SSD</t>
  </si>
  <si>
    <t>Z0000071</t>
  </si>
  <si>
    <t>XIAOMI REDMI 9</t>
  </si>
  <si>
    <t>Z0000072</t>
  </si>
  <si>
    <t>XIAOMI REDMI 9S</t>
  </si>
  <si>
    <t>Z0000073</t>
  </si>
  <si>
    <t>ETIQUETA FIFO</t>
  </si>
  <si>
    <t>Z0000074</t>
  </si>
  <si>
    <t>REDMI 9C</t>
  </si>
  <si>
    <t>Z0000075</t>
  </si>
  <si>
    <t>MICROONDAS 20L</t>
  </si>
  <si>
    <t>Z0000076</t>
  </si>
  <si>
    <t>MICROONDAS 25L</t>
  </si>
  <si>
    <t>Z0000079</t>
  </si>
  <si>
    <t>PANTALLA LED 32 NTSC</t>
  </si>
  <si>
    <t>Z0000080</t>
  </si>
  <si>
    <t>PANTALLA 39 FHD SMART/ NETFLIX TV</t>
  </si>
  <si>
    <t>Z0000081</t>
  </si>
  <si>
    <t>BASE DE TIPO MENSULA PARA TV DE 26 A 42</t>
  </si>
  <si>
    <t>Z0000082</t>
  </si>
  <si>
    <t>MESA DE CONFERENCIA</t>
  </si>
  <si>
    <t>Z0000083</t>
  </si>
  <si>
    <t>MANGUERA ESP 14" X 15 MTS</t>
  </si>
  <si>
    <t>Z0000085</t>
  </si>
  <si>
    <t>ESPATULA XITELI 2"</t>
  </si>
  <si>
    <t>Z0000086</t>
  </si>
  <si>
    <t>ALICATE ELECTRICISTA</t>
  </si>
  <si>
    <t>Z0000087</t>
  </si>
  <si>
    <t>PISTOLA DE PINTAR</t>
  </si>
  <si>
    <t>Z0000088</t>
  </si>
  <si>
    <t>LAPTOP 15.6 345U 256GB</t>
  </si>
  <si>
    <t>Z0000089</t>
  </si>
  <si>
    <t>REDMI NOTE 8 4/64 9B</t>
  </si>
  <si>
    <t>Z0000093</t>
  </si>
  <si>
    <t>TRACTOR 17.5 HP CORTE 42 MOTOR B&amp;S</t>
  </si>
  <si>
    <t>Z0000094</t>
  </si>
  <si>
    <t>REDMI 9T GRAY</t>
  </si>
  <si>
    <t>Z0000095</t>
  </si>
  <si>
    <t>LAPTOP DELL 15.6 TOUCH RYZEN 5 3450U 12GB RAM 256GB SSD 1TB</t>
  </si>
  <si>
    <t>Z0000096</t>
  </si>
  <si>
    <t>REFRIGERADORA MEDIUM</t>
  </si>
  <si>
    <t>Z0000097</t>
  </si>
  <si>
    <t>NEVERA EJECUTIVA 1PTA 93L VIDRIO DORADO</t>
  </si>
  <si>
    <t>Z0000098</t>
  </si>
  <si>
    <t>RESPALDO ELECTRICO APC 1500W 900VA</t>
  </si>
  <si>
    <t>Z0000099</t>
  </si>
  <si>
    <t>PC MONITOREO CORE I3 10TH 8GB RAM SSD 250GB MSI 730 2GB</t>
  </si>
  <si>
    <t>Z0000100</t>
  </si>
  <si>
    <t>RADIOS BAOFENG UV 5R</t>
  </si>
  <si>
    <t>Z0000102</t>
  </si>
  <si>
    <t>VIDEO BEAM EPSOM</t>
  </si>
  <si>
    <t>Z0000103</t>
  </si>
  <si>
    <t>SWITCH CISCO SG 300 24PTS</t>
  </si>
  <si>
    <t>Z0000104</t>
  </si>
  <si>
    <t>DVR DAHUA DE 8CH HD 5 EN 1 1080P</t>
  </si>
  <si>
    <t>Z0000105</t>
  </si>
  <si>
    <t>DISCO DURO WD PURPURA 2T DVR</t>
  </si>
  <si>
    <t>Z0000106</t>
  </si>
  <si>
    <t>CAMARAS BULLER 1080P VERIFOCAL</t>
  </si>
  <si>
    <t>Z0000107</t>
  </si>
  <si>
    <t>CAMARAS DOMO 720P</t>
  </si>
  <si>
    <t>Z0000108</t>
  </si>
  <si>
    <t>FUENTE DE PODER CENTRALIZADA 8CH 25A</t>
  </si>
  <si>
    <t>Z0000110</t>
  </si>
  <si>
    <t>LAPTOP ACER ASPIRE 11TH GRN 8GB 512GB</t>
  </si>
  <si>
    <t>Z0000118</t>
  </si>
  <si>
    <t>LICENCIA WINDOWS 10 PRO. 64 BITS</t>
  </si>
  <si>
    <t>Z0000119</t>
  </si>
  <si>
    <t>LICENCIA OFFICE 2019 STAND. 64 BITS</t>
  </si>
  <si>
    <t>Z0000120</t>
  </si>
  <si>
    <t>ENVOPLAST</t>
  </si>
  <si>
    <t>Z0000123</t>
  </si>
  <si>
    <t>SOLDADORA</t>
  </si>
  <si>
    <t>Z0000125</t>
  </si>
  <si>
    <t>LLAVE ALLEN SET 8 PZAS</t>
  </si>
  <si>
    <t>Z0000126</t>
  </si>
  <si>
    <t>DADO 30MM X 12</t>
  </si>
  <si>
    <t>Z0000127</t>
  </si>
  <si>
    <t>LINTERNA LED</t>
  </si>
  <si>
    <t>Z0000128</t>
  </si>
  <si>
    <t>PICO HEMBRA</t>
  </si>
  <si>
    <t>Z0000129</t>
  </si>
  <si>
    <t>LICENCIA PROFIT PLUS 2KDOCE ADMINISTRATIVO</t>
  </si>
  <si>
    <t>Z0000130</t>
  </si>
  <si>
    <t>LICENCIA PROFIT PLUS 2KDOCE CONTABILIDAD</t>
  </si>
  <si>
    <t>Z0000131</t>
  </si>
  <si>
    <t>PTFE STIRRING BAR 25 MM</t>
  </si>
  <si>
    <t>Z0000132</t>
  </si>
  <si>
    <t>MONITOR 18.5 PULGADAS</t>
  </si>
  <si>
    <t>Z0000133</t>
  </si>
  <si>
    <t>CAMARAS VARIFOCAL 2.8 720P BULLER INDOOR</t>
  </si>
  <si>
    <t>Z0000134</t>
  </si>
  <si>
    <t>CAMIONETA DONGFENG RICH 6 BLANCA 2021</t>
  </si>
  <si>
    <t>Z0000136</t>
  </si>
  <si>
    <t>SET DE PUNTAS</t>
  </si>
  <si>
    <t>Z0000137</t>
  </si>
  <si>
    <t>LICUADORA OSTER</t>
  </si>
  <si>
    <t>Z0000143</t>
  </si>
  <si>
    <t>TERRAJA</t>
  </si>
  <si>
    <t>Z0000144</t>
  </si>
  <si>
    <t>DISCO DURO PARA CCTV</t>
  </si>
  <si>
    <t>Z0000145</t>
  </si>
  <si>
    <t>SPLIT 18000 BTU</t>
  </si>
  <si>
    <t>Z0000146</t>
  </si>
  <si>
    <t>MESA AUXILIAR D/METAL</t>
  </si>
  <si>
    <t>Z0000147</t>
  </si>
  <si>
    <t>MUEBLE DE TELA ACOLCHADO</t>
  </si>
  <si>
    <t>Z0000148</t>
  </si>
  <si>
    <t>SOFA DE DOS PUESTOS</t>
  </si>
  <si>
    <t>Z0000149</t>
  </si>
  <si>
    <t>MONITOR ACCER 19.5</t>
  </si>
  <si>
    <t>Z0000150</t>
  </si>
  <si>
    <t>MONITOR LOGAN 19</t>
  </si>
  <si>
    <t>Z0000152</t>
  </si>
  <si>
    <t>POCO M3</t>
  </si>
  <si>
    <t>Z0000153</t>
  </si>
  <si>
    <t>LICENCIA ANTI-VIRUS KARSPESKY END POINT SECURITY</t>
  </si>
  <si>
    <t>Z0000154</t>
  </si>
  <si>
    <t>SERVIDOR HP PROLIANT ML 110 G9</t>
  </si>
  <si>
    <t>Z0000155</t>
  </si>
  <si>
    <t>CONSOLA</t>
  </si>
  <si>
    <t>Z0000156</t>
  </si>
  <si>
    <t>HIDROJET 220V</t>
  </si>
  <si>
    <t>Z0000157</t>
  </si>
  <si>
    <t>ETQ QUALID REFRIGERANTE VERDE HIGH TEMP - G</t>
  </si>
  <si>
    <t>Z0000158</t>
  </si>
  <si>
    <t>ETQ QUALID REFRIGERANTE ROJO HIGH TEMP - G</t>
  </si>
  <si>
    <t>Z0000159</t>
  </si>
  <si>
    <t>ETQ QUALID REFRIGERANTE PREMIUM 50% - G</t>
  </si>
  <si>
    <t>Z0000160</t>
  </si>
  <si>
    <t>ETQ QUALID SHAMPOO AUTOMOTRIZ CONCENTRADO - G</t>
  </si>
  <si>
    <t>Z0000161</t>
  </si>
  <si>
    <t>ETQ QUALID FORMULA MARINA - G</t>
  </si>
  <si>
    <t>Z0000162</t>
  </si>
  <si>
    <t>ETQ QUALID DESENGRASANTE MULTIPROPOSITO - G</t>
  </si>
  <si>
    <t>Z0000163</t>
  </si>
  <si>
    <t>ETQ QUALID SHAMPOO AUTOMOTRIZ CONCENTRADO - L</t>
  </si>
  <si>
    <t>Z0000164</t>
  </si>
  <si>
    <t>ETQ QUALID FORMULA MARINA - L</t>
  </si>
  <si>
    <t>Z0000165</t>
  </si>
  <si>
    <t>ETQ QUALID DESENGRASANTE MULTIPROPOSITO - L</t>
  </si>
  <si>
    <t>Z0000166</t>
  </si>
  <si>
    <t>ETQ QUALID ABRILLANTADOR DE CAUCHOS - L</t>
  </si>
  <si>
    <t>Z0000167</t>
  </si>
  <si>
    <t>ETQ QUALID ELEVADOR DE OCTANAJE - 350</t>
  </si>
  <si>
    <t>Z0000168</t>
  </si>
  <si>
    <t>UPS APC 1500VA 900W</t>
  </si>
  <si>
    <t>Z0000170</t>
  </si>
  <si>
    <t>CLISHE - LINEA QUALID</t>
  </si>
  <si>
    <t>Z0000171</t>
  </si>
  <si>
    <t>LAPTOP HACER INSPIRE 5</t>
  </si>
  <si>
    <t>Z0000173</t>
  </si>
  <si>
    <t>GALONES CUADRADOS 3,785ML ROJOS - QUALID</t>
  </si>
  <si>
    <t>Z0000176</t>
  </si>
  <si>
    <t>SWITCH CISCO 24P 10/100/1000</t>
  </si>
  <si>
    <t>Z0000177</t>
  </si>
  <si>
    <t>LAPTOP ACCER 12GB RAM 15,6" 256SSD+512 RIGIDO DD</t>
  </si>
  <si>
    <t>Z0000179</t>
  </si>
  <si>
    <t>TRANSPALETA MANUAL MEGALIFT 2.5 T</t>
  </si>
  <si>
    <t>Z0000180</t>
  </si>
  <si>
    <t xml:space="preserve"> FILTRO DE AGUA</t>
  </si>
  <si>
    <t>Z0000181</t>
  </si>
  <si>
    <t>RADIOS BAOFENG UV-82</t>
  </si>
  <si>
    <t>Z0000182</t>
  </si>
  <si>
    <t>LICENCIA DOMINIO  DISBATTERYLUBRICANTES.COM</t>
  </si>
  <si>
    <t>Z0000183</t>
  </si>
  <si>
    <t>QLED 65 SAMSUNG</t>
  </si>
  <si>
    <t>Z0000184</t>
  </si>
  <si>
    <t>VIDEO PORTERO DAJHUA IP</t>
  </si>
  <si>
    <t>Z0000186</t>
  </si>
  <si>
    <t>LICENCIA CASCADE TEAMS</t>
  </si>
  <si>
    <t>Z0000187</t>
  </si>
  <si>
    <t>LICENCIA ONLINE SERVICES POWER BI</t>
  </si>
  <si>
    <t>Z0000188</t>
  </si>
  <si>
    <t>UPS 3000VA 2700W APC</t>
  </si>
  <si>
    <t>Z0000189</t>
  </si>
  <si>
    <t>CAMARA 1080P CCTV</t>
  </si>
  <si>
    <t>Z0000190</t>
  </si>
  <si>
    <t>MODULO RAM 31GB 3500GHZ</t>
  </si>
  <si>
    <t>Z0000191</t>
  </si>
  <si>
    <t>MINIGALON 1.000 CC (1 LTS) ROJOS - QUALID</t>
  </si>
  <si>
    <t>Z0000192</t>
  </si>
  <si>
    <t>TAPA 28MMPP NEGRA P/ ENVASE DE 1  LTS- QUALID</t>
  </si>
  <si>
    <t>Z0000193</t>
  </si>
  <si>
    <t>CANON EOS M50 M50 EF-M15-15 IS STM KIT</t>
  </si>
  <si>
    <t>Z0000194</t>
  </si>
  <si>
    <t>A/A 24000 BTU SPLIT DAEWOO</t>
  </si>
  <si>
    <t>Z0000195</t>
  </si>
  <si>
    <t>MONITOR 19 PULG LED SAMSUNG</t>
  </si>
  <si>
    <t>Z0000196</t>
  </si>
  <si>
    <t>MONITOR 23.8 PULG LED XIAOMI</t>
  </si>
  <si>
    <t>Z0000200</t>
  </si>
  <si>
    <t>S-FLOW IV+ VISCOSIMETRO DE VISCOSIDAD 115/230V 50/60HZ</t>
  </si>
  <si>
    <t>Z0000202</t>
  </si>
  <si>
    <t>LAPTOP ASUS X515 15,6" 12GB</t>
  </si>
  <si>
    <t>Z0000203</t>
  </si>
  <si>
    <t>MONTACARGAS TOYOTA 2,5 - MODELO 32-8FG25  - SERIAL 30-8FG25/36851</t>
  </si>
  <si>
    <t>Unidad</t>
  </si>
  <si>
    <t xml:space="preserve">40926905                      </t>
  </si>
  <si>
    <t xml:space="preserve">41051905                      </t>
  </si>
  <si>
    <t xml:space="preserve">41068905                      </t>
  </si>
  <si>
    <t xml:space="preserve">43509809                      </t>
  </si>
  <si>
    <t xml:space="preserve">43509905                      </t>
  </si>
  <si>
    <t xml:space="preserve">43512905                      </t>
  </si>
  <si>
    <t xml:space="preserve">43592855                      </t>
  </si>
  <si>
    <t xml:space="preserve">44243809                      </t>
  </si>
  <si>
    <t xml:space="preserve">44243855                      </t>
  </si>
  <si>
    <t xml:space="preserve">44245809                      </t>
  </si>
  <si>
    <t xml:space="preserve">44245855                      </t>
  </si>
  <si>
    <t xml:space="preserve">44414855                      </t>
  </si>
  <si>
    <t xml:space="preserve">44774905                      </t>
  </si>
  <si>
    <t xml:space="preserve">45312905                      </t>
  </si>
  <si>
    <t xml:space="preserve">45372809                      </t>
  </si>
  <si>
    <t xml:space="preserve">45372855                      </t>
  </si>
  <si>
    <t xml:space="preserve">45372905                      </t>
  </si>
  <si>
    <t xml:space="preserve">45387905                      </t>
  </si>
  <si>
    <t xml:space="preserve">45657855                      </t>
  </si>
  <si>
    <t xml:space="preserve">45659855                      </t>
  </si>
  <si>
    <t xml:space="preserve">45660855                      </t>
  </si>
  <si>
    <t xml:space="preserve">45683809                      </t>
  </si>
  <si>
    <t xml:space="preserve">45684809                      </t>
  </si>
  <si>
    <t xml:space="preserve">45685855                      </t>
  </si>
  <si>
    <t xml:space="preserve">500000214                     </t>
  </si>
  <si>
    <t xml:space="preserve">550014136                     </t>
  </si>
  <si>
    <t xml:space="preserve">550022488                     </t>
  </si>
  <si>
    <t xml:space="preserve">550025692                     </t>
  </si>
  <si>
    <t xml:space="preserve">550025702                     </t>
  </si>
  <si>
    <t xml:space="preserve">550025731                     </t>
  </si>
  <si>
    <t xml:space="preserve">550026300                     </t>
  </si>
  <si>
    <t xml:space="preserve">550026697                     </t>
  </si>
  <si>
    <t xml:space="preserve">550026699                     </t>
  </si>
  <si>
    <t xml:space="preserve">550026700                     </t>
  </si>
  <si>
    <t xml:space="preserve">550026710                     </t>
  </si>
  <si>
    <t xml:space="preserve">550026834                     </t>
  </si>
  <si>
    <t xml:space="preserve">550026891                     </t>
  </si>
  <si>
    <t xml:space="preserve">550026900                     </t>
  </si>
  <si>
    <t xml:space="preserve">550026907                     </t>
  </si>
  <si>
    <t xml:space="preserve">550027265                     </t>
  </si>
  <si>
    <t xml:space="preserve">550027631                     </t>
  </si>
  <si>
    <t xml:space="preserve">550029925                     </t>
  </si>
  <si>
    <t xml:space="preserve">550032121                     </t>
  </si>
  <si>
    <t xml:space="preserve">550036183                     </t>
  </si>
  <si>
    <t xml:space="preserve">550036571                     </t>
  </si>
  <si>
    <t xml:space="preserve">550043380                     </t>
  </si>
  <si>
    <t xml:space="preserve">550045415                     </t>
  </si>
  <si>
    <t xml:space="preserve">550045436                     </t>
  </si>
  <si>
    <t xml:space="preserve">550045438                     </t>
  </si>
  <si>
    <t xml:space="preserve">550045853                     </t>
  </si>
  <si>
    <t xml:space="preserve">550045885                     </t>
  </si>
  <si>
    <t xml:space="preserve">550045905                     </t>
  </si>
  <si>
    <t xml:space="preserve">550047075                     </t>
  </si>
  <si>
    <t xml:space="preserve">550047079                     </t>
  </si>
  <si>
    <t xml:space="preserve">550049041                     </t>
  </si>
  <si>
    <t xml:space="preserve">550049771                     </t>
  </si>
  <si>
    <t xml:space="preserve">550049814                     </t>
  </si>
  <si>
    <t xml:space="preserve">550050052                     </t>
  </si>
  <si>
    <t xml:space="preserve">550050102                     </t>
  </si>
  <si>
    <t xml:space="preserve">550050706                     </t>
  </si>
  <si>
    <t xml:space="preserve">550050708                     </t>
  </si>
  <si>
    <t xml:space="preserve">550052035                     </t>
  </si>
  <si>
    <t xml:space="preserve">550052038                     </t>
  </si>
  <si>
    <t xml:space="preserve">550052774                     </t>
  </si>
  <si>
    <t xml:space="preserve">550052775                     </t>
  </si>
  <si>
    <t xml:space="preserve">550053426                     </t>
  </si>
  <si>
    <t xml:space="preserve">550054282                     </t>
  </si>
  <si>
    <t xml:space="preserve">550054547                     </t>
  </si>
  <si>
    <t xml:space="preserve">550057742                     </t>
  </si>
  <si>
    <t xml:space="preserve">550057749                     </t>
  </si>
  <si>
    <t xml:space="preserve">550057767                     </t>
  </si>
  <si>
    <t xml:space="preserve">6560200055                    </t>
  </si>
  <si>
    <t xml:space="preserve">6560500055                    </t>
  </si>
  <si>
    <t xml:space="preserve">QA-1010                       </t>
  </si>
  <si>
    <t xml:space="preserve">QA-10190                      </t>
  </si>
  <si>
    <t xml:space="preserve">QA-10242                      </t>
  </si>
  <si>
    <t xml:space="preserve">QA-10262                      </t>
  </si>
  <si>
    <t xml:space="preserve">QA-10755                      </t>
  </si>
  <si>
    <t xml:space="preserve">QA-10835                      </t>
  </si>
  <si>
    <t xml:space="preserve">QA-1111                       </t>
  </si>
  <si>
    <t xml:space="preserve">QA-1211                       </t>
  </si>
  <si>
    <t xml:space="preserve">QA-2222                       </t>
  </si>
  <si>
    <t xml:space="preserve">QA-5700                       </t>
  </si>
  <si>
    <t xml:space="preserve">QA-6558                       </t>
  </si>
  <si>
    <t xml:space="preserve">QA-8000                       </t>
  </si>
  <si>
    <t xml:space="preserve">QA-8004                       </t>
  </si>
  <si>
    <t xml:space="preserve">QA-8208                       </t>
  </si>
  <si>
    <t xml:space="preserve">QA-9074                       </t>
  </si>
  <si>
    <t xml:space="preserve">QA-91485                      </t>
  </si>
  <si>
    <t xml:space="preserve">QA-9430                       </t>
  </si>
  <si>
    <t xml:space="preserve">QA-9683                       </t>
  </si>
  <si>
    <t xml:space="preserve">QA-9687                       </t>
  </si>
  <si>
    <t xml:space="preserve">QA-9902                       </t>
  </si>
  <si>
    <t xml:space="preserve">QAC-L                         </t>
  </si>
  <si>
    <t xml:space="preserve">QC-1010                       </t>
  </si>
  <si>
    <t xml:space="preserve">QC-1036                       </t>
  </si>
  <si>
    <t xml:space="preserve">QC-1083                       </t>
  </si>
  <si>
    <t xml:space="preserve">QC-1100                       </t>
  </si>
  <si>
    <t xml:space="preserve">QC-1120                       </t>
  </si>
  <si>
    <t xml:space="preserve">QC-2                          </t>
  </si>
  <si>
    <t xml:space="preserve">QC-3583                       </t>
  </si>
  <si>
    <t xml:space="preserve">QC-3641                       </t>
  </si>
  <si>
    <t xml:space="preserve">QC-3727                       </t>
  </si>
  <si>
    <t xml:space="preserve">QC-3802                       </t>
  </si>
  <si>
    <t xml:space="preserve">QC-3850                       </t>
  </si>
  <si>
    <t xml:space="preserve">QC-5010                       </t>
  </si>
  <si>
    <t xml:space="preserve">QC-5110                       </t>
  </si>
  <si>
    <t xml:space="preserve">QC-511A                       </t>
  </si>
  <si>
    <t xml:space="preserve">QC-5961                       </t>
  </si>
  <si>
    <t xml:space="preserve">QC-618                        </t>
  </si>
  <si>
    <t xml:space="preserve">QC-619                        </t>
  </si>
  <si>
    <t xml:space="preserve">QC-645A                       </t>
  </si>
  <si>
    <t xml:space="preserve">QC-6680                       </t>
  </si>
  <si>
    <t xml:space="preserve">QC-7110                       </t>
  </si>
  <si>
    <t xml:space="preserve">QC-7194                       </t>
  </si>
  <si>
    <t xml:space="preserve">QC-7612                       </t>
  </si>
  <si>
    <t xml:space="preserve">QC-7729                       </t>
  </si>
  <si>
    <t xml:space="preserve">QC-9292                       </t>
  </si>
  <si>
    <t xml:space="preserve">QC-986                        </t>
  </si>
  <si>
    <t xml:space="preserve">QC-991                        </t>
  </si>
  <si>
    <t xml:space="preserve">QD-6904                       </t>
  </si>
  <si>
    <t xml:space="preserve">QD-6905                       </t>
  </si>
  <si>
    <t xml:space="preserve">QDI-T                         </t>
  </si>
  <si>
    <t xml:space="preserve">QDM-G                         </t>
  </si>
  <si>
    <t xml:space="preserve">QDM-L                         </t>
  </si>
  <si>
    <t xml:space="preserve">QDM-T                         </t>
  </si>
  <si>
    <t xml:space="preserve">QDOT3-290                     </t>
  </si>
  <si>
    <t xml:space="preserve">QDOT3-946                     </t>
  </si>
  <si>
    <t xml:space="preserve">QDOT4-290                     </t>
  </si>
  <si>
    <t xml:space="preserve">QDOT4-946                     </t>
  </si>
  <si>
    <t xml:space="preserve">QEO-350                       </t>
  </si>
  <si>
    <t xml:space="preserve">QFM-G                         </t>
  </si>
  <si>
    <t xml:space="preserve">QFM-L                         </t>
  </si>
  <si>
    <t xml:space="preserve">QL-10060                      </t>
  </si>
  <si>
    <t xml:space="preserve">QL-10158                      </t>
  </si>
  <si>
    <t xml:space="preserve">QL-10295                      </t>
  </si>
  <si>
    <t xml:space="preserve">QL-10358                      </t>
  </si>
  <si>
    <t xml:space="preserve">QL-10575                      </t>
  </si>
  <si>
    <t xml:space="preserve">QL-13                         </t>
  </si>
  <si>
    <t xml:space="preserve">QL-16                         </t>
  </si>
  <si>
    <t xml:space="preserve">QL-2                          </t>
  </si>
  <si>
    <t xml:space="preserve">QL-2004                       </t>
  </si>
  <si>
    <t xml:space="preserve">QL-3387                       </t>
  </si>
  <si>
    <t xml:space="preserve">QL-3600                       </t>
  </si>
  <si>
    <t xml:space="preserve">QL-3614                       </t>
  </si>
  <si>
    <t xml:space="preserve">QL-3690                       </t>
  </si>
  <si>
    <t xml:space="preserve">QL-3807                       </t>
  </si>
  <si>
    <t xml:space="preserve">QL-3980                       </t>
  </si>
  <si>
    <t xml:space="preserve">QL-4558                       </t>
  </si>
  <si>
    <t xml:space="preserve">QL-4967                       </t>
  </si>
  <si>
    <t xml:space="preserve">QL-5103                       </t>
  </si>
  <si>
    <t xml:space="preserve">QL-5113                       </t>
  </si>
  <si>
    <t xml:space="preserve">QL-5548                       </t>
  </si>
  <si>
    <t xml:space="preserve">QL-6607                       </t>
  </si>
  <si>
    <t xml:space="preserve">QL-7317                       </t>
  </si>
  <si>
    <t xml:space="preserve">QL-8                          </t>
  </si>
  <si>
    <t xml:space="preserve">QL-9814                       </t>
  </si>
  <si>
    <t xml:space="preserve">QRHTR-G                       </t>
  </si>
  <si>
    <t xml:space="preserve">QRHTR-T                       </t>
  </si>
  <si>
    <t xml:space="preserve">QRHTV-G                       </t>
  </si>
  <si>
    <t xml:space="preserve">QRHTV-T                       </t>
  </si>
  <si>
    <t xml:space="preserve">QRPR50-G                      </t>
  </si>
  <si>
    <t xml:space="preserve">QRPR50-T                      </t>
  </si>
  <si>
    <t xml:space="preserve">QSH-G                         </t>
  </si>
  <si>
    <t xml:space="preserve">QSH-L                         </t>
  </si>
  <si>
    <t xml:space="preserve">QSH-T                         </t>
  </si>
  <si>
    <t xml:space="preserve">Z0000042                      </t>
  </si>
  <si>
    <t xml:space="preserve">Z0000045                      </t>
  </si>
  <si>
    <t xml:space="preserve">Z0000046                      </t>
  </si>
  <si>
    <t xml:space="preserve">Z0000047                      </t>
  </si>
  <si>
    <t xml:space="preserve">Z0000048                      </t>
  </si>
  <si>
    <t xml:space="preserve">Z0000049                      </t>
  </si>
  <si>
    <t xml:space="preserve">Z0000050                      </t>
  </si>
  <si>
    <t xml:space="preserve">Z0000051                      </t>
  </si>
  <si>
    <t xml:space="preserve">Z0000052                      </t>
  </si>
  <si>
    <t xml:space="preserve">Z0000053                      </t>
  </si>
  <si>
    <t xml:space="preserve">Z0000054                      </t>
  </si>
  <si>
    <t xml:space="preserve">Z0000055                      </t>
  </si>
  <si>
    <t xml:space="preserve">Z0000063                      </t>
  </si>
  <si>
    <t xml:space="preserve">Z0000066                      </t>
  </si>
  <si>
    <t xml:space="preserve">Z0000067                      </t>
  </si>
  <si>
    <t xml:space="preserve">Z0000068                      </t>
  </si>
  <si>
    <t xml:space="preserve">Z0000069                      </t>
  </si>
  <si>
    <t xml:space="preserve">Z0000070                      </t>
  </si>
  <si>
    <t xml:space="preserve">Z0000071                      </t>
  </si>
  <si>
    <t xml:space="preserve">Z0000072                      </t>
  </si>
  <si>
    <t xml:space="preserve">Z0000073                      </t>
  </si>
  <si>
    <t xml:space="preserve">Z0000074                      </t>
  </si>
  <si>
    <t xml:space="preserve">Z0000075                      </t>
  </si>
  <si>
    <t xml:space="preserve">Z0000076                      </t>
  </si>
  <si>
    <t xml:space="preserve">Z0000079                      </t>
  </si>
  <si>
    <t xml:space="preserve">Z0000080                      </t>
  </si>
  <si>
    <t xml:space="preserve">Z0000081                      </t>
  </si>
  <si>
    <t xml:space="preserve">Z0000082                      </t>
  </si>
  <si>
    <t xml:space="preserve">Z0000083                      </t>
  </si>
  <si>
    <t xml:space="preserve">Z0000085                      </t>
  </si>
  <si>
    <t xml:space="preserve">Z0000086                      </t>
  </si>
  <si>
    <t xml:space="preserve">Z0000087                      </t>
  </si>
  <si>
    <t xml:space="preserve">Z0000088                      </t>
  </si>
  <si>
    <t xml:space="preserve">Z0000089                      </t>
  </si>
  <si>
    <t xml:space="preserve">Z0000093                      </t>
  </si>
  <si>
    <t xml:space="preserve">Z0000094                      </t>
  </si>
  <si>
    <t xml:space="preserve">Z0000095                      </t>
  </si>
  <si>
    <t xml:space="preserve">Z0000096                      </t>
  </si>
  <si>
    <t xml:space="preserve">Z0000097                      </t>
  </si>
  <si>
    <t xml:space="preserve">Z0000098                      </t>
  </si>
  <si>
    <t xml:space="preserve">Z0000099                      </t>
  </si>
  <si>
    <t xml:space="preserve">Z0000100                      </t>
  </si>
  <si>
    <t xml:space="preserve">Z0000102                      </t>
  </si>
  <si>
    <t xml:space="preserve">Z0000103                      </t>
  </si>
  <si>
    <t xml:space="preserve">Z0000104                      </t>
  </si>
  <si>
    <t xml:space="preserve">Z0000105                      </t>
  </si>
  <si>
    <t xml:space="preserve">Z0000106                      </t>
  </si>
  <si>
    <t xml:space="preserve">Z0000107                      </t>
  </si>
  <si>
    <t xml:space="preserve">Z0000108                      </t>
  </si>
  <si>
    <t xml:space="preserve">Z0000110                      </t>
  </si>
  <si>
    <t xml:space="preserve">Z0000118                      </t>
  </si>
  <si>
    <t xml:space="preserve">Z0000119                      </t>
  </si>
  <si>
    <t xml:space="preserve">Z0000120                      </t>
  </si>
  <si>
    <t xml:space="preserve">Z0000123                      </t>
  </si>
  <si>
    <t xml:space="preserve">Z0000125                      </t>
  </si>
  <si>
    <t xml:space="preserve">Z0000126                      </t>
  </si>
  <si>
    <t xml:space="preserve">Z0000127                      </t>
  </si>
  <si>
    <t xml:space="preserve">Z0000128                      </t>
  </si>
  <si>
    <t xml:space="preserve">Z0000129                      </t>
  </si>
  <si>
    <t xml:space="preserve">Z0000130                      </t>
  </si>
  <si>
    <t xml:space="preserve">Z0000131                      </t>
  </si>
  <si>
    <t xml:space="preserve">Z0000132                      </t>
  </si>
  <si>
    <t xml:space="preserve">Z0000133                      </t>
  </si>
  <si>
    <t xml:space="preserve">Z0000134                      </t>
  </si>
  <si>
    <t xml:space="preserve">Z0000136                      </t>
  </si>
  <si>
    <t xml:space="preserve">Z0000137                      </t>
  </si>
  <si>
    <t xml:space="preserve">Z0000143                      </t>
  </si>
  <si>
    <t xml:space="preserve">Z0000144                      </t>
  </si>
  <si>
    <t xml:space="preserve">Z0000145                      </t>
  </si>
  <si>
    <t xml:space="preserve">Z0000146                      </t>
  </si>
  <si>
    <t xml:space="preserve">Z0000147                      </t>
  </si>
  <si>
    <t xml:space="preserve">Z0000148                      </t>
  </si>
  <si>
    <t xml:space="preserve">Z0000149                      </t>
  </si>
  <si>
    <t xml:space="preserve">Z0000150                      </t>
  </si>
  <si>
    <t xml:space="preserve">Z0000152                      </t>
  </si>
  <si>
    <t xml:space="preserve">Z0000153                      </t>
  </si>
  <si>
    <t xml:space="preserve">Z0000154                      </t>
  </si>
  <si>
    <t xml:space="preserve">Z0000155                      </t>
  </si>
  <si>
    <t xml:space="preserve">Z0000156                      </t>
  </si>
  <si>
    <t xml:space="preserve">Z0000157                      </t>
  </si>
  <si>
    <t xml:space="preserve">Z0000158                      </t>
  </si>
  <si>
    <t xml:space="preserve">Z0000159                      </t>
  </si>
  <si>
    <t xml:space="preserve">Z0000160                      </t>
  </si>
  <si>
    <t xml:space="preserve">Z0000161                      </t>
  </si>
  <si>
    <t xml:space="preserve">Z0000162                      </t>
  </si>
  <si>
    <t xml:space="preserve">Z0000163                      </t>
  </si>
  <si>
    <t xml:space="preserve">Z0000164                      </t>
  </si>
  <si>
    <t xml:space="preserve">Z0000165                      </t>
  </si>
  <si>
    <t xml:space="preserve">Z0000166                      </t>
  </si>
  <si>
    <t xml:space="preserve">Z0000167                      </t>
  </si>
  <si>
    <t xml:space="preserve">Z0000168                      </t>
  </si>
  <si>
    <t xml:space="preserve">Z0000170                      </t>
  </si>
  <si>
    <t xml:space="preserve">Z0000171                      </t>
  </si>
  <si>
    <t xml:space="preserve">Z0000173                      </t>
  </si>
  <si>
    <t xml:space="preserve">Z0000176                      </t>
  </si>
  <si>
    <t xml:space="preserve">Z0000177                      </t>
  </si>
  <si>
    <t xml:space="preserve">Z0000179                      </t>
  </si>
  <si>
    <t xml:space="preserve">Z0000180                      </t>
  </si>
  <si>
    <t xml:space="preserve">Z0000181                      </t>
  </si>
  <si>
    <t xml:space="preserve">Z0000182                      </t>
  </si>
  <si>
    <t xml:space="preserve">Z0000183                      </t>
  </si>
  <si>
    <t xml:space="preserve">Z0000184                      </t>
  </si>
  <si>
    <t xml:space="preserve">Z0000186                      </t>
  </si>
  <si>
    <t xml:space="preserve">Z0000187                      </t>
  </si>
  <si>
    <t xml:space="preserve">Z0000188                      </t>
  </si>
  <si>
    <t xml:space="preserve">Z0000189                      </t>
  </si>
  <si>
    <t xml:space="preserve">Z0000190                      </t>
  </si>
  <si>
    <t xml:space="preserve">Z0000191                      </t>
  </si>
  <si>
    <t xml:space="preserve">Z0000192                      </t>
  </si>
  <si>
    <t xml:space="preserve">Z0000193                      </t>
  </si>
  <si>
    <t xml:space="preserve">Z0000194                      </t>
  </si>
  <si>
    <t xml:space="preserve">Z0000195                      </t>
  </si>
  <si>
    <t xml:space="preserve">Z0000196                      </t>
  </si>
  <si>
    <t xml:space="preserve">Z0000200                      </t>
  </si>
  <si>
    <t xml:space="preserve">Z0000202                      </t>
  </si>
  <si>
    <t xml:space="preserve">Z0000203                      </t>
  </si>
  <si>
    <t xml:space="preserve">Z0000204                      </t>
  </si>
  <si>
    <t>JGO BAHCO DADOS 1/4 SBSL25 MM</t>
  </si>
  <si>
    <t xml:space="preserve">Z0000205                      </t>
  </si>
  <si>
    <t>ALICATE TRUPER PRESION RECTO 12 - 12R</t>
  </si>
  <si>
    <t xml:space="preserve">Z0000206                      </t>
  </si>
  <si>
    <t>KRIP K 57</t>
  </si>
  <si>
    <t>SHELL TURBO OIL T 46 1X55GAL</t>
  </si>
  <si>
    <t>209L</t>
  </si>
  <si>
    <t>co_art</t>
  </si>
  <si>
    <t>art_des</t>
  </si>
  <si>
    <t>StockActual</t>
  </si>
  <si>
    <t>stock_unid_CAJA</t>
  </si>
  <si>
    <t>equivalencia_CAJA</t>
  </si>
  <si>
    <t>Profit NAPLV</t>
  </si>
  <si>
    <t>SHELL HELIX HX5 15W40 3X4L</t>
  </si>
  <si>
    <t>Observación</t>
  </si>
  <si>
    <t>SHELL RIMULA R4 X 15W-40 1x5GAL</t>
  </si>
  <si>
    <t>SHELL TURBO OIL T 46 1x55GAL</t>
  </si>
  <si>
    <t>10x0.4kg</t>
  </si>
  <si>
    <t>TELLUS S2 VX 68 1*975L</t>
  </si>
  <si>
    <t>AOT185R14</t>
  </si>
  <si>
    <t>DK1856514</t>
  </si>
  <si>
    <t>DK1956015</t>
  </si>
  <si>
    <t>QBD29580</t>
  </si>
  <si>
    <t>QBD31580</t>
  </si>
  <si>
    <t>QPD29580</t>
  </si>
  <si>
    <t>QVU12R225</t>
  </si>
  <si>
    <t>QWK750</t>
  </si>
  <si>
    <t>Z0000228</t>
  </si>
  <si>
    <t>TAMBOR L-RING PLUS 208 LTS</t>
  </si>
  <si>
    <t xml:space="preserve"> 1X975L</t>
  </si>
  <si>
    <t>SHELL HELIX HX5 15W-40 SL 6x1L</t>
  </si>
  <si>
    <t>SHELL HELIX HX5 15W-40 SN 3x4L</t>
  </si>
  <si>
    <t>SHELL HELIX HX5 15W-40 SN 6x1L</t>
  </si>
  <si>
    <t>Diferencia Físico vs Profit</t>
  </si>
  <si>
    <t>QFM-T</t>
  </si>
  <si>
    <t>QUALID FORMULA MARINA 1x200L</t>
  </si>
  <si>
    <t>AOTELI 185/65R14 P307</t>
  </si>
  <si>
    <t>DOUBLE KING 185/65R14 DK298</t>
  </si>
  <si>
    <t>DOUBLE KING 195/60R15 DK558</t>
  </si>
  <si>
    <t>QUALID 295/80R22.5 18 PR BULLDOG</t>
  </si>
  <si>
    <t>QUALID 315/80R22.5 20PR  BULLDOG</t>
  </si>
  <si>
    <t>QUALID 295/80R22.5 18 PR PREDATOR</t>
  </si>
  <si>
    <t>QUALID 12R22.5 18PR VULCANO</t>
  </si>
  <si>
    <t>QAE80317525</t>
  </si>
  <si>
    <t>QUALID 17.5-25 24PR AE803</t>
  </si>
  <si>
    <t>QAB70028X915</t>
  </si>
  <si>
    <t>QUALID 28X-9-15 16PR AB700</t>
  </si>
  <si>
    <t>QAB7005008</t>
  </si>
  <si>
    <t>QUALID 5.00-8 10PR AB700</t>
  </si>
  <si>
    <t>QAB7006009</t>
  </si>
  <si>
    <t>QUALID 6.00-9  12 PR AB700</t>
  </si>
  <si>
    <t>QAB70065010</t>
  </si>
  <si>
    <t>QUALID 6.50-10 12PR AB700</t>
  </si>
  <si>
    <t>QAB70070012</t>
  </si>
  <si>
    <t>QAE80320525</t>
  </si>
  <si>
    <t>QUALID 20.5-25 24PR AE803</t>
  </si>
  <si>
    <t>QAE80323525</t>
  </si>
  <si>
    <t>QUALID 23.5-25 24PR AE803</t>
  </si>
  <si>
    <t>QAE80326525</t>
  </si>
  <si>
    <t>QUALID 26.5-25 32PR AE803</t>
  </si>
  <si>
    <t>QAE804140024</t>
  </si>
  <si>
    <t xml:space="preserve"> 14.00-24 36PR AE804</t>
  </si>
  <si>
    <t>QAE80623126</t>
  </si>
  <si>
    <t>QUALID 23.1-26 16PR AE806</t>
  </si>
  <si>
    <t>QAL70210165</t>
  </si>
  <si>
    <t>QAL70212165</t>
  </si>
  <si>
    <t>QUALID 12-16.5 14PR AL702</t>
  </si>
  <si>
    <t>QUALID 7.50R16 14PR WORKER SET</t>
  </si>
  <si>
    <t>QUALID 7.00-12 12PR AB700</t>
  </si>
  <si>
    <t>QUALID 10-16.5 12PR AL702</t>
  </si>
  <si>
    <t>QU18565R14</t>
  </si>
  <si>
    <t>QUALID 185/65 R14 URBANO</t>
  </si>
  <si>
    <t>SHELL ADVANCE 4T ULTRA 15W50 12X1</t>
  </si>
  <si>
    <t>SHELL HELIX HX7 SP 10W30 1X209L</t>
  </si>
  <si>
    <t>SHELL SPIRAX S3 ATF MD3 1X55GAL</t>
  </si>
  <si>
    <t>SHELL GADUS S3 V460D 2 1X180KG</t>
  </si>
  <si>
    <t>SHELL SPIRAX S2 A 80W-90 6x1L</t>
  </si>
  <si>
    <t>SHELL SPIRAX S2 A 85W-140 6x1L</t>
  </si>
  <si>
    <t>SHELL GADUS S2 OG 40 1X190KG</t>
  </si>
  <si>
    <t>QC18560R14</t>
  </si>
  <si>
    <t>QUALID 185/60R14 CITADINO</t>
  </si>
  <si>
    <t>QC19560R15</t>
  </si>
  <si>
    <t>QUALID 195/60R15 CITADINO</t>
  </si>
  <si>
    <t>190kg</t>
  </si>
  <si>
    <t>180kg</t>
  </si>
  <si>
    <t>SHELL SPIRAX S4 CX 30 1x209L</t>
  </si>
  <si>
    <t>SHELL TURBO OIL T 46 1X209L</t>
  </si>
  <si>
    <t>SHELL CORENA S2 P 100 1x5GAL</t>
  </si>
  <si>
    <t>5gal</t>
  </si>
  <si>
    <t>SHELL SPIRAX S2 A 80W-90 1x209L</t>
  </si>
  <si>
    <t>SHELL CAPRINUS XR 40 1X209L</t>
  </si>
  <si>
    <t>SHELL ADVANCE 4T ULTRA 15W-50 12x1L</t>
  </si>
  <si>
    <t>Asertividad  del Inventario 
de la clasificación A Y B</t>
  </si>
  <si>
    <t>SHELL ADVANCE 4T AX7 10W-40 SN/MA2 6X1</t>
  </si>
  <si>
    <t>SHELL ADVANCE AX7 15W50 SN/MA2 6X1</t>
  </si>
  <si>
    <t>SHELL CORENA S2 P 100 1X5GAL</t>
  </si>
  <si>
    <t>SHELL SPIRAX S4 TXM 1X55GAL</t>
  </si>
  <si>
    <t>SHELL RIMULA R2 50 TB 209L</t>
  </si>
  <si>
    <t>SHELL HELIX HX7 SP 10W-30 1x209L</t>
  </si>
  <si>
    <t>SHELL ADVANCE 4T AX7 10W-40 SN/MA2 6x1L</t>
  </si>
  <si>
    <t>SHELL ADVANCE AX7 15W-50 SN/MA2 6x1L</t>
  </si>
  <si>
    <t>8 NUEVA PRESENTACIÓN DE PRODUCTO Y EN PROFIT SE CARGO EN MISMO CÓDIGO</t>
  </si>
  <si>
    <t>1 NUEVA PRESENTACIÓN DE PRODUCTO Y EN PROFIT SE CARGO EN MISMO CÓDIGO</t>
  </si>
  <si>
    <t xml:space="preserve">Marrón </t>
  </si>
  <si>
    <t>Diferencia profit Vs  Físico NAPLV</t>
  </si>
  <si>
    <t>unidad_base</t>
  </si>
  <si>
    <t>StockActual 0000001</t>
  </si>
  <si>
    <t>Cajas 000001</t>
  </si>
  <si>
    <t>StockActual 000004</t>
  </si>
  <si>
    <t>Cajas 000004</t>
  </si>
  <si>
    <t>LITROS</t>
  </si>
  <si>
    <t>SHELL SPIRAX S4 TXM 1x55GAL</t>
  </si>
  <si>
    <t>SHELL SPIRAX S3 ATF MD3 1x55GAL</t>
  </si>
  <si>
    <t>SHELL GADUS S3 V460D 2 1x180KG</t>
  </si>
  <si>
    <t>TOTE</t>
  </si>
  <si>
    <t>SHELL GADUS S2 OG 40 1x190KG</t>
  </si>
  <si>
    <t>SHELL SPIRAX S5 CVT X 12X1</t>
  </si>
  <si>
    <t>QAT28570R17</t>
  </si>
  <si>
    <t>QUALID LT285/70R17 ALL TERRAIN Q01</t>
  </si>
  <si>
    <t>WS175R13</t>
  </si>
  <si>
    <t>SAFEWAY 175/70R13</t>
  </si>
  <si>
    <t>SHELL CAPRINUS XR 40 1x209L</t>
  </si>
  <si>
    <t>QAT28575R16</t>
  </si>
  <si>
    <t>QUALID LT285/75R16 ALL TERRAIN Q01</t>
  </si>
  <si>
    <t>QRHTR-L</t>
  </si>
  <si>
    <t>QUALID REFRIGERANTE HIGH TEMP ROJO 12x1</t>
  </si>
  <si>
    <t>QRHTV-L</t>
  </si>
  <si>
    <t>QUALID REFRIGERANTE HIGH TEMP VERDE 12x1</t>
  </si>
  <si>
    <t>QRPV50-G</t>
  </si>
  <si>
    <t>QUALID REFRIGERANTE PREMIUM VERDE 50% 4x3.785L</t>
  </si>
  <si>
    <t>QRPV50-T</t>
  </si>
  <si>
    <t>QUALID REFRIGERANTE PREMIUM VERDE 50% 1x200L</t>
  </si>
  <si>
    <t>SHELL SPIRAX S5 CVT X 12x1L</t>
  </si>
  <si>
    <t>70 RECEPCIÓN NUEVA PRESENTACIÓN DE PRODUCTO Y EN PROFIT SE CARGO EN MISMO CÓDIGO+ 30 TAMBORES DESPACHADOS COMO 80W-90 1x55GAL COMO LO INDICA LA FACTURA PERO QUE FISICAMENTE ES 80W-90 1X209L</t>
  </si>
  <si>
    <t>SHELL OMALA S2 G 150 1X209L</t>
  </si>
  <si>
    <t>SHELL OMALA S2 G 460 1x209L</t>
  </si>
  <si>
    <t>SHELL TELLUS S2 VX 68 1x975L</t>
  </si>
  <si>
    <t>TOYOTA TERIOS BE-GO</t>
  </si>
  <si>
    <t>TOYOTA COROLLA XEI / GLI 2008-2012</t>
  </si>
  <si>
    <t>FORD EXPLORER 2011-2013</t>
  </si>
  <si>
    <t>FORD EXPEDITION 2009/ F-150 / F-250 / F-350 2007-2012</t>
  </si>
  <si>
    <t>JEEP GRAND CHEROKEE 2011-2014, MITSUBISHI L200 DIESEL</t>
  </si>
  <si>
    <t>TOYOTA 4RUNNER 2014-2018</t>
  </si>
  <si>
    <t>CHERY ORINOCO 4L 1.8L (AUTOMÁTICO)</t>
  </si>
  <si>
    <t>CHERY ARAUCA A1 4L 1.3L</t>
  </si>
  <si>
    <t>FORD ECOSPORT 1.6L /FIESTA POWER 1.6L, MOVE, MAX</t>
  </si>
  <si>
    <t>QA-46357</t>
  </si>
  <si>
    <t>NKR (SIN TURBO), NPR 3.9, NPR 66L CABIN</t>
  </si>
  <si>
    <t>QA-46932</t>
  </si>
  <si>
    <t>NPR (CON TURBO), MITSUBISHI CANTER (CON TURBO)</t>
  </si>
  <si>
    <t>NISSAN FRONTIER 2005 - 2014</t>
  </si>
  <si>
    <t>MAZDA BT-50</t>
  </si>
  <si>
    <t>HYUNDAI TUCSON (2005-2009) / KIA SPORTAGE (2005-2009)</t>
  </si>
  <si>
    <t>FORD EXPEDITION / F-150 / F-350</t>
  </si>
  <si>
    <t>MITSUBISHI LANCER TOURING 2003-2015/ MIRAGE</t>
  </si>
  <si>
    <t>RENAULT LOGAN / KANGOO /SYMBOL</t>
  </si>
  <si>
    <t>CHEVROLET SPARK</t>
  </si>
  <si>
    <t>CHEVROLET LUV-DMAX (GASOLINA)</t>
  </si>
  <si>
    <t>TOYOTA 4RUNNER 2008/ FORTUNER / HILUX KAVAK / FJ CRUISER</t>
  </si>
  <si>
    <t>FORD EXPEDITION EDDIE PICK-UP F-SERIES SUPER DUTY (TODOS)</t>
  </si>
  <si>
    <t>CHEVROLET AVEO (TODOS)</t>
  </si>
  <si>
    <t>TOYOTA COROLLA 1.6 / 1.8 VVL-I</t>
  </si>
  <si>
    <t>FORD EXPLORER</t>
  </si>
  <si>
    <t>FORD F150/ FX4/ F350</t>
  </si>
  <si>
    <t>TOYOTA PRADO, 4RUNNER, FJ CRUISER</t>
  </si>
  <si>
    <t>TOYOTA HILUX / FORTUNER</t>
  </si>
  <si>
    <t>FILTRO UNIVERSAL</t>
  </si>
  <si>
    <t>JEEP CJ SERIES / WAGONEER / WRANGLER (CON RETORNO)</t>
  </si>
  <si>
    <t>DODGE PICK-UP RAM 2500. JEEP COMANCHE / CHEROKEE / WRANGLER</t>
  </si>
  <si>
    <t>CHEVROLET BLAZER / C - 1500 / CHEYENNE / CELEBRITY / CORVETTE / GRAND BLAZER / 2WD / 4WD / LUMINA / C10</t>
  </si>
  <si>
    <t>FORD BRONCO PICO CORTO</t>
  </si>
  <si>
    <t>FORD BRONCO / EXPLORER / F-150 / F-350</t>
  </si>
  <si>
    <t>TOYOTA STARLET, ARAYA, SKY, COROLLA CARBURADO</t>
  </si>
  <si>
    <t>TOYOTA HILUX (INYECCIÓN)</t>
  </si>
  <si>
    <t>VOLKSWAGEN, GOL / GOLF/ CROSSFOX / FOX/ SPACE FOX / POLO/ BORA</t>
  </si>
  <si>
    <t>RENAULT MEGANE, SCENIC, TWINGO, LOGAN, KANGOO, SYMBOL</t>
  </si>
  <si>
    <t>CHEVROLET CORSA / LUV D-MAX/ MONTANA/ MERIVA</t>
  </si>
  <si>
    <t>CHEVROLET OPTRA / AVEO / CAPTIVA (TESTIGO)</t>
  </si>
  <si>
    <t>CHEVROLET BLAZER (ROSCA PICO)</t>
  </si>
  <si>
    <t>HYUNDAI SONATA . TOYOTA 4 RUNNER / MERÚ / PRADO</t>
  </si>
  <si>
    <t>CHERY ORINOCO / ARAUCA / X1 / TIGGER / TIUNA</t>
  </si>
  <si>
    <t>MITSUBISHI ECLIPSE / LANCER / MF / MONTERO / MX . TOYOTA CAMRY / CELICA / PASEO</t>
  </si>
  <si>
    <t>TOYOTA COROLLA 1.8/1.6 (1994-2008)</t>
  </si>
  <si>
    <t>FIAT SIENA / PALIO (TODOS )</t>
  </si>
  <si>
    <t>FIESTA POWER 4L, 1.6 LT (00-07), ECOSPORT 4L, 1.6 (04-05) Y 2.0 LT (04-05), MAZDA 2</t>
  </si>
  <si>
    <t>FORD EXPLORER / FORTALEZA / RANGER</t>
  </si>
  <si>
    <t>FORD EXPLORER 1999-2002 / SPORT TRAC</t>
  </si>
  <si>
    <t>QD-10224</t>
  </si>
  <si>
    <t>FORD RANGER, MAZDA BT50 W/ 2.2L AND 3.2L DIESEL, TOYOTA HILUX 2.5 DIESEL / MITSUBISHI L200</t>
  </si>
  <si>
    <t>QD-10231</t>
  </si>
  <si>
    <t>TOYOYA LAND CRUISER DIESEL 70, HZJ7, 200, 202</t>
  </si>
  <si>
    <t>QD-10372</t>
  </si>
  <si>
    <t>TOYOTA DYNA TURBO</t>
  </si>
  <si>
    <t>QD-10379</t>
  </si>
  <si>
    <t>MITSUBISHI HINO 3.5T 155 195 FUEL FILTER ELEMENT OE 23304-78091  TOYOTA DYNA (23304-78090)</t>
  </si>
  <si>
    <t>QD-10416</t>
  </si>
  <si>
    <t>MITSUBISHI, HINO, ISUZU, CHEVROLET FVR, TOYOTA DYNA 4.0</t>
  </si>
  <si>
    <t>QD-33166</t>
  </si>
  <si>
    <t>JHON DEER / INGERSOLL RAND / MASSEY FERGUSON</t>
  </si>
  <si>
    <t>QD-33218</t>
  </si>
  <si>
    <t>MACK 673 / 675 / 676 SECUNDARIO</t>
  </si>
  <si>
    <t>QD-33219</t>
  </si>
  <si>
    <t>MACK 673 / 675 / 676 PRIMARIO</t>
  </si>
  <si>
    <t>QD-33242</t>
  </si>
  <si>
    <t>TRAMPA CARGO 1721</t>
  </si>
  <si>
    <t>QD-33260</t>
  </si>
  <si>
    <t>DAEWOO, HITACHI EQUIPMENT; HINO, ISUZU TRUCKS; KAWASAKI LOADERS</t>
  </si>
  <si>
    <t>QD-33386</t>
  </si>
  <si>
    <t>CHEVROLET NPR / NKR</t>
  </si>
  <si>
    <t>QD-33393</t>
  </si>
  <si>
    <t>CHEVROLET NPR / NKR / ENCAVA</t>
  </si>
  <si>
    <t>QD-33399</t>
  </si>
  <si>
    <t>MITSUBISHI FUSO CANTER</t>
  </si>
  <si>
    <t>QD-33587</t>
  </si>
  <si>
    <t>MACK GRANITE Y VISION</t>
  </si>
  <si>
    <t>QD-33588</t>
  </si>
  <si>
    <t>QD-33742</t>
  </si>
  <si>
    <t>CAT EQUIPMENT (CARTEPILLAR ENGINES)</t>
  </si>
  <si>
    <t>QD-33777</t>
  </si>
  <si>
    <t>TRAMPA CUMMINS</t>
  </si>
  <si>
    <t>QD-8429</t>
  </si>
  <si>
    <t>TOYOTA HILUX / HIACE / TACOMA</t>
  </si>
  <si>
    <t>CHEVROLET EXPRESS VAN/ AVALANCHE / TAHOE/  SILVERADO. DODGE CALIBER. JEEP LIBERTY KK/ COMPASS</t>
  </si>
  <si>
    <t>TOYOTA 4RUNNER 2010-2021 / TUNDRA V6 4.OL 2012-2014</t>
  </si>
  <si>
    <t>TOYOTA TUNDRA 2010-2021 / LAND CRUISER 2008-2021/ SEQUOIA 2001-2021</t>
  </si>
  <si>
    <t>TOYOTA COROLLA 2013-2018</t>
  </si>
  <si>
    <t>FORD EXPLORER 2011-2021 / F150 2011-2021 / JEEP CHEROKEE LIBERTY 2008 -2014</t>
  </si>
  <si>
    <t>CHEVROLET GRAND BLAZER / 2WD / 4WD / C-1500 / C30 / C3500 / GMC YUKON / PICK-UPS (TODAS) / SILVERADO</t>
  </si>
  <si>
    <t>DODGE INTREPID / PICK-UP RAM 2500 / SPIRIT / STRATUS / CARAVAN / DURANGO / CIRRUS</t>
  </si>
  <si>
    <t>FORD TRITON 8CIL / EXPEDITION V8 / ESCAPE 3.0L / EXPLORER SPORT / SPORT TRAC/ JEEP GRAND CHEROKEE 2010-2013</t>
  </si>
  <si>
    <t>TOYOTA PRADO/ HILUX/ FORTUNER / 4RUNNER HASTA 2009. DONGFENG RICH 6</t>
  </si>
  <si>
    <t>CHEVROLET AVEO (TODOS) /  OPTRA (TODOS) / CORSA (TODOS). FIAT PALIO 1.8 (2005-2009) / SIENA 1.8 (2005-2009). DAEWOO CIEL</t>
  </si>
  <si>
    <t>FORD FIESTA (TODOS) / RANGER / FOCUS. JEEP CHEROKEE LIBERTY 2007. MAZDA B-2300 /B-2500</t>
  </si>
  <si>
    <t>CHERY ARAUCA A1 / X1, CHEVROLET GRAND VITARA (TODAS) / JIMNY. FORD ECOSPORT</t>
  </si>
  <si>
    <t>CHEVROLET LUV D-MAX (TODAS). HONDA ACCORD / CIVIC / FIT / LEGEND / ODISSEY. HYUNDAI ACCENT / ELANTRA / TUCSON / GETZ</t>
  </si>
  <si>
    <t>CHEVROLET BLAZER / CELEBRITY / CORSICA / CORVETTE / IMPALA / LUMINA / C10</t>
  </si>
  <si>
    <t>FIAT BRAVA / PALIO / PREMIO / SIENA / UNO / FORZA</t>
  </si>
  <si>
    <t>TOYOTA CAMRY / CELICA / COROLLA / SKY / STARLET / TERIOS / YARIS. DAEWOO MATIZ / TICO. CHEVROLET SPARK(TODOS)</t>
  </si>
  <si>
    <t>CHERY ORINOCO (A3)</t>
  </si>
  <si>
    <t>RENAULT CLIO / GALA / KANGOO / TWINGO 1.2L / MEGANE / LOGAN / SCENIC</t>
  </si>
  <si>
    <t>QL-51429</t>
  </si>
  <si>
    <t>IVECO EUROCARGO</t>
  </si>
  <si>
    <t>QL-51431</t>
  </si>
  <si>
    <t>FIAT IVECO DAILY TURBO</t>
  </si>
  <si>
    <t>QL-51602</t>
  </si>
  <si>
    <t>FORD CARGO 815 MOTOR CUMMINS 3.9L</t>
  </si>
  <si>
    <t>QL-51649</t>
  </si>
  <si>
    <t>CHEVROLET FVR / FTR / FSR</t>
  </si>
  <si>
    <t>QL-51660</t>
  </si>
  <si>
    <t>VOLVO / MACK BY PASS</t>
  </si>
  <si>
    <t>QL-51669</t>
  </si>
  <si>
    <t>FORD MOTORES CUMMINS</t>
  </si>
  <si>
    <t>QL-51675</t>
  </si>
  <si>
    <t>QL-51748</t>
  </si>
  <si>
    <t>FORD F-9000 / CARGO 1721</t>
  </si>
  <si>
    <t>QL-51749</t>
  </si>
  <si>
    <t>SUPERBRIGADIER 185 / 229</t>
  </si>
  <si>
    <t>QL-51791</t>
  </si>
  <si>
    <t>CHEVROLET KODIAK CATERPILLAR 3126 ELECTRONICO</t>
  </si>
  <si>
    <t>QL-51810</t>
  </si>
  <si>
    <t>QL-51832</t>
  </si>
  <si>
    <t>FORD F-7000</t>
  </si>
  <si>
    <t>QL-51971</t>
  </si>
  <si>
    <t>FREIGHTLINER CL120 / FDL120</t>
  </si>
  <si>
    <t>VOLKSWAGEN FOX / CROSSFOX 2006-2008 / GOL 1997-2018 / SPACE FOX 2006-2008.  SEAT IBIZA CORDOBA</t>
  </si>
  <si>
    <t>QL-57746</t>
  </si>
  <si>
    <t>CUMMINS ISX</t>
  </si>
  <si>
    <t>FORD KA / LASER. MAZDA ALLEGRO / 323 / 626 KIA PICANTO</t>
  </si>
  <si>
    <t>HONDA ACCORD / CIVIC, LEGEND / FIT / DODGE BRISA. MITSUBISHI LANCER</t>
  </si>
  <si>
    <t>FORD MUSTANG 91-03 / FORD BRONCO 92-96 / EXPLORER 92-01 / PICK UP F150-350. TOYOTA LAND CRUISER / MACHO / PICK UP</t>
  </si>
  <si>
    <t>PEUGEOT 206/207/307/408, CENTAURO 1.6, DONGFENG S30</t>
  </si>
  <si>
    <t>1 CAJA ENTREGADA A SAC NE 2211-1 POR DEVOLUCION DE CLIENTE 03-05-23</t>
  </si>
  <si>
    <t>SHELL OMALA S2 G 150 1x209L</t>
  </si>
  <si>
    <t>QA-8756</t>
  </si>
  <si>
    <t>Chevrolet C-1500 Cheyenne / Grand Blazer / Silverado</t>
  </si>
  <si>
    <t>QL-10246</t>
  </si>
  <si>
    <t>Chevrolet Cruze</t>
  </si>
  <si>
    <t xml:space="preserve"> </t>
  </si>
  <si>
    <t>2 FACTURA 3457 + 8 NUEVA PRESENTACIÓN DE PRODUCTO Y EN PROFIT SE CARGO EN MISMO CÓDIGO</t>
  </si>
  <si>
    <t>Cielo</t>
  </si>
  <si>
    <t>Observaciones NAPLV</t>
  </si>
  <si>
    <t>CAJA MANCHADA Y ENVASES BOTANDO</t>
  </si>
  <si>
    <t>SELLOS ROTOS</t>
  </si>
  <si>
    <t>SELLO ROTO</t>
  </si>
  <si>
    <t>DERRAME</t>
  </si>
  <si>
    <t>MANCHADA</t>
  </si>
  <si>
    <t>PAILA ROTA</t>
  </si>
  <si>
    <t xml:space="preserve">ENVASES ROTO </t>
  </si>
  <si>
    <t>ETIQUETA DETERIORADA</t>
  </si>
  <si>
    <t>SELLOS ROTOS, ORIGEN COLOMBIANO</t>
  </si>
  <si>
    <t>CAJAS MANCHADA Y ENVASES BOTANDO</t>
  </si>
  <si>
    <t>ENVASE ROTO+ CAJA MANCHADA</t>
  </si>
  <si>
    <t>DIFERENCIA SE DEBE A UN AJUSTE EN PROFIT DEL ALMACEN 000004 Y DEBIA SER DEL ALMACEN 000001+ DERRAME</t>
  </si>
  <si>
    <t>PAILA ROTA EN LA TAPA</t>
  </si>
  <si>
    <t>FOIL ROTO</t>
  </si>
  <si>
    <t>DERRAMANDO FOIL ROTO, ROTO EN COSTURA</t>
  </si>
  <si>
    <t>SELLOS ROTOS ORIGEN COLOMBIANO + 1 GOLPEADO</t>
  </si>
  <si>
    <t>SELLOS ROTOS ORIGEN COLOMBIANO</t>
  </si>
  <si>
    <t>CAJA MANCHADA</t>
  </si>
  <si>
    <t>SELLOS ROTOS + TAMBOR CON DERRAME DE ORIGEN</t>
  </si>
  <si>
    <t>PNEUS 185/60R14 VANTAGE CLASSIC</t>
  </si>
  <si>
    <t>PNEUS P195/75R14 FORMULA GT</t>
  </si>
  <si>
    <t>PNEUS P225/75R15 FORMULA GT</t>
  </si>
  <si>
    <t>PNEUS P195/75R14 VANTAGE</t>
  </si>
  <si>
    <t>PNEUS P225/75R15</t>
  </si>
  <si>
    <t>PNEUS 195/65R15 VANTAGE EVOLUTION</t>
  </si>
  <si>
    <t>PNEUS LT265/75R16TL VANTAGE SUV A/T</t>
  </si>
  <si>
    <t>PNEUS 235/55R17 VANTAGE SPORT</t>
  </si>
  <si>
    <t>PNEUS P265/65R17 VANTAGE SUV A/T</t>
  </si>
  <si>
    <t>PNEUS 31X10.50R15LT VANTAGE SUV A/T</t>
  </si>
  <si>
    <t>PNEUS 90/90-18M/C 51P FORMULA</t>
  </si>
  <si>
    <t>PNEUS 205/55R14 VANTAGE SPORT</t>
  </si>
  <si>
    <t>PNEUS 165/60R13 F. SPIDER</t>
  </si>
  <si>
    <t>PNEUS 175/70R13 F. SPIDER</t>
  </si>
  <si>
    <t>PNEUS 195/60R13 VANTAGE SPORT</t>
  </si>
  <si>
    <t>PNEUS P255/60R15 VANTAGE SPORT</t>
  </si>
  <si>
    <t>PNEUS P235/60R16 VANTAGE SPORT</t>
  </si>
  <si>
    <t>PNEUS 205/55R16 VANTAGE EVOLUTION</t>
  </si>
  <si>
    <t>PNEUS 30X9.50R15TL VANTAGE SUV A/T</t>
  </si>
  <si>
    <t>PNEUS P235/75R15TL VANTAGE SUV A/T</t>
  </si>
  <si>
    <t>SELLOS ROTOS,1 OXIDADO</t>
  </si>
  <si>
    <t>ENVASES ROTO-CAJAS MANCHADAS CON ENVSES FALTANTES Y 2 CAJAS VACIAS</t>
  </si>
  <si>
    <t>CAJAS MANCHANDO CON DERRAME</t>
  </si>
  <si>
    <t>SELLOS ROTOS Y ETIQUETAS DETERIORADAS</t>
  </si>
  <si>
    <t>SELLO ROTO Y ETIQUETA DETERIORADA</t>
  </si>
  <si>
    <t>SELLOS ROTOS- ETIQUETAS DETERIORADAS</t>
  </si>
  <si>
    <t>1 CAJA DEVOLUCIÓN DE EPA QUE NO SE LE DIO INGRESO CON UNIDADES FALTANTES</t>
  </si>
  <si>
    <t>MANCHADAS</t>
  </si>
  <si>
    <t>2 CAJA DEVOLUCIÓN DE EPA QUE NO SE LE DIO INGRESO 11-04-2023</t>
  </si>
  <si>
    <t>SHELL HELIX HX7 SP 5W-20 3x4L</t>
  </si>
  <si>
    <t>QF21575R175</t>
  </si>
  <si>
    <t>215/75R17.5 16PR FALCON</t>
  </si>
  <si>
    <t>(1 CJA DE EPA POR DESTRUIR) CAJAS DERRAMANDO Y MANCHANDO</t>
  </si>
  <si>
    <t xml:space="preserve">1 QUE NO SE A DADO DE BAJA ENTREGADA 06-07-23 </t>
  </si>
  <si>
    <t xml:space="preserve">4 DIFERENCIA PENDIENTE POR DESPACHAR DE AGROFANB </t>
  </si>
  <si>
    <t>2 DIFERENCIA PENDIENTE POR DESPACHAR DE AGROFANB</t>
  </si>
  <si>
    <t>1 DIFERENCIA PENDIENTE POR DESPACHAR DE AGROFANB</t>
  </si>
  <si>
    <t>1944 DIFERENCIA SE DEBE A LA RECEPCION DEL DIA 14-07-23 NO LA HAN CARGADO EN SISTEMA</t>
  </si>
  <si>
    <t>64 DIFERENCIA SE DEBE A LA RECEPCION DEL DIA 14-07-23 NO LA HAN CARGADO EN SISTEMA</t>
  </si>
  <si>
    <t xml:space="preserve"> CRUCE DE Código 550038020</t>
  </si>
  <si>
    <t xml:space="preserve"> CRUCE DE Código 44243809</t>
  </si>
  <si>
    <t>1 DIFERENCIA QUE SE DESCONTO EN PROFIT DEL ALMACEN 000004 Y SE DESPACHO DEL ALMACEN 000001+ MANCHADA</t>
  </si>
  <si>
    <t>1+1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</si>
</sst>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indexed="81"/>
      <name val="Tahoma"/>
      <family val="2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4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A276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922DA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76B1D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119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3" xfId="0" applyBorder="1"/>
    <xf numFmtId="0" fontId="0" fillId="0" borderId="0" xfId="0"/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1" fillId="2" borderId="7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0" xfId="0" applyBorder="1" applyAlignment="1">
      <alignment horizontal="center" vertical="center"/>
    </xf>
    <xf numFmtId="0" fontId="0" fillId="0" borderId="0" xfId="0"/>
    <xf numFmtId="0" fontId="0" fillId="5" borderId="1" xfId="0" applyFill="1" applyBorder="1"/>
    <xf numFmtId="0" fontId="0" fillId="0" borderId="11" xfId="0" applyBorder="1"/>
    <xf numFmtId="0" fontId="0" fillId="6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2" borderId="11" xfId="0" applyFill="1" applyBorder="1"/>
    <xf numFmtId="0" fontId="0" fillId="12" borderId="0" xfId="0" applyFill="1"/>
    <xf numFmtId="0" fontId="0" fillId="0" borderId="11" xfId="0" applyFill="1" applyBorder="1"/>
    <xf numFmtId="0" fontId="0" fillId="12" borderId="0" xfId="0" applyFill="1" applyBorder="1"/>
    <xf numFmtId="0" fontId="0" fillId="0" borderId="0" xfId="0" applyAlignment="1">
      <alignment horizontal="center"/>
    </xf>
    <xf numFmtId="0" fontId="11" fillId="0" borderId="0" xfId="0" applyFont="1"/>
    <xf numFmtId="164" fontId="11" fillId="0" borderId="0" xfId="1" applyNumberFormat="1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wrapText="1"/>
    </xf>
    <xf numFmtId="0" fontId="12" fillId="15" borderId="1" xfId="0" applyFont="1" applyFill="1" applyBorder="1" applyAlignment="1">
      <alignment wrapText="1"/>
    </xf>
    <xf numFmtId="164" fontId="11" fillId="9" borderId="1" xfId="1" applyNumberFormat="1" applyFont="1" applyFill="1" applyBorder="1" applyAlignment="1">
      <alignment horizontal="left"/>
    </xf>
    <xf numFmtId="14" fontId="1" fillId="2" borderId="7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65" fontId="0" fillId="0" borderId="0" xfId="0" applyNumberFormat="1"/>
    <xf numFmtId="0" fontId="0" fillId="0" borderId="15" xfId="0" applyBorder="1"/>
    <xf numFmtId="0" fontId="1" fillId="2" borderId="16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1" fillId="2" borderId="17" xfId="0" applyNumberFormat="1" applyFont="1" applyFill="1" applyBorder="1" applyAlignment="1">
      <alignment horizontal="center" vertical="center" wrapText="1"/>
    </xf>
    <xf numFmtId="0" fontId="0" fillId="0" borderId="9" xfId="0" applyBorder="1"/>
    <xf numFmtId="0" fontId="1" fillId="10" borderId="7" xfId="0" applyFont="1" applyFill="1" applyBorder="1" applyAlignment="1">
      <alignment horizontal="center" vertical="center" wrapText="1"/>
    </xf>
    <xf numFmtId="0" fontId="0" fillId="0" borderId="18" xfId="0" applyBorder="1"/>
    <xf numFmtId="0" fontId="0" fillId="0" borderId="19" xfId="0" applyBorder="1"/>
    <xf numFmtId="0" fontId="0" fillId="0" borderId="0" xfId="0" applyAlignment="1">
      <alignment vertical="top"/>
    </xf>
    <xf numFmtId="0" fontId="0" fillId="0" borderId="10" xfId="0" applyNumberForma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horizontal="center" vertical="center"/>
    </xf>
    <xf numFmtId="0" fontId="0" fillId="0" borderId="20" xfId="0" applyBorder="1"/>
    <xf numFmtId="0" fontId="0" fillId="4" borderId="1" xfId="0" applyFill="1" applyBorder="1"/>
    <xf numFmtId="0" fontId="0" fillId="0" borderId="22" xfId="0" applyBorder="1"/>
    <xf numFmtId="0" fontId="0" fillId="0" borderId="23" xfId="0" applyBorder="1"/>
    <xf numFmtId="0" fontId="1" fillId="2" borderId="17" xfId="0" applyFont="1" applyFill="1" applyBorder="1" applyAlignment="1">
      <alignment horizontal="center" vertical="center" wrapText="1"/>
    </xf>
    <xf numFmtId="0" fontId="0" fillId="0" borderId="19" xfId="0" applyFill="1" applyBorder="1"/>
    <xf numFmtId="0" fontId="4" fillId="0" borderId="1" xfId="0" applyFont="1" applyBorder="1"/>
    <xf numFmtId="0" fontId="0" fillId="0" borderId="10" xfId="0" applyBorder="1"/>
    <xf numFmtId="0" fontId="0" fillId="0" borderId="10" xfId="0" applyFill="1" applyBorder="1"/>
    <xf numFmtId="0" fontId="0" fillId="12" borderId="10" xfId="0" applyFill="1" applyBorder="1"/>
    <xf numFmtId="0" fontId="1" fillId="17" borderId="7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0" fillId="0" borderId="0" xfId="0" applyFill="1"/>
    <xf numFmtId="0" fontId="1" fillId="9" borderId="7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4" fillId="0" borderId="24" xfId="0" applyFont="1" applyFill="1" applyBorder="1" applyAlignment="1">
      <alignment horizontal="center"/>
    </xf>
    <xf numFmtId="0" fontId="0" fillId="0" borderId="15" xfId="0" applyFill="1" applyBorder="1"/>
    <xf numFmtId="0" fontId="0" fillId="0" borderId="9" xfId="0" applyNumberForma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19" borderId="1" xfId="0" applyFill="1" applyBorder="1"/>
    <xf numFmtId="0" fontId="0" fillId="0" borderId="13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0" borderId="8" xfId="0" applyFont="1" applyFill="1" applyBorder="1" applyAlignment="1">
      <alignment horizontal="center"/>
    </xf>
    <xf numFmtId="0" fontId="0" fillId="3" borderId="1" xfId="0" applyFill="1" applyBorder="1"/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Border="1"/>
    <xf numFmtId="0" fontId="0" fillId="0" borderId="14" xfId="0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1" xfId="0" applyNumberFormat="1" applyBorder="1" applyAlignment="1">
      <alignment horizontal="center" vertical="center"/>
    </xf>
    <xf numFmtId="4" fontId="16" fillId="0" borderId="0" xfId="0" applyNumberFormat="1" applyFont="1"/>
    <xf numFmtId="0" fontId="4" fillId="0" borderId="1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 vertical="center" wrapText="1"/>
    </xf>
    <xf numFmtId="0" fontId="16" fillId="0" borderId="0" xfId="0" applyNumberFormat="1" applyFont="1"/>
    <xf numFmtId="0" fontId="0" fillId="0" borderId="0" xfId="0" applyFill="1" applyBorder="1"/>
    <xf numFmtId="0" fontId="0" fillId="12" borderId="10" xfId="0" applyNumberForma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/>
    </xf>
    <xf numFmtId="0" fontId="0" fillId="5" borderId="19" xfId="0" applyFill="1" applyBorder="1"/>
    <xf numFmtId="0" fontId="0" fillId="18" borderId="1" xfId="0" applyFill="1" applyBorder="1"/>
    <xf numFmtId="0" fontId="0" fillId="0" borderId="8" xfId="0" applyBorder="1"/>
    <xf numFmtId="0" fontId="0" fillId="0" borderId="21" xfId="0" applyFill="1" applyBorder="1"/>
    <xf numFmtId="0" fontId="0" fillId="0" borderId="11" xfId="0" applyNumberFormat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" fillId="7" borderId="7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 wrapText="1"/>
    </xf>
    <xf numFmtId="0" fontId="1" fillId="11" borderId="7" xfId="0" applyFont="1" applyFill="1" applyBorder="1" applyAlignment="1">
      <alignment horizontal="center" vertical="center" wrapText="1"/>
    </xf>
    <xf numFmtId="0" fontId="1" fillId="16" borderId="7" xfId="0" applyFont="1" applyFill="1" applyBorder="1" applyAlignment="1">
      <alignment horizontal="center" vertical="center" wrapText="1"/>
    </xf>
    <xf numFmtId="165" fontId="1" fillId="2" borderId="7" xfId="0" applyNumberFormat="1" applyFont="1" applyFill="1" applyBorder="1" applyAlignment="1">
      <alignment horizontal="center" vertical="center" wrapText="1"/>
    </xf>
    <xf numFmtId="0" fontId="1" fillId="2" borderId="7" xfId="0" applyNumberFormat="1" applyFont="1" applyFill="1" applyBorder="1" applyAlignment="1">
      <alignment horizontal="center" vertical="center" wrapText="1"/>
    </xf>
    <xf numFmtId="165" fontId="0" fillId="3" borderId="1" xfId="0" applyNumberFormat="1" applyFill="1" applyBorder="1"/>
    <xf numFmtId="0" fontId="0" fillId="14" borderId="1" xfId="0" applyNumberFormat="1" applyFill="1" applyBorder="1"/>
    <xf numFmtId="2" fontId="0" fillId="14" borderId="1" xfId="0" applyNumberFormat="1" applyFill="1" applyBorder="1"/>
    <xf numFmtId="0" fontId="4" fillId="18" borderId="7" xfId="0" applyFont="1" applyFill="1" applyBorder="1" applyAlignment="1">
      <alignment horizontal="center" vertical="center" wrapText="1"/>
    </xf>
    <xf numFmtId="0" fontId="0" fillId="3" borderId="23" xfId="0" applyFill="1" applyBorder="1"/>
    <xf numFmtId="0" fontId="0" fillId="4" borderId="23" xfId="0" applyFill="1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14" fontId="1" fillId="2" borderId="16" xfId="0" applyNumberFormat="1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26" xfId="0" applyFill="1" applyBorder="1"/>
    <xf numFmtId="0" fontId="16" fillId="5" borderId="0" xfId="0" applyFont="1" applyFill="1"/>
    <xf numFmtId="0" fontId="0" fillId="0" borderId="15" xfId="0" applyNumberFormat="1" applyBorder="1" applyAlignment="1">
      <alignment horizontal="center" vertical="center"/>
    </xf>
    <xf numFmtId="49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2" fontId="0" fillId="0" borderId="0" xfId="0" applyNumberFormat="1"/>
  </cellXfs>
  <cellStyles count="2">
    <cellStyle name="Normal" xfId="0" builtinId="0"/>
    <cellStyle name="Porcentaje" xfId="1" builtinId="5"/>
  </cellStyles>
  <dxfs count="14"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76B1D"/>
        </patternFill>
      </fill>
    </dxf>
    <dxf>
      <font>
        <color auto="1"/>
      </font>
      <fill>
        <gradientFill>
          <stop position="0">
            <color rgb="FFFFFF00"/>
          </stop>
          <stop position="1">
            <color rgb="FFFF6600"/>
          </stop>
        </gradientFill>
      </fill>
    </dxf>
    <dxf>
      <font>
        <color rgb="FF9C0006"/>
      </font>
      <fill>
        <gradientFill>
          <stop position="0">
            <color rgb="FFFFFF00"/>
          </stop>
          <stop position="1">
            <color rgb="FFF76B1D"/>
          </stop>
        </gradientFill>
      </fill>
    </dxf>
    <dxf>
      <font>
        <color auto="1"/>
      </font>
      <fill>
        <gradientFill>
          <stop position="0">
            <color rgb="FFFFFF00"/>
          </stop>
          <stop position="1">
            <color rgb="FFFF6600"/>
          </stop>
        </gradientFill>
      </fill>
    </dxf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76B1D"/>
        </patternFill>
      </fill>
    </dxf>
    <dxf>
      <font>
        <color auto="1"/>
      </font>
      <fill>
        <gradientFill>
          <stop position="0">
            <color rgb="FFFFFF00"/>
          </stop>
          <stop position="1">
            <color rgb="FFFF6600"/>
          </stop>
        </gradientFill>
      </fill>
    </dxf>
    <dxf>
      <font>
        <color rgb="FF9C0006"/>
      </font>
      <fill>
        <gradientFill>
          <stop position="0">
            <color rgb="FFFFFF00"/>
          </stop>
          <stop position="1">
            <color rgb="FFF76B1D"/>
          </stop>
        </gradientFill>
      </fill>
    </dxf>
    <dxf>
      <font>
        <color auto="1"/>
      </font>
      <fill>
        <gradientFill>
          <stop position="0">
            <color rgb="FFFFFF00"/>
          </stop>
          <stop position="1">
            <color rgb="FFFF6600"/>
          </stop>
        </gradient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22DA3"/>
      <color rgb="FFF76B1D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</xdr:colOff>
          <xdr:row>2</xdr:row>
          <xdr:rowOff>0</xdr:rowOff>
        </xdr:from>
        <xdr:to>
          <xdr:col>7</xdr:col>
          <xdr:colOff>754380</xdr:colOff>
          <xdr:row>3</xdr:row>
          <xdr:rowOff>182880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V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</xdr:colOff>
          <xdr:row>2</xdr:row>
          <xdr:rowOff>175260</xdr:rowOff>
        </xdr:from>
        <xdr:to>
          <xdr:col>12</xdr:col>
          <xdr:colOff>182880</xdr:colOff>
          <xdr:row>5</xdr:row>
          <xdr:rowOff>7620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V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LI184"/>
  <sheetViews>
    <sheetView showGridLines="0" zoomScale="98" zoomScaleNormal="98" workbookViewId="0">
      <pane xSplit="4" ySplit="3" topLeftCell="KP4" activePane="bottomRight" state="frozen"/>
      <selection pane="topRight" activeCell="D1" sqref="D1"/>
      <selection pane="bottomLeft" activeCell="A4" sqref="A4"/>
      <selection pane="bottomRight" activeCell="KS64" sqref="KS64"/>
    </sheetView>
  </sheetViews>
  <sheetFormatPr baseColWidth="10" defaultRowHeight="14.4" x14ac:dyDescent="0.3"/>
  <cols>
    <col min="1" max="1" width="11.44140625" style="11"/>
    <col min="2" max="2" width="18.33203125" customWidth="1"/>
    <col min="3" max="3" width="48.5546875" customWidth="1"/>
    <col min="4" max="4" width="8.6640625" style="4" customWidth="1"/>
    <col min="5" max="5" width="15.6640625" customWidth="1"/>
    <col min="6" max="6" width="16.88671875" customWidth="1"/>
    <col min="7" max="15" width="15.6640625" customWidth="1"/>
    <col min="16" max="103" width="15.6640625" style="4" customWidth="1"/>
    <col min="104" max="124" width="15.6640625" style="11" customWidth="1"/>
    <col min="125" max="127" width="15.6640625" style="4" customWidth="1"/>
    <col min="128" max="183" width="15.6640625" style="11" customWidth="1"/>
    <col min="184" max="184" width="15.6640625" style="4" customWidth="1"/>
    <col min="185" max="317" width="15.6640625" style="11" customWidth="1"/>
    <col min="318" max="318" width="15.6640625" customWidth="1"/>
  </cols>
  <sheetData>
    <row r="1" spans="1:318" s="11" customFormat="1" ht="15" thickBot="1" x14ac:dyDescent="0.35">
      <c r="IU1" s="58"/>
      <c r="IV1" s="58"/>
      <c r="IW1" s="58"/>
      <c r="IX1" s="58"/>
      <c r="IY1" s="58"/>
      <c r="IZ1" s="58"/>
      <c r="JA1" s="58"/>
      <c r="JB1" s="58"/>
      <c r="JC1" s="58"/>
    </row>
    <row r="2" spans="1:318" ht="15" thickBot="1" x14ac:dyDescent="0.35">
      <c r="E2" s="1" t="s">
        <v>11</v>
      </c>
      <c r="F2" s="1" t="s">
        <v>11</v>
      </c>
      <c r="G2" s="1" t="s">
        <v>11</v>
      </c>
      <c r="H2" s="1" t="s">
        <v>11</v>
      </c>
      <c r="I2" s="1" t="s">
        <v>11</v>
      </c>
      <c r="J2" s="1" t="s">
        <v>11</v>
      </c>
      <c r="K2" s="1" t="s">
        <v>11</v>
      </c>
      <c r="L2" s="1" t="s">
        <v>11</v>
      </c>
      <c r="M2" s="1" t="s">
        <v>11</v>
      </c>
      <c r="N2" s="1" t="s">
        <v>11</v>
      </c>
      <c r="O2" s="1" t="s">
        <v>11</v>
      </c>
      <c r="P2" s="1" t="s">
        <v>11</v>
      </c>
      <c r="Q2" s="1" t="s">
        <v>11</v>
      </c>
      <c r="R2" s="1" t="s">
        <v>11</v>
      </c>
      <c r="S2" s="1" t="s">
        <v>11</v>
      </c>
      <c r="T2" s="1" t="s">
        <v>11</v>
      </c>
      <c r="U2" s="1" t="s">
        <v>11</v>
      </c>
      <c r="V2" s="1" t="s">
        <v>11</v>
      </c>
      <c r="W2" s="1" t="s">
        <v>11</v>
      </c>
      <c r="X2" s="1" t="s">
        <v>11</v>
      </c>
      <c r="Y2" s="1" t="s">
        <v>11</v>
      </c>
      <c r="Z2" s="1" t="s">
        <v>11</v>
      </c>
      <c r="AA2" s="1" t="s">
        <v>11</v>
      </c>
      <c r="AB2" s="1" t="s">
        <v>11</v>
      </c>
      <c r="AC2" s="1" t="s">
        <v>11</v>
      </c>
      <c r="AD2" s="1" t="s">
        <v>11</v>
      </c>
      <c r="AE2" s="1" t="s">
        <v>11</v>
      </c>
      <c r="AF2" s="1" t="s">
        <v>11</v>
      </c>
      <c r="AG2" s="1" t="s">
        <v>11</v>
      </c>
      <c r="AH2" s="1" t="s">
        <v>11</v>
      </c>
      <c r="AI2" s="1" t="s">
        <v>11</v>
      </c>
      <c r="AJ2" s="1" t="s">
        <v>11</v>
      </c>
      <c r="AK2" s="1" t="s">
        <v>11</v>
      </c>
      <c r="AL2" s="1" t="s">
        <v>11</v>
      </c>
      <c r="AM2" s="1" t="s">
        <v>11</v>
      </c>
      <c r="AN2" s="1" t="s">
        <v>11</v>
      </c>
      <c r="AO2" s="1" t="s">
        <v>11</v>
      </c>
      <c r="AP2" s="1" t="s">
        <v>11</v>
      </c>
      <c r="AQ2" s="1" t="s">
        <v>11</v>
      </c>
      <c r="AR2" s="1" t="s">
        <v>11</v>
      </c>
      <c r="AS2" s="1" t="s">
        <v>11</v>
      </c>
      <c r="AT2" s="1" t="s">
        <v>11</v>
      </c>
      <c r="AU2" s="1" t="s">
        <v>11</v>
      </c>
      <c r="AV2" s="1" t="s">
        <v>11</v>
      </c>
      <c r="AW2" s="1" t="s">
        <v>11</v>
      </c>
      <c r="AX2" s="1" t="s">
        <v>11</v>
      </c>
      <c r="AY2" s="1" t="s">
        <v>11</v>
      </c>
      <c r="AZ2" s="1" t="s">
        <v>11</v>
      </c>
      <c r="BA2" s="1" t="s">
        <v>11</v>
      </c>
      <c r="BB2" s="1" t="s">
        <v>11</v>
      </c>
      <c r="BC2" s="1" t="s">
        <v>11</v>
      </c>
      <c r="BD2" s="1" t="s">
        <v>11</v>
      </c>
      <c r="BE2" s="1" t="s">
        <v>11</v>
      </c>
      <c r="BF2" s="1" t="s">
        <v>11</v>
      </c>
      <c r="BG2" s="1" t="s">
        <v>11</v>
      </c>
      <c r="BH2" s="1" t="s">
        <v>11</v>
      </c>
      <c r="BI2" s="1" t="s">
        <v>11</v>
      </c>
      <c r="BJ2" s="1" t="s">
        <v>11</v>
      </c>
      <c r="BK2" s="1" t="s">
        <v>11</v>
      </c>
      <c r="BL2" s="1" t="s">
        <v>11</v>
      </c>
      <c r="BM2" s="1" t="s">
        <v>11</v>
      </c>
      <c r="BN2" s="1" t="s">
        <v>11</v>
      </c>
      <c r="BO2" s="1" t="s">
        <v>11</v>
      </c>
      <c r="BP2" s="1" t="s">
        <v>11</v>
      </c>
      <c r="BQ2" s="1" t="s">
        <v>11</v>
      </c>
      <c r="BR2" s="1" t="s">
        <v>11</v>
      </c>
      <c r="BS2" s="1" t="s">
        <v>11</v>
      </c>
      <c r="BT2" s="1" t="s">
        <v>11</v>
      </c>
      <c r="BU2" s="1" t="s">
        <v>11</v>
      </c>
      <c r="BV2" s="1" t="s">
        <v>11</v>
      </c>
      <c r="BW2" s="1" t="s">
        <v>11</v>
      </c>
      <c r="BX2" s="1" t="s">
        <v>11</v>
      </c>
      <c r="BY2" s="1" t="s">
        <v>11</v>
      </c>
      <c r="BZ2" s="1" t="s">
        <v>11</v>
      </c>
      <c r="CA2" s="1" t="s">
        <v>11</v>
      </c>
      <c r="CB2" s="1" t="s">
        <v>11</v>
      </c>
      <c r="CC2" s="1" t="s">
        <v>11</v>
      </c>
      <c r="CD2" s="1" t="s">
        <v>11</v>
      </c>
      <c r="CE2" s="1" t="s">
        <v>11</v>
      </c>
      <c r="CF2" s="1" t="s">
        <v>11</v>
      </c>
      <c r="CG2" s="1" t="s">
        <v>11</v>
      </c>
      <c r="CH2" s="1" t="s">
        <v>11</v>
      </c>
      <c r="CI2" s="1" t="s">
        <v>11</v>
      </c>
      <c r="CJ2" s="1" t="s">
        <v>11</v>
      </c>
      <c r="CK2" s="1" t="s">
        <v>11</v>
      </c>
      <c r="CL2" s="1" t="s">
        <v>11</v>
      </c>
      <c r="CM2" s="1" t="s">
        <v>11</v>
      </c>
      <c r="CN2" s="1" t="s">
        <v>11</v>
      </c>
      <c r="CO2" s="1" t="s">
        <v>11</v>
      </c>
      <c r="CP2" s="1" t="s">
        <v>11</v>
      </c>
      <c r="CQ2" s="1" t="s">
        <v>11</v>
      </c>
      <c r="CR2" s="1" t="s">
        <v>11</v>
      </c>
      <c r="CS2" s="1" t="s">
        <v>11</v>
      </c>
      <c r="CT2" s="1" t="s">
        <v>11</v>
      </c>
      <c r="CU2" s="1" t="s">
        <v>11</v>
      </c>
      <c r="CV2" s="1" t="s">
        <v>11</v>
      </c>
      <c r="CW2" s="1" t="s">
        <v>11</v>
      </c>
      <c r="CX2" s="1" t="s">
        <v>11</v>
      </c>
      <c r="CY2" s="1" t="s">
        <v>11</v>
      </c>
      <c r="CZ2" s="1" t="s">
        <v>11</v>
      </c>
      <c r="DA2" s="1" t="s">
        <v>11</v>
      </c>
      <c r="DB2" s="1" t="s">
        <v>11</v>
      </c>
      <c r="DC2" s="1" t="s">
        <v>11</v>
      </c>
      <c r="DD2" s="1" t="s">
        <v>11</v>
      </c>
      <c r="DE2" s="1" t="s">
        <v>11</v>
      </c>
      <c r="DF2" s="1" t="s">
        <v>11</v>
      </c>
      <c r="DG2" s="1" t="s">
        <v>11</v>
      </c>
      <c r="DH2" s="1" t="s">
        <v>11</v>
      </c>
      <c r="DI2" s="1" t="s">
        <v>11</v>
      </c>
      <c r="DJ2" s="1" t="s">
        <v>11</v>
      </c>
      <c r="DK2" s="1" t="s">
        <v>11</v>
      </c>
      <c r="DL2" s="1" t="s">
        <v>11</v>
      </c>
      <c r="DM2" s="1" t="s">
        <v>11</v>
      </c>
      <c r="DN2" s="1" t="s">
        <v>11</v>
      </c>
      <c r="DO2" s="1" t="s">
        <v>11</v>
      </c>
      <c r="DP2" s="1" t="s">
        <v>11</v>
      </c>
      <c r="DQ2" s="1" t="s">
        <v>11</v>
      </c>
      <c r="DR2" s="1" t="s">
        <v>11</v>
      </c>
      <c r="DS2" s="1" t="s">
        <v>11</v>
      </c>
      <c r="DT2" s="1" t="s">
        <v>11</v>
      </c>
      <c r="DU2" s="1" t="s">
        <v>11</v>
      </c>
      <c r="DV2" s="1" t="s">
        <v>11</v>
      </c>
      <c r="DW2" s="1" t="s">
        <v>11</v>
      </c>
      <c r="DX2" s="1" t="s">
        <v>11</v>
      </c>
      <c r="DY2" s="1" t="s">
        <v>11</v>
      </c>
      <c r="DZ2" s="1" t="s">
        <v>11</v>
      </c>
      <c r="EA2" s="1" t="s">
        <v>11</v>
      </c>
      <c r="EB2" s="1" t="s">
        <v>11</v>
      </c>
      <c r="EC2" s="1" t="s">
        <v>11</v>
      </c>
      <c r="ED2" s="1" t="s">
        <v>11</v>
      </c>
      <c r="EE2" s="1" t="s">
        <v>11</v>
      </c>
      <c r="EF2" s="1" t="s">
        <v>11</v>
      </c>
      <c r="EG2" s="1" t="s">
        <v>11</v>
      </c>
      <c r="EH2" s="1" t="s">
        <v>11</v>
      </c>
      <c r="EI2" s="1" t="s">
        <v>11</v>
      </c>
      <c r="EJ2" s="1" t="s">
        <v>11</v>
      </c>
      <c r="EK2" s="1" t="s">
        <v>11</v>
      </c>
      <c r="EL2" s="1" t="s">
        <v>11</v>
      </c>
      <c r="EM2" s="1" t="s">
        <v>11</v>
      </c>
      <c r="EN2" s="1" t="s">
        <v>11</v>
      </c>
      <c r="EO2" s="1" t="s">
        <v>11</v>
      </c>
      <c r="EP2" s="1" t="s">
        <v>11</v>
      </c>
      <c r="EQ2" s="1" t="s">
        <v>11</v>
      </c>
      <c r="ER2" s="1" t="s">
        <v>11</v>
      </c>
      <c r="ES2" s="1" t="s">
        <v>11</v>
      </c>
      <c r="ET2" s="1" t="s">
        <v>11</v>
      </c>
      <c r="EU2" s="1" t="s">
        <v>11</v>
      </c>
      <c r="EV2" s="1" t="s">
        <v>11</v>
      </c>
      <c r="EW2" s="1" t="s">
        <v>11</v>
      </c>
      <c r="EX2" s="1" t="s">
        <v>11</v>
      </c>
      <c r="EY2" s="1" t="s">
        <v>11</v>
      </c>
      <c r="EZ2" s="1" t="s">
        <v>11</v>
      </c>
      <c r="FA2" s="1" t="s">
        <v>11</v>
      </c>
      <c r="FB2" s="1" t="s">
        <v>11</v>
      </c>
      <c r="FC2" s="1" t="s">
        <v>11</v>
      </c>
      <c r="FD2" s="1" t="s">
        <v>11</v>
      </c>
      <c r="FE2" s="1" t="s">
        <v>11</v>
      </c>
      <c r="FF2" s="1" t="s">
        <v>11</v>
      </c>
      <c r="FG2" s="1" t="s">
        <v>11</v>
      </c>
      <c r="FH2" s="1" t="s">
        <v>11</v>
      </c>
      <c r="FI2" s="1" t="s">
        <v>11</v>
      </c>
      <c r="FJ2" s="1" t="s">
        <v>11</v>
      </c>
      <c r="FK2" s="1" t="s">
        <v>11</v>
      </c>
      <c r="FL2" s="1" t="s">
        <v>11</v>
      </c>
      <c r="FM2" s="1" t="s">
        <v>11</v>
      </c>
      <c r="FN2" s="1" t="s">
        <v>11</v>
      </c>
      <c r="FO2" s="1" t="s">
        <v>11</v>
      </c>
      <c r="FP2" s="1" t="s">
        <v>11</v>
      </c>
      <c r="FQ2" s="1" t="s">
        <v>11</v>
      </c>
      <c r="FR2" s="1" t="s">
        <v>11</v>
      </c>
      <c r="FS2" s="1" t="s">
        <v>11</v>
      </c>
      <c r="FT2" s="1" t="s">
        <v>11</v>
      </c>
      <c r="FU2" s="1" t="s">
        <v>11</v>
      </c>
      <c r="FV2" s="1" t="s">
        <v>11</v>
      </c>
      <c r="FW2" s="1" t="s">
        <v>11</v>
      </c>
      <c r="FX2" s="1" t="s">
        <v>11</v>
      </c>
      <c r="FY2" s="1" t="s">
        <v>11</v>
      </c>
      <c r="FZ2" s="1" t="s">
        <v>11</v>
      </c>
      <c r="GA2" s="1" t="s">
        <v>11</v>
      </c>
      <c r="GB2" s="1" t="s">
        <v>11</v>
      </c>
      <c r="GC2" s="1" t="s">
        <v>11</v>
      </c>
      <c r="GD2" s="1" t="s">
        <v>11</v>
      </c>
      <c r="GE2" s="1" t="s">
        <v>11</v>
      </c>
      <c r="GF2" s="1" t="s">
        <v>11</v>
      </c>
      <c r="GG2" s="1" t="s">
        <v>11</v>
      </c>
      <c r="GH2" s="1" t="s">
        <v>11</v>
      </c>
      <c r="GI2" s="1" t="s">
        <v>11</v>
      </c>
      <c r="GJ2" s="1" t="s">
        <v>11</v>
      </c>
      <c r="GK2" s="1" t="s">
        <v>11</v>
      </c>
      <c r="GL2" s="1" t="s">
        <v>11</v>
      </c>
      <c r="GM2" s="1"/>
      <c r="GN2" s="1" t="s">
        <v>11</v>
      </c>
      <c r="GO2" s="1" t="s">
        <v>11</v>
      </c>
      <c r="GP2" s="1" t="s">
        <v>11</v>
      </c>
      <c r="GQ2" s="1" t="s">
        <v>11</v>
      </c>
      <c r="GR2" s="1" t="s">
        <v>11</v>
      </c>
      <c r="GS2" s="1" t="s">
        <v>11</v>
      </c>
      <c r="GT2" s="1" t="s">
        <v>11</v>
      </c>
      <c r="GU2" s="1" t="s">
        <v>11</v>
      </c>
      <c r="GV2" s="1" t="s">
        <v>11</v>
      </c>
      <c r="GW2" s="1" t="s">
        <v>11</v>
      </c>
      <c r="GX2" s="1" t="s">
        <v>11</v>
      </c>
      <c r="GY2" s="1" t="s">
        <v>11</v>
      </c>
      <c r="GZ2" s="1" t="s">
        <v>11</v>
      </c>
      <c r="HA2" s="1" t="s">
        <v>11</v>
      </c>
      <c r="HB2" s="1" t="s">
        <v>11</v>
      </c>
      <c r="HC2" s="1" t="s">
        <v>11</v>
      </c>
      <c r="HD2" s="1" t="s">
        <v>11</v>
      </c>
      <c r="HE2" s="1" t="s">
        <v>11</v>
      </c>
      <c r="HF2" s="1"/>
      <c r="HG2" s="1" t="s">
        <v>11</v>
      </c>
      <c r="HH2" s="1" t="s">
        <v>11</v>
      </c>
      <c r="HI2" s="1" t="s">
        <v>11</v>
      </c>
      <c r="HJ2" s="1" t="s">
        <v>11</v>
      </c>
      <c r="HK2" s="1" t="s">
        <v>11</v>
      </c>
      <c r="HL2" s="1" t="s">
        <v>11</v>
      </c>
      <c r="HM2" s="1" t="s">
        <v>11</v>
      </c>
      <c r="HN2" s="1" t="s">
        <v>11</v>
      </c>
      <c r="HO2" s="1" t="s">
        <v>11</v>
      </c>
      <c r="HP2" s="1" t="s">
        <v>11</v>
      </c>
      <c r="HQ2" s="1" t="s">
        <v>11</v>
      </c>
      <c r="HR2" s="1" t="s">
        <v>11</v>
      </c>
      <c r="HS2" s="1" t="s">
        <v>11</v>
      </c>
      <c r="HT2" s="1" t="s">
        <v>11</v>
      </c>
      <c r="HU2" s="1" t="s">
        <v>11</v>
      </c>
      <c r="HV2" s="1" t="s">
        <v>11</v>
      </c>
      <c r="HW2" s="1" t="s">
        <v>11</v>
      </c>
      <c r="HX2" s="1" t="s">
        <v>11</v>
      </c>
      <c r="HY2" s="1" t="s">
        <v>11</v>
      </c>
      <c r="HZ2" s="1" t="s">
        <v>11</v>
      </c>
      <c r="IA2" s="1" t="s">
        <v>11</v>
      </c>
      <c r="IB2" s="1" t="s">
        <v>11</v>
      </c>
      <c r="IC2" s="1" t="s">
        <v>11</v>
      </c>
      <c r="ID2" s="1" t="s">
        <v>11</v>
      </c>
      <c r="IE2" s="1" t="s">
        <v>11</v>
      </c>
      <c r="IF2" s="1" t="s">
        <v>11</v>
      </c>
      <c r="IG2" s="1" t="s">
        <v>11</v>
      </c>
      <c r="IH2" s="1" t="s">
        <v>11</v>
      </c>
      <c r="II2" s="1" t="s">
        <v>11</v>
      </c>
      <c r="IJ2" s="1" t="s">
        <v>11</v>
      </c>
      <c r="IK2" s="1" t="s">
        <v>11</v>
      </c>
      <c r="IL2" s="1" t="s">
        <v>11</v>
      </c>
      <c r="IM2" s="1" t="s">
        <v>11</v>
      </c>
      <c r="IN2" s="1" t="s">
        <v>11</v>
      </c>
      <c r="IO2" s="33" t="s">
        <v>11</v>
      </c>
      <c r="IP2" s="33" t="s">
        <v>11</v>
      </c>
      <c r="IQ2" s="33" t="s">
        <v>11</v>
      </c>
      <c r="IR2" s="33" t="s">
        <v>11</v>
      </c>
      <c r="IS2" s="33" t="s">
        <v>11</v>
      </c>
      <c r="IT2" s="33" t="s">
        <v>11</v>
      </c>
      <c r="IU2" s="33" t="s">
        <v>11</v>
      </c>
      <c r="IV2" s="33" t="s">
        <v>11</v>
      </c>
      <c r="IW2" s="33" t="s">
        <v>11</v>
      </c>
      <c r="IX2" s="33" t="s">
        <v>11</v>
      </c>
      <c r="IY2" s="33" t="s">
        <v>11</v>
      </c>
      <c r="IZ2" s="33" t="s">
        <v>11</v>
      </c>
      <c r="JA2" s="33" t="s">
        <v>11</v>
      </c>
      <c r="JB2" s="33" t="s">
        <v>11</v>
      </c>
      <c r="JC2" s="33" t="s">
        <v>11</v>
      </c>
      <c r="JD2" s="33" t="s">
        <v>11</v>
      </c>
      <c r="JE2" s="33" t="s">
        <v>11</v>
      </c>
      <c r="JF2" s="33" t="s">
        <v>11</v>
      </c>
      <c r="JG2" s="33" t="s">
        <v>11</v>
      </c>
      <c r="JH2" s="33" t="s">
        <v>11</v>
      </c>
      <c r="JI2" s="33" t="s">
        <v>11</v>
      </c>
      <c r="JJ2" s="33" t="s">
        <v>11</v>
      </c>
      <c r="JK2" s="33" t="s">
        <v>11</v>
      </c>
      <c r="JL2" s="33" t="s">
        <v>11</v>
      </c>
      <c r="JM2" s="33" t="s">
        <v>11</v>
      </c>
      <c r="JN2" s="33" t="s">
        <v>11</v>
      </c>
      <c r="JO2" s="33" t="s">
        <v>11</v>
      </c>
      <c r="JP2" s="33" t="s">
        <v>11</v>
      </c>
      <c r="JQ2" s="33" t="s">
        <v>11</v>
      </c>
      <c r="JR2" s="33" t="s">
        <v>11</v>
      </c>
      <c r="JS2" s="33" t="s">
        <v>11</v>
      </c>
      <c r="JT2" s="33" t="s">
        <v>11</v>
      </c>
      <c r="JU2" s="33" t="s">
        <v>11</v>
      </c>
      <c r="JV2" s="33" t="s">
        <v>11</v>
      </c>
      <c r="JW2" s="33" t="s">
        <v>11</v>
      </c>
      <c r="JX2" s="33" t="s">
        <v>11</v>
      </c>
      <c r="JY2" s="33" t="s">
        <v>11</v>
      </c>
      <c r="JZ2" s="33" t="s">
        <v>11</v>
      </c>
      <c r="KA2" s="33" t="s">
        <v>11</v>
      </c>
      <c r="KB2" s="33" t="s">
        <v>11</v>
      </c>
      <c r="KC2" s="33" t="s">
        <v>11</v>
      </c>
      <c r="KD2" s="33" t="s">
        <v>11</v>
      </c>
      <c r="KE2" s="33" t="s">
        <v>11</v>
      </c>
      <c r="KF2" s="33" t="s">
        <v>11</v>
      </c>
      <c r="KG2" s="33" t="s">
        <v>11</v>
      </c>
      <c r="KH2" s="33" t="s">
        <v>11</v>
      </c>
      <c r="KI2" s="33" t="s">
        <v>11</v>
      </c>
      <c r="KJ2" s="33" t="s">
        <v>11</v>
      </c>
      <c r="KK2" s="33" t="s">
        <v>11</v>
      </c>
      <c r="KL2" s="33" t="s">
        <v>11</v>
      </c>
      <c r="KM2" s="33" t="s">
        <v>11</v>
      </c>
      <c r="KN2" s="33" t="s">
        <v>11</v>
      </c>
      <c r="KO2" s="33" t="s">
        <v>11</v>
      </c>
      <c r="KP2" s="33" t="s">
        <v>11</v>
      </c>
      <c r="KQ2" s="33" t="s">
        <v>11</v>
      </c>
      <c r="KR2" s="33" t="s">
        <v>11</v>
      </c>
      <c r="KS2" s="33" t="s">
        <v>11</v>
      </c>
      <c r="KT2" s="33" t="s">
        <v>11</v>
      </c>
      <c r="KU2" s="33"/>
      <c r="KV2" s="33"/>
      <c r="KW2" s="33"/>
      <c r="KX2" s="33"/>
      <c r="KY2" s="33"/>
      <c r="KZ2" s="33"/>
      <c r="LA2" s="33"/>
      <c r="LB2" s="33"/>
      <c r="LC2" s="33"/>
      <c r="LD2" s="33"/>
      <c r="LE2" s="33"/>
      <c r="LF2" s="5" t="s">
        <v>13</v>
      </c>
    </row>
    <row r="3" spans="1:318" x14ac:dyDescent="0.3">
      <c r="B3" s="33" t="s">
        <v>176</v>
      </c>
      <c r="C3" s="33" t="s">
        <v>0</v>
      </c>
      <c r="D3" s="8" t="s">
        <v>6</v>
      </c>
      <c r="E3" s="36">
        <v>43687</v>
      </c>
      <c r="F3" s="29">
        <v>43690</v>
      </c>
      <c r="G3" s="29">
        <v>43691</v>
      </c>
      <c r="H3" s="29">
        <v>43700</v>
      </c>
      <c r="I3" s="29">
        <v>43703</v>
      </c>
      <c r="J3" s="29">
        <v>43704</v>
      </c>
      <c r="K3" s="29">
        <v>43712</v>
      </c>
      <c r="L3" s="29">
        <v>43717</v>
      </c>
      <c r="M3" s="29">
        <v>43718</v>
      </c>
      <c r="N3" s="29">
        <v>43720</v>
      </c>
      <c r="O3" s="29">
        <v>43727</v>
      </c>
      <c r="P3" s="29">
        <v>43745</v>
      </c>
      <c r="Q3" s="29">
        <v>43756</v>
      </c>
      <c r="R3" s="29">
        <v>43759</v>
      </c>
      <c r="S3" s="29">
        <v>43768</v>
      </c>
      <c r="T3" s="29">
        <v>43769</v>
      </c>
      <c r="U3" s="29">
        <v>43770</v>
      </c>
      <c r="V3" s="29">
        <v>43771</v>
      </c>
      <c r="W3" s="29">
        <v>43776</v>
      </c>
      <c r="X3" s="29">
        <v>43777</v>
      </c>
      <c r="Y3" s="29">
        <v>43789</v>
      </c>
      <c r="Z3" s="29">
        <v>43790</v>
      </c>
      <c r="AA3" s="29">
        <v>43795</v>
      </c>
      <c r="AB3" s="29">
        <v>43796</v>
      </c>
      <c r="AC3" s="29">
        <v>43808</v>
      </c>
      <c r="AD3" s="29">
        <v>43809</v>
      </c>
      <c r="AE3" s="29">
        <v>43822</v>
      </c>
      <c r="AF3" s="29">
        <v>43825</v>
      </c>
      <c r="AG3" s="29">
        <v>43826</v>
      </c>
      <c r="AH3" s="29">
        <v>43833</v>
      </c>
      <c r="AI3" s="29">
        <v>43843</v>
      </c>
      <c r="AJ3" s="29">
        <v>43847</v>
      </c>
      <c r="AK3" s="29">
        <v>43854</v>
      </c>
      <c r="AL3" s="29">
        <v>43859</v>
      </c>
      <c r="AM3" s="29">
        <v>43871</v>
      </c>
      <c r="AN3" s="29">
        <v>43872</v>
      </c>
      <c r="AO3" s="29">
        <v>43873</v>
      </c>
      <c r="AP3" s="29">
        <v>43874</v>
      </c>
      <c r="AQ3" s="29">
        <v>43875</v>
      </c>
      <c r="AR3" s="29">
        <v>43878</v>
      </c>
      <c r="AS3" s="29">
        <v>43879</v>
      </c>
      <c r="AT3" s="29">
        <v>43880</v>
      </c>
      <c r="AU3" s="29">
        <v>43883</v>
      </c>
      <c r="AV3" s="29">
        <v>43888</v>
      </c>
      <c r="AW3" s="29">
        <v>43889</v>
      </c>
      <c r="AX3" s="29">
        <v>43890</v>
      </c>
      <c r="AY3" s="29">
        <v>43893</v>
      </c>
      <c r="AZ3" s="29">
        <v>43896</v>
      </c>
      <c r="BA3" s="29">
        <v>43900</v>
      </c>
      <c r="BB3" s="29">
        <v>43909</v>
      </c>
      <c r="BC3" s="29">
        <v>43917</v>
      </c>
      <c r="BD3" s="29">
        <v>43923</v>
      </c>
      <c r="BE3" s="29">
        <v>43924</v>
      </c>
      <c r="BF3" s="29">
        <v>43929</v>
      </c>
      <c r="BG3" s="29">
        <v>43942</v>
      </c>
      <c r="BH3" s="29">
        <v>43949</v>
      </c>
      <c r="BI3" s="29">
        <v>43962</v>
      </c>
      <c r="BJ3" s="29">
        <v>43970</v>
      </c>
      <c r="BK3" s="29">
        <v>43971</v>
      </c>
      <c r="BL3" s="29">
        <v>43972</v>
      </c>
      <c r="BM3" s="29">
        <v>44000</v>
      </c>
      <c r="BN3" s="29">
        <v>44012</v>
      </c>
      <c r="BO3" s="29">
        <v>44013</v>
      </c>
      <c r="BP3" s="29">
        <v>44014</v>
      </c>
      <c r="BQ3" s="29">
        <v>44015</v>
      </c>
      <c r="BR3" s="29">
        <v>44021</v>
      </c>
      <c r="BS3" s="29">
        <v>44026</v>
      </c>
      <c r="BT3" s="29">
        <v>44027</v>
      </c>
      <c r="BU3" s="29">
        <v>44028</v>
      </c>
      <c r="BV3" s="29">
        <v>44039</v>
      </c>
      <c r="BW3" s="29">
        <v>44040</v>
      </c>
      <c r="BX3" s="29">
        <v>44041</v>
      </c>
      <c r="BY3" s="29">
        <v>44042</v>
      </c>
      <c r="BZ3" s="29">
        <v>44043</v>
      </c>
      <c r="CA3" s="29">
        <v>44053</v>
      </c>
      <c r="CB3" s="29">
        <v>44054</v>
      </c>
      <c r="CC3" s="29">
        <v>44055</v>
      </c>
      <c r="CD3" s="29">
        <v>44060</v>
      </c>
      <c r="CE3" s="29">
        <v>44061</v>
      </c>
      <c r="CF3" s="29">
        <v>44068</v>
      </c>
      <c r="CG3" s="29">
        <v>44082</v>
      </c>
      <c r="CH3" s="29">
        <v>44083</v>
      </c>
      <c r="CI3" s="29">
        <v>44089</v>
      </c>
      <c r="CJ3" s="29">
        <v>44095</v>
      </c>
      <c r="CK3" s="29">
        <v>44096</v>
      </c>
      <c r="CL3" s="29">
        <v>44097</v>
      </c>
      <c r="CM3" s="29">
        <v>44103</v>
      </c>
      <c r="CN3" s="29">
        <v>44104</v>
      </c>
      <c r="CO3" s="29">
        <v>44110</v>
      </c>
      <c r="CP3" s="29">
        <v>44111</v>
      </c>
      <c r="CQ3" s="29">
        <v>44112</v>
      </c>
      <c r="CR3" s="29">
        <v>44117</v>
      </c>
      <c r="CS3" s="29">
        <v>44118</v>
      </c>
      <c r="CT3" s="29">
        <v>44120</v>
      </c>
      <c r="CU3" s="29">
        <v>44123</v>
      </c>
      <c r="CV3" s="29">
        <v>44124</v>
      </c>
      <c r="CW3" s="29">
        <v>44130</v>
      </c>
      <c r="CX3" s="29">
        <v>44131</v>
      </c>
      <c r="CY3" s="29">
        <v>44132</v>
      </c>
      <c r="CZ3" s="29">
        <v>44137</v>
      </c>
      <c r="DA3" s="29">
        <v>44139</v>
      </c>
      <c r="DB3" s="29">
        <v>44140</v>
      </c>
      <c r="DC3" s="29">
        <v>44141</v>
      </c>
      <c r="DD3" s="29">
        <v>44146</v>
      </c>
      <c r="DE3" s="29">
        <v>44147</v>
      </c>
      <c r="DF3" s="29">
        <v>44151</v>
      </c>
      <c r="DG3" s="29">
        <v>44154</v>
      </c>
      <c r="DH3" s="29">
        <v>44155</v>
      </c>
      <c r="DI3" s="29">
        <v>44156</v>
      </c>
      <c r="DJ3" s="29">
        <v>44165</v>
      </c>
      <c r="DK3" s="29">
        <v>44166</v>
      </c>
      <c r="DL3" s="29">
        <v>44169</v>
      </c>
      <c r="DM3" s="29">
        <v>44180</v>
      </c>
      <c r="DN3" s="29">
        <v>44184</v>
      </c>
      <c r="DO3" s="29">
        <v>44551</v>
      </c>
      <c r="DP3" s="29">
        <v>44560</v>
      </c>
      <c r="DQ3" s="29">
        <v>44210</v>
      </c>
      <c r="DR3" s="29">
        <v>44211</v>
      </c>
      <c r="DS3" s="29">
        <v>44216</v>
      </c>
      <c r="DT3" s="29">
        <v>44218</v>
      </c>
      <c r="DU3" s="29">
        <v>44223</v>
      </c>
      <c r="DV3" s="29">
        <v>44224</v>
      </c>
      <c r="DW3" s="29">
        <v>44229</v>
      </c>
      <c r="DX3" s="29">
        <v>44231</v>
      </c>
      <c r="DY3" s="29">
        <v>44237</v>
      </c>
      <c r="DZ3" s="29">
        <v>44239</v>
      </c>
      <c r="EA3" s="29">
        <v>44245</v>
      </c>
      <c r="EB3" s="29">
        <v>44250</v>
      </c>
      <c r="EC3" s="29">
        <v>44310</v>
      </c>
      <c r="ED3" s="29">
        <v>44252</v>
      </c>
      <c r="EE3" s="29">
        <v>44258</v>
      </c>
      <c r="EF3" s="29">
        <v>44259</v>
      </c>
      <c r="EG3" s="29">
        <v>44263</v>
      </c>
      <c r="EH3" s="29">
        <v>44266</v>
      </c>
      <c r="EI3" s="29">
        <v>44267</v>
      </c>
      <c r="EJ3" s="29">
        <v>44294</v>
      </c>
      <c r="EK3" s="29">
        <v>44307</v>
      </c>
      <c r="EL3" s="29">
        <v>44308</v>
      </c>
      <c r="EM3" s="29">
        <v>44309</v>
      </c>
      <c r="EN3" s="29">
        <v>44310</v>
      </c>
      <c r="EO3" s="29">
        <v>44312</v>
      </c>
      <c r="EP3" s="29">
        <v>44313</v>
      </c>
      <c r="EQ3" s="29">
        <v>44314</v>
      </c>
      <c r="ER3" s="29">
        <v>44319</v>
      </c>
      <c r="ES3" s="29">
        <v>44320</v>
      </c>
      <c r="ET3" s="29">
        <v>44321</v>
      </c>
      <c r="EU3" s="29">
        <v>44322</v>
      </c>
      <c r="EV3" s="29">
        <v>44323</v>
      </c>
      <c r="EW3" s="29">
        <v>44336</v>
      </c>
      <c r="EX3" s="29">
        <v>44337</v>
      </c>
      <c r="EY3" s="29">
        <v>44341</v>
      </c>
      <c r="EZ3" s="29">
        <v>44341</v>
      </c>
      <c r="FA3" s="29">
        <v>44350</v>
      </c>
      <c r="FB3" s="29">
        <v>44358</v>
      </c>
      <c r="FC3" s="29">
        <v>44369</v>
      </c>
      <c r="FD3" s="29">
        <v>44370</v>
      </c>
      <c r="FE3" s="29">
        <v>44377</v>
      </c>
      <c r="FF3" s="29">
        <v>44384</v>
      </c>
      <c r="FG3" s="29">
        <v>44392</v>
      </c>
      <c r="FH3" s="29">
        <v>44399</v>
      </c>
      <c r="FI3" s="29">
        <v>44400</v>
      </c>
      <c r="FJ3" s="29">
        <v>44403</v>
      </c>
      <c r="FK3" s="29">
        <v>44419</v>
      </c>
      <c r="FL3" s="29">
        <v>44426</v>
      </c>
      <c r="FM3" s="29">
        <v>44442</v>
      </c>
      <c r="FN3" s="29">
        <v>44443</v>
      </c>
      <c r="FO3" s="29">
        <v>44449</v>
      </c>
      <c r="FP3" s="29">
        <v>44454</v>
      </c>
      <c r="FQ3" s="29">
        <v>44455</v>
      </c>
      <c r="FR3" s="29">
        <v>44470</v>
      </c>
      <c r="FS3" s="29">
        <v>44476</v>
      </c>
      <c r="FT3" s="29">
        <v>44477</v>
      </c>
      <c r="FU3" s="29">
        <v>44483</v>
      </c>
      <c r="FV3" s="29">
        <v>44488</v>
      </c>
      <c r="FW3" s="29">
        <v>44489</v>
      </c>
      <c r="FX3" s="29">
        <v>44493</v>
      </c>
      <c r="FY3" s="29">
        <v>44496</v>
      </c>
      <c r="FZ3" s="29">
        <v>44501</v>
      </c>
      <c r="GA3" s="29">
        <v>44504</v>
      </c>
      <c r="GB3" s="29">
        <v>44505</v>
      </c>
      <c r="GC3" s="29">
        <v>44510</v>
      </c>
      <c r="GD3" s="29">
        <v>44512</v>
      </c>
      <c r="GE3" s="29">
        <v>44516</v>
      </c>
      <c r="GF3" s="29">
        <v>44517</v>
      </c>
      <c r="GG3" s="29">
        <v>44523</v>
      </c>
      <c r="GH3" s="29">
        <v>44527</v>
      </c>
      <c r="GI3" s="29">
        <v>44529</v>
      </c>
      <c r="GJ3" s="29">
        <v>44530</v>
      </c>
      <c r="GK3" s="29">
        <v>44546</v>
      </c>
      <c r="GL3" s="29">
        <v>44547</v>
      </c>
      <c r="GM3" s="29">
        <v>44550</v>
      </c>
      <c r="GN3" s="29">
        <v>44558</v>
      </c>
      <c r="GO3" s="29">
        <v>44564</v>
      </c>
      <c r="GP3" s="29">
        <v>44565</v>
      </c>
      <c r="GQ3" s="29">
        <v>44566</v>
      </c>
      <c r="GR3" s="29">
        <v>44567</v>
      </c>
      <c r="GS3" s="29">
        <v>44568</v>
      </c>
      <c r="GT3" s="29">
        <v>44579</v>
      </c>
      <c r="GU3" s="29">
        <v>44593</v>
      </c>
      <c r="GV3" s="29">
        <v>44608</v>
      </c>
      <c r="GW3" s="29">
        <v>44609</v>
      </c>
      <c r="GX3" s="29">
        <v>44613</v>
      </c>
      <c r="GY3" s="29">
        <v>44615</v>
      </c>
      <c r="GZ3" s="29">
        <v>44617</v>
      </c>
      <c r="HA3" s="29">
        <v>44624</v>
      </c>
      <c r="HB3" s="29">
        <v>44625</v>
      </c>
      <c r="HC3" s="29">
        <v>44631</v>
      </c>
      <c r="HD3" s="29">
        <v>44636</v>
      </c>
      <c r="HE3" s="29">
        <v>44637</v>
      </c>
      <c r="HF3" s="29">
        <v>44638</v>
      </c>
      <c r="HG3" s="29">
        <v>44642</v>
      </c>
      <c r="HH3" s="29">
        <v>44673</v>
      </c>
      <c r="HI3" s="29">
        <v>44674</v>
      </c>
      <c r="HJ3" s="29">
        <v>44677</v>
      </c>
      <c r="HK3" s="29">
        <v>44683</v>
      </c>
      <c r="HL3" s="29">
        <v>44684</v>
      </c>
      <c r="HM3" s="29">
        <v>44685</v>
      </c>
      <c r="HN3" s="29">
        <v>44692</v>
      </c>
      <c r="HO3" s="29">
        <v>44720</v>
      </c>
      <c r="HP3" s="29">
        <v>44721</v>
      </c>
      <c r="HQ3" s="29">
        <v>44722</v>
      </c>
      <c r="HR3" s="29">
        <v>44725</v>
      </c>
      <c r="HS3" s="29">
        <v>44726</v>
      </c>
      <c r="HT3" s="29">
        <v>44727</v>
      </c>
      <c r="HU3" s="29">
        <v>44734</v>
      </c>
      <c r="HV3" s="29">
        <v>44735</v>
      </c>
      <c r="HW3" s="29">
        <v>44740</v>
      </c>
      <c r="HX3" s="29">
        <v>44741</v>
      </c>
      <c r="HY3" s="29">
        <v>44742</v>
      </c>
      <c r="HZ3" s="29">
        <v>44743</v>
      </c>
      <c r="IA3" s="29">
        <v>44749</v>
      </c>
      <c r="IB3" s="29">
        <v>44755</v>
      </c>
      <c r="IC3" s="29">
        <v>44757</v>
      </c>
      <c r="ID3" s="29">
        <v>44771</v>
      </c>
      <c r="IE3" s="29">
        <v>44774</v>
      </c>
      <c r="IF3" s="29">
        <v>44775</v>
      </c>
      <c r="IG3" s="29">
        <v>44776</v>
      </c>
      <c r="IH3" s="29">
        <v>44781</v>
      </c>
      <c r="II3" s="29">
        <v>44784</v>
      </c>
      <c r="IJ3" s="29">
        <v>44798</v>
      </c>
      <c r="IK3" s="29">
        <v>44802</v>
      </c>
      <c r="IL3" s="29">
        <v>44804</v>
      </c>
      <c r="IM3" s="29">
        <v>44811</v>
      </c>
      <c r="IN3" s="29">
        <v>44813</v>
      </c>
      <c r="IO3" s="29">
        <v>44825</v>
      </c>
      <c r="IP3" s="29">
        <v>44845</v>
      </c>
      <c r="IQ3" s="29">
        <v>44848</v>
      </c>
      <c r="IR3" s="29">
        <v>44849</v>
      </c>
      <c r="IS3" s="29">
        <v>44853</v>
      </c>
      <c r="IT3" s="29">
        <v>44854</v>
      </c>
      <c r="IU3" s="29">
        <v>44868</v>
      </c>
      <c r="IV3" s="29">
        <v>44874</v>
      </c>
      <c r="IW3" s="29">
        <v>44876</v>
      </c>
      <c r="IX3" s="29">
        <v>44880</v>
      </c>
      <c r="IY3" s="29">
        <v>44881</v>
      </c>
      <c r="IZ3" s="29">
        <v>44882</v>
      </c>
      <c r="JA3" s="29">
        <v>44887</v>
      </c>
      <c r="JB3" s="29">
        <v>44889</v>
      </c>
      <c r="JC3" s="29">
        <v>44902</v>
      </c>
      <c r="JD3" s="29">
        <v>44903</v>
      </c>
      <c r="JE3" s="29">
        <v>44908</v>
      </c>
      <c r="JF3" s="29">
        <v>44909</v>
      </c>
      <c r="JG3" s="29">
        <v>44918</v>
      </c>
      <c r="JH3" s="29">
        <v>44929</v>
      </c>
      <c r="JI3" s="29">
        <v>44949</v>
      </c>
      <c r="JJ3" s="29">
        <v>44950</v>
      </c>
      <c r="JK3" s="29">
        <v>44953</v>
      </c>
      <c r="JL3" s="29">
        <v>44956</v>
      </c>
      <c r="JM3" s="29">
        <v>44965</v>
      </c>
      <c r="JN3" s="29">
        <v>44971</v>
      </c>
      <c r="JO3" s="29">
        <v>44973</v>
      </c>
      <c r="JP3" s="29">
        <v>44981</v>
      </c>
      <c r="JQ3" s="29">
        <v>44985</v>
      </c>
      <c r="JR3" s="29">
        <v>44986</v>
      </c>
      <c r="JS3" s="29">
        <v>44987</v>
      </c>
      <c r="JT3" s="29">
        <v>44993</v>
      </c>
      <c r="JU3" s="29">
        <v>45021</v>
      </c>
      <c r="JV3" s="29">
        <v>45026</v>
      </c>
      <c r="JW3" s="29">
        <v>45027</v>
      </c>
      <c r="JX3" s="29">
        <v>45028</v>
      </c>
      <c r="JY3" s="29">
        <v>45033</v>
      </c>
      <c r="JZ3" s="29">
        <v>45036</v>
      </c>
      <c r="KA3" s="29">
        <v>45041</v>
      </c>
      <c r="KB3" s="29">
        <v>45054</v>
      </c>
      <c r="KC3" s="29">
        <v>45056</v>
      </c>
      <c r="KD3" s="29">
        <v>45063</v>
      </c>
      <c r="KE3" s="29">
        <v>45064</v>
      </c>
      <c r="KF3" s="29">
        <v>45068</v>
      </c>
      <c r="KG3" s="29">
        <v>45069</v>
      </c>
      <c r="KH3" s="29">
        <v>45076</v>
      </c>
      <c r="KI3" s="29">
        <v>45077</v>
      </c>
      <c r="KJ3" s="29">
        <v>45078</v>
      </c>
      <c r="KK3" s="29">
        <v>45085</v>
      </c>
      <c r="KL3" s="29">
        <v>45092</v>
      </c>
      <c r="KM3" s="29">
        <v>45093</v>
      </c>
      <c r="KN3" s="29">
        <v>45097</v>
      </c>
      <c r="KO3" s="29">
        <v>45098</v>
      </c>
      <c r="KP3" s="29">
        <v>45099</v>
      </c>
      <c r="KQ3" s="29">
        <v>45105</v>
      </c>
      <c r="KR3" s="109">
        <v>45107</v>
      </c>
      <c r="KS3" s="110">
        <v>45120</v>
      </c>
      <c r="KT3" s="36">
        <v>45121</v>
      </c>
      <c r="KU3" s="29"/>
      <c r="KV3" s="29"/>
      <c r="KW3" s="29"/>
      <c r="KX3" s="29"/>
      <c r="KY3" s="29"/>
      <c r="KZ3" s="29"/>
      <c r="LA3" s="29"/>
      <c r="LB3" s="29"/>
      <c r="LC3" s="29"/>
      <c r="LD3" s="29"/>
      <c r="LE3" s="29"/>
      <c r="LF3" s="29">
        <f ca="1">TODAY()</f>
        <v>45124</v>
      </c>
    </row>
    <row r="4" spans="1:318" s="11" customFormat="1" hidden="1" x14ac:dyDescent="0.3">
      <c r="B4" s="63">
        <v>45312905</v>
      </c>
      <c r="C4" s="32" t="s">
        <v>53</v>
      </c>
      <c r="D4" s="34" t="s">
        <v>3</v>
      </c>
      <c r="E4" s="6">
        <v>1760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>
        <v>1760</v>
      </c>
      <c r="R4" s="7"/>
      <c r="S4" s="7"/>
      <c r="T4" s="7">
        <v>1760</v>
      </c>
      <c r="U4" s="7"/>
      <c r="V4" s="7"/>
      <c r="W4" s="7"/>
      <c r="X4" s="7"/>
      <c r="Y4" s="7"/>
      <c r="Z4" s="7"/>
      <c r="AA4" s="7"/>
      <c r="AB4" s="7"/>
      <c r="AC4" s="7"/>
      <c r="AD4" s="7"/>
      <c r="AE4" s="7">
        <f>1760+1760+1760</f>
        <v>5280</v>
      </c>
      <c r="AF4" s="7"/>
      <c r="AG4" s="7">
        <f>880+880</f>
        <v>1760</v>
      </c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>
        <v>1760</v>
      </c>
      <c r="AW4" s="7"/>
      <c r="AX4" s="7">
        <v>1760</v>
      </c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>
        <v>1760</v>
      </c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>
        <v>1760</v>
      </c>
      <c r="DH4" s="7">
        <v>1760</v>
      </c>
      <c r="DI4" s="7"/>
      <c r="DJ4" s="7"/>
      <c r="DK4" s="7"/>
      <c r="DL4" s="7"/>
      <c r="DM4" s="7"/>
      <c r="DN4" s="7">
        <f>1760+1760</f>
        <v>3520</v>
      </c>
      <c r="DO4" s="7"/>
      <c r="DP4" s="7"/>
      <c r="DQ4" s="7">
        <f>1760+1760</f>
        <v>3520</v>
      </c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>
        <f>880+880+880</f>
        <v>2640</v>
      </c>
      <c r="ED4" s="7">
        <f>880+880+880</f>
        <v>2640</v>
      </c>
      <c r="EE4" s="7"/>
      <c r="EF4" s="7"/>
      <c r="EG4" s="7"/>
      <c r="EH4" s="7"/>
      <c r="EI4" s="7"/>
      <c r="EJ4" s="7"/>
      <c r="EK4" s="7"/>
      <c r="EL4" s="7"/>
      <c r="EM4" s="7"/>
      <c r="EN4" s="7"/>
      <c r="EO4" s="7">
        <f>880+880+880</f>
        <v>2640</v>
      </c>
      <c r="EP4" s="7">
        <v>880</v>
      </c>
      <c r="EQ4" s="7"/>
      <c r="ER4" s="7"/>
      <c r="ES4" s="7"/>
      <c r="ET4" s="7"/>
      <c r="EU4" s="7">
        <f>880+880+880+1760</f>
        <v>4400</v>
      </c>
      <c r="EV4" s="7">
        <v>880</v>
      </c>
      <c r="EW4" s="7"/>
      <c r="EX4" s="7">
        <v>1760</v>
      </c>
      <c r="EY4" s="7"/>
      <c r="EZ4" s="7"/>
      <c r="FA4" s="7"/>
      <c r="FB4" s="7"/>
      <c r="FC4" s="7"/>
      <c r="FD4" s="7"/>
      <c r="FE4" s="7"/>
      <c r="FF4" s="7"/>
      <c r="FG4" s="7"/>
      <c r="FH4" s="7">
        <f>1760+1760+1760+1628</f>
        <v>6908</v>
      </c>
      <c r="FI4" s="7"/>
      <c r="FJ4" s="7"/>
      <c r="FK4" s="7"/>
      <c r="FL4" s="7"/>
      <c r="FM4" s="7"/>
      <c r="FN4" s="7"/>
      <c r="FO4" s="7"/>
      <c r="FP4" s="7">
        <v>1760</v>
      </c>
      <c r="FQ4" s="7">
        <v>1760</v>
      </c>
      <c r="FR4" s="7"/>
      <c r="FS4" s="7"/>
      <c r="FT4" s="7"/>
      <c r="FU4" s="7"/>
      <c r="FV4" s="7">
        <f>1760+1320</f>
        <v>3080</v>
      </c>
      <c r="FW4" s="7"/>
      <c r="FX4" s="7"/>
      <c r="FY4" s="7"/>
      <c r="FZ4" s="7"/>
      <c r="GA4" s="7"/>
      <c r="GB4" s="7">
        <v>1760</v>
      </c>
      <c r="GC4" s="7"/>
      <c r="GD4" s="7"/>
      <c r="GE4" s="7">
        <f>3</f>
        <v>3</v>
      </c>
      <c r="GF4" s="7">
        <f>1760</f>
        <v>1760</v>
      </c>
      <c r="GG4" s="7"/>
      <c r="GH4" s="7"/>
      <c r="GI4" s="7">
        <f>1672</f>
        <v>1672</v>
      </c>
      <c r="GJ4" s="7">
        <f>1760</f>
        <v>1760</v>
      </c>
      <c r="GK4" s="7"/>
      <c r="GL4" s="7">
        <v>1760</v>
      </c>
      <c r="GM4" s="7">
        <v>1760</v>
      </c>
      <c r="GN4" s="7"/>
      <c r="GO4" s="7"/>
      <c r="GP4" s="7"/>
      <c r="GQ4" s="7"/>
      <c r="GR4" s="7">
        <f>1760+748</f>
        <v>2508</v>
      </c>
      <c r="GS4" s="7">
        <f>1760</f>
        <v>1760</v>
      </c>
      <c r="GT4" s="7">
        <f>1760</f>
        <v>1760</v>
      </c>
      <c r="GU4" s="7"/>
      <c r="GV4" s="7"/>
      <c r="GW4" s="7">
        <f>880+1760+1760</f>
        <v>4400</v>
      </c>
      <c r="GX4" s="7">
        <f>4</f>
        <v>4</v>
      </c>
      <c r="GY4" s="7"/>
      <c r="GZ4" s="7"/>
      <c r="HA4" s="7">
        <f>1760+1760+1760+880</f>
        <v>6160</v>
      </c>
      <c r="HB4" s="7">
        <f>1760+1760</f>
        <v>3520</v>
      </c>
      <c r="HC4" s="7"/>
      <c r="HD4" s="7"/>
      <c r="HE4" s="7"/>
      <c r="HF4" s="7"/>
      <c r="HG4" s="7"/>
      <c r="HH4" s="7">
        <v>1760</v>
      </c>
      <c r="HI4" s="7">
        <v>1760</v>
      </c>
      <c r="HJ4" s="7">
        <v>1760</v>
      </c>
      <c r="HK4" s="7"/>
      <c r="HL4" s="7"/>
      <c r="HM4" s="7">
        <v>1760</v>
      </c>
      <c r="HN4" s="7"/>
      <c r="HO4" s="7"/>
      <c r="HP4" s="7"/>
      <c r="HQ4" s="7"/>
      <c r="HR4" s="7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>
        <v>1760</v>
      </c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>
        <f>1760*2</f>
        <v>3520</v>
      </c>
      <c r="IQ4" s="39"/>
      <c r="IR4" s="39"/>
      <c r="IS4" s="39"/>
      <c r="IT4" s="39"/>
      <c r="IU4" s="39">
        <v>7040</v>
      </c>
      <c r="IV4" s="39"/>
      <c r="IW4" s="39"/>
      <c r="IX4" s="39"/>
      <c r="IY4" s="39"/>
      <c r="IZ4" s="39"/>
      <c r="JA4" s="39"/>
      <c r="JB4" s="39"/>
      <c r="JC4" s="39"/>
      <c r="JD4" s="39">
        <v>1760</v>
      </c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2"/>
      <c r="KQ4" s="12">
        <v>1</v>
      </c>
      <c r="KR4" s="40"/>
      <c r="KS4" s="2"/>
      <c r="KT4" s="2"/>
      <c r="KU4" s="2"/>
      <c r="KV4" s="2"/>
      <c r="KW4" s="2"/>
      <c r="KX4" s="2"/>
      <c r="KY4" s="2"/>
      <c r="KZ4" s="106"/>
      <c r="LA4" s="2"/>
      <c r="LB4" s="2"/>
      <c r="LC4" s="2"/>
      <c r="LD4" s="2"/>
      <c r="LE4" s="2"/>
      <c r="LF4" s="2">
        <f>SUM(E4:LE4)</f>
        <v>109216</v>
      </c>
    </row>
    <row r="5" spans="1:318" s="4" customFormat="1" hidden="1" x14ac:dyDescent="0.3">
      <c r="A5" s="11"/>
      <c r="B5" s="42">
        <v>44774905</v>
      </c>
      <c r="C5" s="13" t="s">
        <v>55</v>
      </c>
      <c r="D5" s="35" t="s">
        <v>3</v>
      </c>
      <c r="E5" s="3"/>
      <c r="F5" s="2"/>
      <c r="G5" s="2"/>
      <c r="H5" s="2"/>
      <c r="I5" s="2"/>
      <c r="J5" s="2"/>
      <c r="K5" s="2"/>
      <c r="L5" s="2"/>
      <c r="M5" s="2"/>
      <c r="N5" s="2"/>
      <c r="O5" s="2"/>
      <c r="P5" s="2">
        <v>880</v>
      </c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>
        <v>880</v>
      </c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>
        <v>1760</v>
      </c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>
        <v>1760</v>
      </c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2"/>
      <c r="KQ5" s="12">
        <v>1</v>
      </c>
      <c r="KR5" s="40"/>
      <c r="KS5" s="2"/>
      <c r="KT5" s="2"/>
      <c r="KU5" s="2"/>
      <c r="KV5" s="2"/>
      <c r="KW5" s="2"/>
      <c r="KX5" s="2"/>
      <c r="KY5" s="2"/>
      <c r="KZ5" s="107"/>
      <c r="LA5" s="2"/>
      <c r="LB5" s="2"/>
      <c r="LC5" s="2"/>
      <c r="LD5" s="2"/>
      <c r="LE5" s="2"/>
      <c r="LF5" s="2">
        <f t="shared" ref="LF5:LF69" si="0">SUM(E5:LE5)</f>
        <v>5281</v>
      </c>
    </row>
    <row r="6" spans="1:318" s="4" customFormat="1" hidden="1" x14ac:dyDescent="0.3">
      <c r="A6" s="11"/>
      <c r="B6" s="42">
        <v>550059865</v>
      </c>
      <c r="C6" s="13" t="s">
        <v>992</v>
      </c>
      <c r="D6" s="35" t="s">
        <v>2</v>
      </c>
      <c r="E6" s="3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40"/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40"/>
      <c r="JN6" s="40"/>
      <c r="JO6" s="40"/>
      <c r="JP6" s="40">
        <v>1662</v>
      </c>
      <c r="JQ6" s="40"/>
      <c r="JR6" s="40"/>
      <c r="JS6" s="40"/>
      <c r="JT6" s="40"/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40"/>
      <c r="KL6" s="40"/>
      <c r="KM6" s="40"/>
      <c r="KN6" s="40"/>
      <c r="KO6" s="40"/>
      <c r="KP6" s="2"/>
      <c r="KQ6" s="2"/>
      <c r="KR6" s="40"/>
      <c r="KS6" s="2"/>
      <c r="KT6" s="2"/>
      <c r="KU6" s="2"/>
      <c r="KV6" s="2"/>
      <c r="KW6" s="2"/>
      <c r="KX6" s="2"/>
      <c r="KY6" s="2"/>
      <c r="KZ6" s="107"/>
      <c r="LA6" s="2"/>
      <c r="LB6" s="2"/>
      <c r="LC6" s="2"/>
      <c r="LD6" s="2"/>
      <c r="LE6" s="2"/>
      <c r="LF6" s="2">
        <f t="shared" si="0"/>
        <v>1662</v>
      </c>
    </row>
    <row r="7" spans="1:318" s="4" customFormat="1" hidden="1" x14ac:dyDescent="0.3">
      <c r="A7" s="11"/>
      <c r="B7" s="42">
        <v>550053587</v>
      </c>
      <c r="C7" s="20" t="s">
        <v>971</v>
      </c>
      <c r="D7" s="35" t="s">
        <v>3</v>
      </c>
      <c r="E7" s="3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40"/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>
        <f>758+768+150</f>
        <v>1676</v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40"/>
      <c r="KL7" s="40"/>
      <c r="KM7" s="40"/>
      <c r="KN7" s="40"/>
      <c r="KO7" s="40"/>
      <c r="KP7" s="2"/>
      <c r="KQ7" s="2"/>
      <c r="KR7" s="40"/>
      <c r="KS7" s="2"/>
      <c r="KT7" s="2"/>
      <c r="KU7" s="2"/>
      <c r="KV7" s="2"/>
      <c r="KW7" s="2"/>
      <c r="KX7" s="2"/>
      <c r="KY7" s="2"/>
      <c r="KZ7" s="107"/>
      <c r="LA7" s="2"/>
      <c r="LB7" s="2"/>
      <c r="LC7" s="2"/>
      <c r="LD7" s="2"/>
      <c r="LE7" s="2"/>
      <c r="LF7" s="2">
        <f t="shared" si="0"/>
        <v>1676</v>
      </c>
    </row>
    <row r="8" spans="1:318" s="4" customFormat="1" hidden="1" x14ac:dyDescent="0.3">
      <c r="A8" s="11"/>
      <c r="B8" s="42">
        <v>550059866</v>
      </c>
      <c r="C8" s="13" t="s">
        <v>993</v>
      </c>
      <c r="D8" s="35" t="s">
        <v>2</v>
      </c>
      <c r="E8" s="3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40"/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40"/>
      <c r="JN8" s="40"/>
      <c r="JO8" s="40"/>
      <c r="JP8" s="40">
        <v>1663</v>
      </c>
      <c r="JQ8" s="40"/>
      <c r="JR8" s="40"/>
      <c r="JS8" s="40"/>
      <c r="JT8" s="40"/>
      <c r="JU8" s="40"/>
      <c r="JV8" s="40"/>
      <c r="JW8" s="40"/>
      <c r="JX8" s="40"/>
      <c r="JY8" s="40"/>
      <c r="JZ8" s="40"/>
      <c r="KA8" s="40"/>
      <c r="KB8" s="40"/>
      <c r="KC8" s="40"/>
      <c r="KD8" s="87">
        <v>1</v>
      </c>
      <c r="KE8" s="40"/>
      <c r="KF8" s="40"/>
      <c r="KG8" s="40"/>
      <c r="KH8" s="40"/>
      <c r="KI8" s="40"/>
      <c r="KJ8" s="40"/>
      <c r="KK8" s="40"/>
      <c r="KL8" s="40"/>
      <c r="KM8" s="40"/>
      <c r="KN8" s="40"/>
      <c r="KO8" s="40"/>
      <c r="KP8" s="2"/>
      <c r="KQ8" s="12">
        <v>1</v>
      </c>
      <c r="KR8" s="40"/>
      <c r="KS8" s="2"/>
      <c r="KT8" s="2"/>
      <c r="KU8" s="2"/>
      <c r="KV8" s="2"/>
      <c r="KW8" s="2"/>
      <c r="KX8" s="2"/>
      <c r="KY8" s="2"/>
      <c r="KZ8" s="107"/>
      <c r="LA8" s="2"/>
      <c r="LB8" s="2"/>
      <c r="LC8" s="2"/>
      <c r="LD8" s="2"/>
      <c r="LE8" s="2"/>
      <c r="LF8" s="2">
        <f t="shared" si="0"/>
        <v>1665</v>
      </c>
    </row>
    <row r="9" spans="1:318" s="11" customFormat="1" hidden="1" x14ac:dyDescent="0.3">
      <c r="B9" s="42">
        <v>550052774</v>
      </c>
      <c r="C9" s="13" t="s">
        <v>57</v>
      </c>
      <c r="D9" s="35" t="s">
        <v>18</v>
      </c>
      <c r="E9" s="3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>
        <v>40</v>
      </c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>
        <v>24</v>
      </c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>
        <v>12</v>
      </c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40"/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40"/>
      <c r="KL9" s="40"/>
      <c r="KM9" s="40"/>
      <c r="KN9" s="40"/>
      <c r="KO9" s="40"/>
      <c r="KP9" s="2"/>
      <c r="KQ9" s="2"/>
      <c r="KR9" s="40"/>
      <c r="KS9" s="2"/>
      <c r="KT9" s="2"/>
      <c r="KU9" s="2"/>
      <c r="KV9" s="2"/>
      <c r="KW9" s="2"/>
      <c r="KX9" s="2"/>
      <c r="KY9" s="2"/>
      <c r="KZ9" s="107"/>
      <c r="LA9" s="2"/>
      <c r="LB9" s="2"/>
      <c r="LC9" s="2"/>
      <c r="LD9" s="2"/>
      <c r="LE9" s="2"/>
      <c r="LF9" s="2">
        <f t="shared" si="0"/>
        <v>76</v>
      </c>
    </row>
    <row r="10" spans="1:318" hidden="1" x14ac:dyDescent="0.3">
      <c r="B10" s="42">
        <v>550052775</v>
      </c>
      <c r="C10" s="13" t="s">
        <v>59</v>
      </c>
      <c r="D10" s="35" t="s">
        <v>18</v>
      </c>
      <c r="E10" s="3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>
        <v>92</v>
      </c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40"/>
      <c r="IG10" s="40"/>
      <c r="IH10" s="40"/>
      <c r="II10" s="40"/>
      <c r="IJ10" s="40"/>
      <c r="IK10" s="40"/>
      <c r="IL10" s="40"/>
      <c r="IM10" s="40"/>
      <c r="IN10" s="40"/>
      <c r="IO10" s="40"/>
      <c r="IP10" s="40"/>
      <c r="IQ10" s="40"/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40"/>
      <c r="JY10" s="40"/>
      <c r="JZ10" s="40"/>
      <c r="KA10" s="40"/>
      <c r="KB10" s="40"/>
      <c r="KC10" s="40"/>
      <c r="KD10" s="40"/>
      <c r="KE10" s="40"/>
      <c r="KF10" s="40"/>
      <c r="KG10" s="40"/>
      <c r="KH10" s="40"/>
      <c r="KI10" s="40"/>
      <c r="KJ10" s="40"/>
      <c r="KK10" s="40"/>
      <c r="KL10" s="40"/>
      <c r="KM10" s="40"/>
      <c r="KN10" s="40"/>
      <c r="KO10" s="40"/>
      <c r="KP10" s="2"/>
      <c r="KQ10" s="2"/>
      <c r="KR10" s="40"/>
      <c r="KS10" s="2"/>
      <c r="KT10" s="2"/>
      <c r="KU10" s="2"/>
      <c r="KV10" s="2"/>
      <c r="KW10" s="2"/>
      <c r="KX10" s="2"/>
      <c r="KY10" s="2"/>
      <c r="KZ10" s="107"/>
      <c r="LA10" s="2"/>
      <c r="LB10" s="2"/>
      <c r="LC10" s="2"/>
      <c r="LD10" s="2"/>
      <c r="LE10" s="2"/>
      <c r="LF10" s="2">
        <f t="shared" si="0"/>
        <v>92</v>
      </c>
    </row>
    <row r="11" spans="1:318" hidden="1" x14ac:dyDescent="0.3">
      <c r="B11" s="42">
        <v>550054547</v>
      </c>
      <c r="C11" s="13" t="s">
        <v>61</v>
      </c>
      <c r="D11" s="35" t="s">
        <v>18</v>
      </c>
      <c r="E11" s="3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>
        <v>56</v>
      </c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>
        <v>24</v>
      </c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>
        <v>48</v>
      </c>
      <c r="FU11" s="2"/>
      <c r="FV11" s="2"/>
      <c r="FW11" s="2"/>
      <c r="FX11" s="2"/>
      <c r="FY11" s="2">
        <f>12*4</f>
        <v>48</v>
      </c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40"/>
      <c r="IG11" s="40"/>
      <c r="IH11" s="40"/>
      <c r="II11" s="40"/>
      <c r="IJ11" s="40"/>
      <c r="IK11" s="40"/>
      <c r="IL11" s="40"/>
      <c r="IM11" s="40"/>
      <c r="IN11" s="40"/>
      <c r="IO11" s="40"/>
      <c r="IP11" s="40"/>
      <c r="IQ11" s="40"/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40"/>
      <c r="JY11" s="40"/>
      <c r="JZ11" s="40"/>
      <c r="KA11" s="40"/>
      <c r="KB11" s="40"/>
      <c r="KC11" s="40"/>
      <c r="KD11" s="40"/>
      <c r="KE11" s="40"/>
      <c r="KF11" s="40"/>
      <c r="KG11" s="40"/>
      <c r="KH11" s="40"/>
      <c r="KI11" s="40"/>
      <c r="KJ11" s="40"/>
      <c r="KK11" s="40"/>
      <c r="KL11" s="40"/>
      <c r="KM11" s="40"/>
      <c r="KN11" s="40"/>
      <c r="KO11" s="40"/>
      <c r="KP11" s="2"/>
      <c r="KQ11" s="2"/>
      <c r="KR11" s="40"/>
      <c r="KS11" s="2"/>
      <c r="KT11" s="2"/>
      <c r="KU11" s="2"/>
      <c r="KV11" s="2"/>
      <c r="KW11" s="2"/>
      <c r="KX11" s="2"/>
      <c r="KY11" s="2"/>
      <c r="KZ11" s="107"/>
      <c r="LA11" s="2"/>
      <c r="LB11" s="2"/>
      <c r="LC11" s="2"/>
      <c r="LD11" s="2"/>
      <c r="LE11" s="2"/>
      <c r="LF11" s="2">
        <f t="shared" si="0"/>
        <v>176</v>
      </c>
    </row>
    <row r="12" spans="1:318" s="11" customFormat="1" hidden="1" x14ac:dyDescent="0.3">
      <c r="B12" s="42">
        <v>550047079</v>
      </c>
      <c r="C12" s="13" t="s">
        <v>63</v>
      </c>
      <c r="D12" s="10" t="s">
        <v>18</v>
      </c>
      <c r="E12" s="3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>
        <v>48</v>
      </c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40"/>
      <c r="IG12" s="40"/>
      <c r="IH12" s="40"/>
      <c r="II12" s="40"/>
      <c r="IJ12" s="40"/>
      <c r="IK12" s="40"/>
      <c r="IL12" s="40"/>
      <c r="IM12" s="40"/>
      <c r="IN12" s="40"/>
      <c r="IO12" s="40"/>
      <c r="IP12" s="40"/>
      <c r="IQ12" s="40"/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40"/>
      <c r="JY12" s="40"/>
      <c r="JZ12" s="40"/>
      <c r="KA12" s="40"/>
      <c r="KB12" s="40"/>
      <c r="KC12" s="40"/>
      <c r="KD12" s="40"/>
      <c r="KE12" s="40"/>
      <c r="KF12" s="40"/>
      <c r="KG12" s="40"/>
      <c r="KH12" s="40"/>
      <c r="KI12" s="40"/>
      <c r="KJ12" s="40"/>
      <c r="KK12" s="40"/>
      <c r="KL12" s="40"/>
      <c r="KM12" s="40"/>
      <c r="KN12" s="40"/>
      <c r="KO12" s="40"/>
      <c r="KP12" s="2"/>
      <c r="KQ12" s="2"/>
      <c r="KR12" s="40"/>
      <c r="KS12" s="2"/>
      <c r="KT12" s="2"/>
      <c r="KU12" s="2"/>
      <c r="KV12" s="2"/>
      <c r="KW12" s="2"/>
      <c r="KX12" s="2"/>
      <c r="KY12" s="2"/>
      <c r="KZ12" s="107"/>
      <c r="LA12" s="2"/>
      <c r="LB12" s="2"/>
      <c r="LC12" s="2"/>
      <c r="LD12" s="2"/>
      <c r="LE12" s="2"/>
      <c r="LF12" s="2">
        <f t="shared" si="0"/>
        <v>48</v>
      </c>
    </row>
    <row r="13" spans="1:318" s="11" customFormat="1" hidden="1" x14ac:dyDescent="0.3">
      <c r="B13" s="42">
        <v>550022409</v>
      </c>
      <c r="C13" s="89" t="s">
        <v>989</v>
      </c>
      <c r="D13" s="10" t="s">
        <v>905</v>
      </c>
      <c r="E13" s="3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40"/>
      <c r="IG13" s="40"/>
      <c r="IH13" s="40"/>
      <c r="II13" s="40"/>
      <c r="IJ13" s="40"/>
      <c r="IK13" s="40"/>
      <c r="IL13" s="40"/>
      <c r="IM13" s="40"/>
      <c r="IN13" s="40"/>
      <c r="IO13" s="40"/>
      <c r="IP13" s="40"/>
      <c r="IQ13" s="40"/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40"/>
      <c r="JN13" s="40"/>
      <c r="JO13" s="40"/>
      <c r="JP13" s="40">
        <v>96</v>
      </c>
      <c r="JQ13" s="40"/>
      <c r="JR13" s="40"/>
      <c r="JS13" s="40"/>
      <c r="JT13" s="40"/>
      <c r="JU13" s="40"/>
      <c r="JV13" s="40"/>
      <c r="JW13" s="40"/>
      <c r="JX13" s="40"/>
      <c r="JY13" s="40"/>
      <c r="JZ13" s="40"/>
      <c r="KA13" s="40"/>
      <c r="KB13" s="40"/>
      <c r="KC13" s="40"/>
      <c r="KD13" s="40"/>
      <c r="KE13" s="40"/>
      <c r="KF13" s="40"/>
      <c r="KG13" s="40"/>
      <c r="KH13" s="40"/>
      <c r="KI13" s="40"/>
      <c r="KJ13" s="40"/>
      <c r="KK13" s="40"/>
      <c r="KL13" s="40"/>
      <c r="KM13" s="40"/>
      <c r="KN13" s="40"/>
      <c r="KO13" s="40"/>
      <c r="KP13" s="2"/>
      <c r="KQ13" s="2"/>
      <c r="KR13" s="40"/>
      <c r="KS13" s="2"/>
      <c r="KT13" s="2"/>
      <c r="KU13" s="2"/>
      <c r="KV13" s="2"/>
      <c r="KW13" s="2"/>
      <c r="KX13" s="2"/>
      <c r="KY13" s="2"/>
      <c r="KZ13" s="107"/>
      <c r="LA13" s="2"/>
      <c r="LB13" s="2"/>
      <c r="LC13" s="2"/>
      <c r="LD13" s="2"/>
      <c r="LE13" s="2"/>
      <c r="LF13" s="2">
        <f t="shared" si="0"/>
        <v>96</v>
      </c>
    </row>
    <row r="14" spans="1:318" s="11" customFormat="1" hidden="1" x14ac:dyDescent="0.3">
      <c r="B14" s="42">
        <v>550014136</v>
      </c>
      <c r="C14" s="13" t="s">
        <v>65</v>
      </c>
      <c r="D14" s="10" t="s">
        <v>27</v>
      </c>
      <c r="E14" s="3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>
        <v>56</v>
      </c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40"/>
      <c r="IG14" s="40"/>
      <c r="IH14" s="40"/>
      <c r="II14" s="40"/>
      <c r="IJ14" s="40"/>
      <c r="IK14" s="40"/>
      <c r="IL14" s="40"/>
      <c r="IM14" s="40"/>
      <c r="IN14" s="40"/>
      <c r="IO14" s="40"/>
      <c r="IP14" s="40"/>
      <c r="IQ14" s="40"/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40"/>
      <c r="JY14" s="40"/>
      <c r="JZ14" s="40"/>
      <c r="KA14" s="40"/>
      <c r="KB14" s="40"/>
      <c r="KC14" s="40"/>
      <c r="KD14" s="40"/>
      <c r="KE14" s="40"/>
      <c r="KF14" s="40"/>
      <c r="KG14" s="40"/>
      <c r="KH14" s="40"/>
      <c r="KI14" s="40"/>
      <c r="KJ14" s="40"/>
      <c r="KK14" s="40"/>
      <c r="KL14" s="40"/>
      <c r="KM14" s="40"/>
      <c r="KN14" s="40"/>
      <c r="KO14" s="40"/>
      <c r="KP14" s="2"/>
      <c r="KQ14" s="2"/>
      <c r="KR14" s="40"/>
      <c r="KS14" s="2"/>
      <c r="KT14" s="2"/>
      <c r="KU14" s="2"/>
      <c r="KV14" s="2"/>
      <c r="KW14" s="2"/>
      <c r="KX14" s="2"/>
      <c r="KY14" s="2"/>
      <c r="KZ14" s="107"/>
      <c r="LA14" s="2"/>
      <c r="LB14" s="2"/>
      <c r="LC14" s="2"/>
      <c r="LD14" s="2"/>
      <c r="LE14" s="2"/>
      <c r="LF14" s="2">
        <f t="shared" si="0"/>
        <v>56</v>
      </c>
    </row>
    <row r="15" spans="1:318" s="11" customFormat="1" hidden="1" x14ac:dyDescent="0.3">
      <c r="B15" s="42">
        <v>550026301</v>
      </c>
      <c r="C15" s="20" t="s">
        <v>986</v>
      </c>
      <c r="D15" s="35" t="s">
        <v>987</v>
      </c>
      <c r="E15" s="3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40"/>
      <c r="IG15" s="40"/>
      <c r="IH15" s="40"/>
      <c r="II15" s="40"/>
      <c r="IJ15" s="40"/>
      <c r="IK15" s="40"/>
      <c r="IL15" s="40"/>
      <c r="IM15" s="40"/>
      <c r="IN15" s="40"/>
      <c r="IO15" s="40"/>
      <c r="IP15" s="40"/>
      <c r="IQ15" s="40"/>
      <c r="IR15" s="40"/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>
        <v>25</v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40"/>
      <c r="JY15" s="40"/>
      <c r="JZ15" s="40"/>
      <c r="KA15" s="40"/>
      <c r="KB15" s="40"/>
      <c r="KC15" s="40"/>
      <c r="KD15" s="40"/>
      <c r="KE15" s="40"/>
      <c r="KF15" s="40"/>
      <c r="KG15" s="40"/>
      <c r="KH15" s="40"/>
      <c r="KI15" s="40"/>
      <c r="KJ15" s="40"/>
      <c r="KK15" s="40"/>
      <c r="KL15" s="40"/>
      <c r="KM15" s="40"/>
      <c r="KN15" s="40"/>
      <c r="KO15" s="40"/>
      <c r="KP15" s="2"/>
      <c r="KQ15" s="2"/>
      <c r="KR15" s="40"/>
      <c r="KS15" s="2"/>
      <c r="KT15" s="2"/>
      <c r="KU15" s="2"/>
      <c r="KV15" s="2"/>
      <c r="KW15" s="2"/>
      <c r="KX15" s="2"/>
      <c r="KY15" s="2"/>
      <c r="KZ15" s="107"/>
      <c r="LA15" s="2"/>
      <c r="LB15" s="2"/>
      <c r="LC15" s="2"/>
      <c r="LD15" s="2"/>
      <c r="LE15" s="2"/>
      <c r="LF15" s="2">
        <f t="shared" si="0"/>
        <v>25</v>
      </c>
    </row>
    <row r="16" spans="1:318" s="11" customFormat="1" hidden="1" x14ac:dyDescent="0.3">
      <c r="B16" s="42">
        <v>550027265</v>
      </c>
      <c r="C16" s="13" t="s">
        <v>67</v>
      </c>
      <c r="D16" s="35" t="s">
        <v>4</v>
      </c>
      <c r="E16" s="3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>
        <v>210</v>
      </c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>
        <v>84</v>
      </c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>
        <f>420</f>
        <v>420</v>
      </c>
      <c r="GP16" s="2"/>
      <c r="GQ16" s="2"/>
      <c r="GR16" s="2"/>
      <c r="GS16" s="2"/>
      <c r="GT16" s="2"/>
      <c r="GU16" s="2">
        <v>168</v>
      </c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40"/>
      <c r="IG16" s="40"/>
      <c r="IH16" s="40"/>
      <c r="II16" s="40"/>
      <c r="IJ16" s="40"/>
      <c r="IK16" s="40"/>
      <c r="IL16" s="40"/>
      <c r="IM16" s="40"/>
      <c r="IN16" s="40"/>
      <c r="IO16" s="40"/>
      <c r="IP16" s="40"/>
      <c r="IQ16" s="40"/>
      <c r="IR16" s="40"/>
      <c r="IS16" s="40">
        <v>210</v>
      </c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40"/>
      <c r="JY16" s="40"/>
      <c r="JZ16" s="40"/>
      <c r="KA16" s="40"/>
      <c r="KB16" s="40"/>
      <c r="KC16" s="40"/>
      <c r="KD16" s="40"/>
      <c r="KE16" s="40"/>
      <c r="KF16" s="40"/>
      <c r="KG16" s="40"/>
      <c r="KH16" s="40"/>
      <c r="KI16" s="40"/>
      <c r="KJ16" s="40"/>
      <c r="KK16" s="40"/>
      <c r="KL16" s="40"/>
      <c r="KM16" s="40"/>
      <c r="KN16" s="40"/>
      <c r="KO16" s="40"/>
      <c r="KP16" s="2"/>
      <c r="KQ16" s="2"/>
      <c r="KR16" s="40"/>
      <c r="KS16" s="2"/>
      <c r="KT16" s="2"/>
      <c r="KU16" s="2"/>
      <c r="KV16" s="2"/>
      <c r="KW16" s="2"/>
      <c r="KX16" s="2"/>
      <c r="KY16" s="2"/>
      <c r="KZ16" s="107"/>
      <c r="LA16" s="2"/>
      <c r="LB16" s="2"/>
      <c r="LC16" s="2"/>
      <c r="LD16" s="2"/>
      <c r="LE16" s="2"/>
      <c r="LF16" s="2">
        <f t="shared" si="0"/>
        <v>1092</v>
      </c>
    </row>
    <row r="17" spans="1:320" s="11" customFormat="1" hidden="1" x14ac:dyDescent="0.3">
      <c r="B17" s="42">
        <v>550026300</v>
      </c>
      <c r="C17" s="13" t="s">
        <v>69</v>
      </c>
      <c r="D17" s="35" t="s">
        <v>5</v>
      </c>
      <c r="E17" s="3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>
        <v>378</v>
      </c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>
        <v>252</v>
      </c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>
        <v>126</v>
      </c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>
        <f>504</f>
        <v>504</v>
      </c>
      <c r="GF17" s="2"/>
      <c r="GG17" s="2"/>
      <c r="GH17" s="2"/>
      <c r="GI17" s="2"/>
      <c r="GJ17" s="2"/>
      <c r="GK17" s="2">
        <f>588</f>
        <v>588</v>
      </c>
      <c r="GL17" s="2"/>
      <c r="GM17" s="2"/>
      <c r="GN17" s="2"/>
      <c r="GO17" s="2">
        <f>420</f>
        <v>420</v>
      </c>
      <c r="GP17" s="2"/>
      <c r="GQ17" s="2"/>
      <c r="GR17" s="2"/>
      <c r="GS17" s="2"/>
      <c r="GT17" s="2"/>
      <c r="GU17" s="2">
        <v>168</v>
      </c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40"/>
      <c r="IG17" s="40"/>
      <c r="IH17" s="40"/>
      <c r="II17" s="40"/>
      <c r="IJ17" s="40"/>
      <c r="IK17" s="40"/>
      <c r="IL17" s="40"/>
      <c r="IM17" s="40"/>
      <c r="IN17" s="40"/>
      <c r="IO17" s="40"/>
      <c r="IP17" s="40"/>
      <c r="IQ17" s="40"/>
      <c r="IR17" s="40"/>
      <c r="IS17" s="40">
        <v>210</v>
      </c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40"/>
      <c r="JY17" s="40"/>
      <c r="JZ17" s="40"/>
      <c r="KA17" s="40"/>
      <c r="KB17" s="40"/>
      <c r="KC17" s="40"/>
      <c r="KD17" s="40"/>
      <c r="KE17" s="40"/>
      <c r="KF17" s="40"/>
      <c r="KG17" s="40"/>
      <c r="KH17" s="40"/>
      <c r="KI17" s="40"/>
      <c r="KJ17" s="40"/>
      <c r="KK17" s="40"/>
      <c r="KL17" s="40"/>
      <c r="KM17" s="40"/>
      <c r="KN17" s="40"/>
      <c r="KO17" s="40"/>
      <c r="KP17" s="2"/>
      <c r="KQ17" s="2"/>
      <c r="KR17" s="40"/>
      <c r="KS17" s="2"/>
      <c r="KT17" s="2"/>
      <c r="KU17" s="2"/>
      <c r="KV17" s="2"/>
      <c r="KW17" s="2"/>
      <c r="KX17" s="2"/>
      <c r="KY17" s="2"/>
      <c r="KZ17" s="107"/>
      <c r="LA17" s="2"/>
      <c r="LB17" s="2"/>
      <c r="LC17" s="2"/>
      <c r="LD17" s="2"/>
      <c r="LE17" s="2"/>
      <c r="LF17" s="2">
        <f t="shared" si="0"/>
        <v>2646</v>
      </c>
    </row>
    <row r="18" spans="1:320" s="11" customFormat="1" hidden="1" x14ac:dyDescent="0.3">
      <c r="B18" s="42">
        <v>550047075</v>
      </c>
      <c r="C18" s="13" t="s">
        <v>71</v>
      </c>
      <c r="D18" s="35" t="s">
        <v>18</v>
      </c>
      <c r="E18" s="3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>
        <v>96</v>
      </c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>
        <v>60</v>
      </c>
      <c r="CD18" s="2"/>
      <c r="CE18" s="2"/>
      <c r="CF18" s="2"/>
      <c r="CG18" s="2"/>
      <c r="CH18" s="2"/>
      <c r="CI18" s="2">
        <v>120</v>
      </c>
      <c r="CJ18" s="2">
        <v>8</v>
      </c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>
        <v>64</v>
      </c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>
        <v>96</v>
      </c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40"/>
      <c r="IG18" s="40"/>
      <c r="IH18" s="40"/>
      <c r="II18" s="40"/>
      <c r="IJ18" s="40"/>
      <c r="IK18" s="40"/>
      <c r="IL18" s="40"/>
      <c r="IM18" s="40"/>
      <c r="IN18" s="40"/>
      <c r="IO18" s="40"/>
      <c r="IP18" s="40"/>
      <c r="IQ18" s="40"/>
      <c r="IR18" s="40"/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40"/>
      <c r="JY18" s="40"/>
      <c r="JZ18" s="40"/>
      <c r="KA18" s="40"/>
      <c r="KB18" s="40"/>
      <c r="KC18" s="40"/>
      <c r="KD18" s="40"/>
      <c r="KE18" s="40"/>
      <c r="KF18" s="40"/>
      <c r="KG18" s="40"/>
      <c r="KH18" s="40"/>
      <c r="KI18" s="40"/>
      <c r="KJ18" s="40"/>
      <c r="KK18" s="40"/>
      <c r="KL18" s="40"/>
      <c r="KM18" s="40"/>
      <c r="KN18" s="40"/>
      <c r="KO18" s="40"/>
      <c r="KP18" s="2"/>
      <c r="KQ18" s="2"/>
      <c r="KR18" s="40"/>
      <c r="KS18" s="2"/>
      <c r="KT18" s="2"/>
      <c r="KU18" s="2"/>
      <c r="KV18" s="2"/>
      <c r="KW18" s="2"/>
      <c r="KX18" s="2"/>
      <c r="KY18" s="2"/>
      <c r="KZ18" s="107"/>
      <c r="LA18" s="2"/>
      <c r="LB18" s="2"/>
      <c r="LC18" s="2"/>
      <c r="LD18" s="2"/>
      <c r="LE18" s="2"/>
      <c r="LF18" s="2">
        <f t="shared" si="0"/>
        <v>444</v>
      </c>
    </row>
    <row r="19" spans="1:320" s="11" customFormat="1" hidden="1" x14ac:dyDescent="0.3">
      <c r="B19" s="42">
        <v>550052219</v>
      </c>
      <c r="C19" s="13" t="s">
        <v>977</v>
      </c>
      <c r="D19" s="35" t="s">
        <v>982</v>
      </c>
      <c r="E19" s="3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>
        <v>8</v>
      </c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2"/>
      <c r="KQ19" s="2"/>
      <c r="KR19" s="40"/>
      <c r="KS19" s="2"/>
      <c r="KT19" s="2"/>
      <c r="KU19" s="2"/>
      <c r="KV19" s="2"/>
      <c r="KW19" s="2"/>
      <c r="KX19" s="2"/>
      <c r="KY19" s="2"/>
      <c r="KZ19" s="107"/>
      <c r="LA19" s="2"/>
      <c r="LB19" s="2"/>
      <c r="LC19" s="2"/>
      <c r="LD19" s="2"/>
      <c r="LE19" s="2"/>
      <c r="LF19" s="2">
        <f t="shared" si="0"/>
        <v>8</v>
      </c>
    </row>
    <row r="20" spans="1:320" s="11" customFormat="1" hidden="1" x14ac:dyDescent="0.3">
      <c r="B20" s="42">
        <v>550027631</v>
      </c>
      <c r="C20" s="13" t="s">
        <v>73</v>
      </c>
      <c r="D20" s="35" t="s">
        <v>7</v>
      </c>
      <c r="E20" s="3"/>
      <c r="F20" s="2"/>
      <c r="G20" s="2">
        <v>115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>
        <f>3500+3300</f>
        <v>6800</v>
      </c>
      <c r="AB20" s="2"/>
      <c r="AC20" s="2"/>
      <c r="AD20" s="2">
        <v>3300</v>
      </c>
      <c r="AE20" s="2"/>
      <c r="AF20" s="2"/>
      <c r="AG20" s="2"/>
      <c r="AH20" s="2">
        <v>3253</v>
      </c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>
        <v>3300</v>
      </c>
      <c r="AY20" s="2">
        <v>3300</v>
      </c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>
        <f>6</f>
        <v>6</v>
      </c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40"/>
      <c r="IG20" s="40"/>
      <c r="IH20" s="40"/>
      <c r="II20" s="40"/>
      <c r="IJ20" s="40"/>
      <c r="IK20" s="40"/>
      <c r="IL20" s="40"/>
      <c r="IM20" s="40"/>
      <c r="IN20" s="40"/>
      <c r="IO20" s="40"/>
      <c r="IP20" s="40"/>
      <c r="IQ20" s="40"/>
      <c r="IR20" s="40"/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40"/>
      <c r="JY20" s="40"/>
      <c r="JZ20" s="40"/>
      <c r="KA20" s="40"/>
      <c r="KB20" s="40"/>
      <c r="KC20" s="40"/>
      <c r="KD20" s="40"/>
      <c r="KE20" s="40"/>
      <c r="KF20" s="40"/>
      <c r="KG20" s="40"/>
      <c r="KH20" s="40"/>
      <c r="KI20" s="40"/>
      <c r="KJ20" s="40"/>
      <c r="KK20" s="40"/>
      <c r="KL20" s="40"/>
      <c r="KM20" s="40"/>
      <c r="KN20" s="40"/>
      <c r="KO20" s="40"/>
      <c r="KP20" s="2"/>
      <c r="KQ20" s="12">
        <v>1</v>
      </c>
      <c r="KR20" s="40"/>
      <c r="KS20" s="2"/>
      <c r="KT20" s="2"/>
      <c r="KU20" s="2"/>
      <c r="KV20" s="2"/>
      <c r="KW20" s="2"/>
      <c r="KX20" s="2"/>
      <c r="KY20" s="2"/>
      <c r="KZ20" s="107"/>
      <c r="LA20" s="2"/>
      <c r="LB20" s="2"/>
      <c r="LC20" s="2"/>
      <c r="LD20" s="2"/>
      <c r="LE20" s="2"/>
      <c r="LF20" s="2">
        <f t="shared" si="0"/>
        <v>20075</v>
      </c>
    </row>
    <row r="21" spans="1:320" s="11" customFormat="1" hidden="1" x14ac:dyDescent="0.3">
      <c r="B21" s="42">
        <v>550050706</v>
      </c>
      <c r="C21" s="89" t="s">
        <v>75</v>
      </c>
      <c r="D21" s="10" t="s">
        <v>17</v>
      </c>
      <c r="E21" s="3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>
        <v>264</v>
      </c>
      <c r="AG21" s="2"/>
      <c r="AH21" s="2"/>
      <c r="AI21" s="2">
        <v>168</v>
      </c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>
        <v>408</v>
      </c>
      <c r="CF21" s="2"/>
      <c r="CG21" s="2"/>
      <c r="CH21" s="2">
        <v>528</v>
      </c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>
        <f>192+480</f>
        <v>672</v>
      </c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>
        <f>600</f>
        <v>600</v>
      </c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>
        <v>600</v>
      </c>
      <c r="HJ21" s="2"/>
      <c r="HK21" s="2"/>
      <c r="HL21" s="2"/>
      <c r="HM21" s="2"/>
      <c r="HN21" s="2"/>
      <c r="HO21" s="2"/>
      <c r="HP21" s="2"/>
      <c r="HQ21" s="2"/>
      <c r="HR21" s="2"/>
      <c r="HS21" s="40"/>
      <c r="HT21" s="40"/>
      <c r="HU21" s="40"/>
      <c r="HV21" s="40"/>
      <c r="HW21" s="40"/>
      <c r="HX21" s="40"/>
      <c r="HY21" s="40"/>
      <c r="HZ21" s="40"/>
      <c r="IA21" s="40"/>
      <c r="IB21" s="40"/>
      <c r="IC21" s="40"/>
      <c r="ID21" s="40"/>
      <c r="IE21" s="40"/>
      <c r="IF21" s="40"/>
      <c r="IG21" s="40"/>
      <c r="IH21" s="40"/>
      <c r="II21" s="40"/>
      <c r="IJ21" s="40"/>
      <c r="IK21" s="40"/>
      <c r="IL21" s="40"/>
      <c r="IM21" s="40"/>
      <c r="IN21" s="40"/>
      <c r="IO21" s="40"/>
      <c r="IP21" s="40"/>
      <c r="IQ21" s="40"/>
      <c r="IR21" s="40"/>
      <c r="IS21" s="40"/>
      <c r="IT21" s="40"/>
      <c r="IU21" s="40"/>
      <c r="IV21" s="40"/>
      <c r="IW21" s="40"/>
      <c r="IX21" s="40"/>
      <c r="IY21" s="40"/>
      <c r="IZ21" s="40"/>
      <c r="JA21" s="40"/>
      <c r="JB21" s="40">
        <v>1680</v>
      </c>
      <c r="JC21" s="40"/>
      <c r="JD21" s="40"/>
      <c r="JE21" s="40"/>
      <c r="JF21" s="40"/>
      <c r="JG21" s="40"/>
      <c r="JH21" s="40"/>
      <c r="JI21" s="40"/>
      <c r="JJ21" s="40"/>
      <c r="JK21" s="40"/>
      <c r="JL21" s="40"/>
      <c r="JM21" s="40"/>
      <c r="JN21" s="40"/>
      <c r="JO21" s="40"/>
      <c r="JP21" s="40"/>
      <c r="JQ21" s="40"/>
      <c r="JR21" s="40"/>
      <c r="JS21" s="40"/>
      <c r="JT21" s="40"/>
      <c r="JU21" s="40"/>
      <c r="JV21" s="40"/>
      <c r="JW21" s="40"/>
      <c r="JX21" s="40"/>
      <c r="JY21" s="40"/>
      <c r="JZ21" s="40"/>
      <c r="KA21" s="40"/>
      <c r="KB21" s="40"/>
      <c r="KC21" s="40"/>
      <c r="KD21" s="40"/>
      <c r="KE21" s="40"/>
      <c r="KF21" s="40"/>
      <c r="KG21" s="40"/>
      <c r="KH21" s="40"/>
      <c r="KI21" s="40"/>
      <c r="KJ21" s="40"/>
      <c r="KK21" s="40"/>
      <c r="KL21" s="40"/>
      <c r="KM21" s="40"/>
      <c r="KN21" s="40"/>
      <c r="KO21" s="40"/>
      <c r="KP21" s="2"/>
      <c r="KQ21" s="2"/>
      <c r="KR21" s="40"/>
      <c r="KS21" s="2"/>
      <c r="KT21" s="2"/>
      <c r="KU21" s="2"/>
      <c r="KV21" s="2"/>
      <c r="KW21" s="2"/>
      <c r="KX21" s="2"/>
      <c r="KY21" s="2"/>
      <c r="KZ21" s="107"/>
      <c r="LA21" s="2"/>
      <c r="LB21" s="2"/>
      <c r="LC21" s="2"/>
      <c r="LD21" s="2"/>
      <c r="LE21" s="2"/>
      <c r="LF21" s="2">
        <f t="shared" si="0"/>
        <v>4920</v>
      </c>
    </row>
    <row r="22" spans="1:320" s="4" customFormat="1" hidden="1" x14ac:dyDescent="0.3">
      <c r="A22" s="11"/>
      <c r="B22" s="42">
        <v>550050708</v>
      </c>
      <c r="C22" s="13" t="s">
        <v>77</v>
      </c>
      <c r="D22" s="35" t="s">
        <v>17</v>
      </c>
      <c r="E22" s="3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>
        <v>264</v>
      </c>
      <c r="AG22" s="2"/>
      <c r="AH22" s="2"/>
      <c r="AI22" s="2">
        <v>168</v>
      </c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>
        <f>288+480</f>
        <v>768</v>
      </c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>
        <v>12</v>
      </c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>
        <f>360</f>
        <v>360</v>
      </c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>
        <v>360</v>
      </c>
      <c r="HJ22" s="2"/>
      <c r="HK22" s="2"/>
      <c r="HL22" s="2"/>
      <c r="HM22" s="2"/>
      <c r="HN22" s="2"/>
      <c r="HO22" s="2"/>
      <c r="HP22" s="2"/>
      <c r="HQ22" s="2"/>
      <c r="HR22" s="2"/>
      <c r="HS22" s="40"/>
      <c r="HT22" s="40"/>
      <c r="HU22" s="40"/>
      <c r="HV22" s="40"/>
      <c r="HW22" s="40"/>
      <c r="HX22" s="40"/>
      <c r="HY22" s="40"/>
      <c r="HZ22" s="40"/>
      <c r="IA22" s="40"/>
      <c r="IB22" s="40"/>
      <c r="IC22" s="40"/>
      <c r="ID22" s="40"/>
      <c r="IE22" s="40"/>
      <c r="IF22" s="40"/>
      <c r="IG22" s="40"/>
      <c r="IH22" s="40"/>
      <c r="II22" s="40"/>
      <c r="IJ22" s="40"/>
      <c r="IK22" s="40"/>
      <c r="IL22" s="40"/>
      <c r="IM22" s="40"/>
      <c r="IN22" s="40"/>
      <c r="IO22" s="40"/>
      <c r="IP22" s="40"/>
      <c r="IQ22" s="40"/>
      <c r="IR22" s="40"/>
      <c r="IS22" s="40"/>
      <c r="IT22" s="40"/>
      <c r="IU22" s="40"/>
      <c r="IV22" s="40"/>
      <c r="IW22" s="40"/>
      <c r="IX22" s="40"/>
      <c r="IY22" s="40"/>
      <c r="IZ22" s="40"/>
      <c r="JA22" s="40"/>
      <c r="JB22" s="40">
        <v>240</v>
      </c>
      <c r="JC22" s="40"/>
      <c r="JD22" s="40"/>
      <c r="JE22" s="40"/>
      <c r="JF22" s="40"/>
      <c r="JG22" s="40"/>
      <c r="JH22" s="40"/>
      <c r="JI22" s="40"/>
      <c r="JJ22" s="40"/>
      <c r="JK22" s="40"/>
      <c r="JL22" s="40"/>
      <c r="JM22" s="40"/>
      <c r="JN22" s="40"/>
      <c r="JO22" s="40"/>
      <c r="JP22" s="40"/>
      <c r="JQ22" s="40"/>
      <c r="JR22" s="40"/>
      <c r="JS22" s="40"/>
      <c r="JT22" s="40"/>
      <c r="JU22" s="40"/>
      <c r="JV22" s="40"/>
      <c r="JW22" s="40"/>
      <c r="JX22" s="40"/>
      <c r="JY22" s="40"/>
      <c r="JZ22" s="40"/>
      <c r="KA22" s="40"/>
      <c r="KB22" s="40"/>
      <c r="KC22" s="40"/>
      <c r="KD22" s="40"/>
      <c r="KE22" s="40"/>
      <c r="KF22" s="40"/>
      <c r="KG22" s="40"/>
      <c r="KH22" s="40"/>
      <c r="KI22" s="40"/>
      <c r="KJ22" s="40"/>
      <c r="KK22" s="40"/>
      <c r="KL22" s="40"/>
      <c r="KM22" s="40"/>
      <c r="KN22" s="40"/>
      <c r="KO22" s="40"/>
      <c r="KP22" s="2"/>
      <c r="KQ22" s="2"/>
      <c r="KR22" s="40"/>
      <c r="KS22" s="2"/>
      <c r="KT22" s="2"/>
      <c r="KU22" s="2"/>
      <c r="KV22" s="2"/>
      <c r="KW22" s="2"/>
      <c r="KX22" s="2"/>
      <c r="KY22" s="2"/>
      <c r="KZ22" s="107"/>
      <c r="LA22" s="2"/>
      <c r="LB22" s="2"/>
      <c r="LC22" s="2"/>
      <c r="LD22" s="2"/>
      <c r="LE22" s="2"/>
      <c r="LF22" s="2">
        <f t="shared" si="0"/>
        <v>2172</v>
      </c>
    </row>
    <row r="23" spans="1:320" s="4" customFormat="1" hidden="1" x14ac:dyDescent="0.3">
      <c r="A23" s="11"/>
      <c r="B23" s="42">
        <v>550027680</v>
      </c>
      <c r="C23" s="13" t="s">
        <v>974</v>
      </c>
      <c r="D23" s="35" t="s">
        <v>983</v>
      </c>
      <c r="E23" s="3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40"/>
      <c r="HT23" s="40"/>
      <c r="HU23" s="40"/>
      <c r="HV23" s="40"/>
      <c r="HW23" s="40"/>
      <c r="HX23" s="40"/>
      <c r="HY23" s="40"/>
      <c r="HZ23" s="40"/>
      <c r="IA23" s="40"/>
      <c r="IB23" s="40"/>
      <c r="IC23" s="40"/>
      <c r="ID23" s="40"/>
      <c r="IE23" s="40"/>
      <c r="IF23" s="40"/>
      <c r="IG23" s="40"/>
      <c r="IH23" s="40"/>
      <c r="II23" s="40"/>
      <c r="IJ23" s="40"/>
      <c r="IK23" s="40"/>
      <c r="IL23" s="40"/>
      <c r="IM23" s="40"/>
      <c r="IN23" s="40"/>
      <c r="IO23" s="40"/>
      <c r="IP23" s="40"/>
      <c r="IQ23" s="40"/>
      <c r="IR23" s="40"/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40"/>
      <c r="JJ23" s="40"/>
      <c r="JK23" s="40">
        <v>4</v>
      </c>
      <c r="JL23" s="40"/>
      <c r="JM23" s="40"/>
      <c r="JN23" s="40"/>
      <c r="JO23" s="40"/>
      <c r="JP23" s="40"/>
      <c r="JQ23" s="40"/>
      <c r="JR23" s="40"/>
      <c r="JS23" s="40"/>
      <c r="JT23" s="40"/>
      <c r="JU23" s="40"/>
      <c r="JV23" s="40"/>
      <c r="JW23" s="40"/>
      <c r="JX23" s="40"/>
      <c r="JY23" s="40"/>
      <c r="JZ23" s="40"/>
      <c r="KA23" s="40"/>
      <c r="KB23" s="40"/>
      <c r="KC23" s="40"/>
      <c r="KD23" s="40"/>
      <c r="KE23" s="40"/>
      <c r="KF23" s="40"/>
      <c r="KG23" s="40"/>
      <c r="KH23" s="40"/>
      <c r="KI23" s="40"/>
      <c r="KJ23" s="40"/>
      <c r="KK23" s="40"/>
      <c r="KL23" s="40"/>
      <c r="KM23" s="40"/>
      <c r="KN23" s="40"/>
      <c r="KO23" s="40"/>
      <c r="KP23" s="2"/>
      <c r="KQ23" s="2"/>
      <c r="KR23" s="40"/>
      <c r="KS23" s="2"/>
      <c r="KT23" s="2"/>
      <c r="KU23" s="2"/>
      <c r="KV23" s="2"/>
      <c r="KW23" s="2"/>
      <c r="KX23" s="2"/>
      <c r="KY23" s="2"/>
      <c r="KZ23" s="107"/>
      <c r="LA23" s="2"/>
      <c r="LB23" s="2"/>
      <c r="LC23" s="2"/>
      <c r="LD23" s="2"/>
      <c r="LE23" s="2"/>
      <c r="LF23" s="2">
        <f t="shared" si="0"/>
        <v>4</v>
      </c>
    </row>
    <row r="24" spans="1:320" hidden="1" x14ac:dyDescent="0.3">
      <c r="B24" s="42">
        <v>550025731</v>
      </c>
      <c r="C24" s="13" t="s">
        <v>79</v>
      </c>
      <c r="D24" s="35">
        <v>209</v>
      </c>
      <c r="E24" s="3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>
        <f>96+16</f>
        <v>112</v>
      </c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>
        <v>96</v>
      </c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40"/>
      <c r="HT24" s="40"/>
      <c r="HU24" s="40"/>
      <c r="HV24" s="40"/>
      <c r="HW24" s="40"/>
      <c r="HX24" s="40"/>
      <c r="HY24" s="40"/>
      <c r="HZ24" s="40"/>
      <c r="IA24" s="40"/>
      <c r="IB24" s="40"/>
      <c r="IC24" s="40"/>
      <c r="ID24" s="40"/>
      <c r="IE24" s="40"/>
      <c r="IF24" s="40"/>
      <c r="IG24" s="40"/>
      <c r="IH24" s="40"/>
      <c r="II24" s="40"/>
      <c r="IJ24" s="40"/>
      <c r="IK24" s="40"/>
      <c r="IL24" s="40"/>
      <c r="IM24" s="40"/>
      <c r="IN24" s="40"/>
      <c r="IO24" s="40"/>
      <c r="IP24" s="40"/>
      <c r="IQ24" s="40"/>
      <c r="IR24" s="40">
        <v>48</v>
      </c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40"/>
      <c r="JJ24" s="40"/>
      <c r="JK24" s="40"/>
      <c r="JL24" s="40"/>
      <c r="JM24" s="40"/>
      <c r="JN24" s="40"/>
      <c r="JO24" s="40"/>
      <c r="JP24" s="40"/>
      <c r="JQ24" s="40"/>
      <c r="JR24" s="40"/>
      <c r="JS24" s="40"/>
      <c r="JT24" s="40"/>
      <c r="JU24" s="40"/>
      <c r="JV24" s="40"/>
      <c r="JW24" s="40"/>
      <c r="JX24" s="40"/>
      <c r="JY24" s="40"/>
      <c r="JZ24" s="40"/>
      <c r="KA24" s="40"/>
      <c r="KB24" s="40"/>
      <c r="KC24" s="40"/>
      <c r="KD24" s="40"/>
      <c r="KE24" s="40"/>
      <c r="KF24" s="40"/>
      <c r="KG24" s="40"/>
      <c r="KH24" s="40"/>
      <c r="KI24" s="40"/>
      <c r="KJ24" s="40"/>
      <c r="KK24" s="40"/>
      <c r="KL24" s="40"/>
      <c r="KM24" s="40"/>
      <c r="KN24" s="40"/>
      <c r="KO24" s="40"/>
      <c r="KP24" s="2"/>
      <c r="KQ24" s="2"/>
      <c r="KR24" s="40"/>
      <c r="KS24" s="2"/>
      <c r="KT24" s="2"/>
      <c r="KU24" s="2"/>
      <c r="KV24" s="2"/>
      <c r="KW24" s="2"/>
      <c r="KX24" s="2"/>
      <c r="KY24" s="2"/>
      <c r="KZ24" s="107"/>
      <c r="LA24" s="2"/>
      <c r="LB24" s="2"/>
      <c r="LC24" s="2"/>
      <c r="LD24" s="2"/>
      <c r="LE24" s="2"/>
      <c r="LF24" s="2">
        <f t="shared" si="0"/>
        <v>256</v>
      </c>
    </row>
    <row r="25" spans="1:320" s="4" customFormat="1" hidden="1" x14ac:dyDescent="0.3">
      <c r="A25" s="11"/>
      <c r="B25" s="42">
        <v>550045838</v>
      </c>
      <c r="C25" s="20" t="s">
        <v>912</v>
      </c>
      <c r="D25" s="35" t="s">
        <v>1</v>
      </c>
      <c r="E25" s="3"/>
      <c r="F25" s="9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9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40"/>
      <c r="HT25" s="40">
        <v>1680</v>
      </c>
      <c r="HU25" s="40"/>
      <c r="HV25" s="40"/>
      <c r="HW25" s="40"/>
      <c r="HX25" s="40"/>
      <c r="HY25" s="40"/>
      <c r="HZ25" s="40"/>
      <c r="IA25" s="40"/>
      <c r="IB25" s="40"/>
      <c r="IC25" s="40"/>
      <c r="ID25" s="40"/>
      <c r="IE25" s="40"/>
      <c r="IF25" s="40"/>
      <c r="IG25" s="40"/>
      <c r="IH25" s="40"/>
      <c r="II25" s="40"/>
      <c r="IJ25" s="40"/>
      <c r="IK25" s="40"/>
      <c r="IL25" s="40"/>
      <c r="IM25" s="40"/>
      <c r="IN25" s="40"/>
      <c r="IO25" s="40"/>
      <c r="IP25" s="40"/>
      <c r="IQ25" s="40">
        <v>1540</v>
      </c>
      <c r="IR25" s="40"/>
      <c r="IS25" s="40"/>
      <c r="IT25" s="40"/>
      <c r="IU25" s="40"/>
      <c r="IV25" s="40"/>
      <c r="IW25" s="40"/>
      <c r="IX25" s="40"/>
      <c r="IY25" s="40"/>
      <c r="IZ25" s="40"/>
      <c r="JA25" s="40"/>
      <c r="JB25" s="40"/>
      <c r="JC25" s="40"/>
      <c r="JD25" s="40"/>
      <c r="JE25" s="40"/>
      <c r="JF25" s="40"/>
      <c r="JG25" s="40"/>
      <c r="JH25" s="40">
        <f>192+1915+768</f>
        <v>2875</v>
      </c>
      <c r="JI25" s="40"/>
      <c r="JJ25" s="40">
        <v>480</v>
      </c>
      <c r="JK25" s="40">
        <f>1680+1680</f>
        <v>3360</v>
      </c>
      <c r="JL25" s="40"/>
      <c r="JM25" s="40"/>
      <c r="JN25" s="40"/>
      <c r="JO25" s="40"/>
      <c r="JP25" s="40"/>
      <c r="JQ25" s="40"/>
      <c r="JR25" s="40"/>
      <c r="JS25" s="40"/>
      <c r="JT25" s="40"/>
      <c r="JU25" s="40"/>
      <c r="JV25" s="40"/>
      <c r="JW25" s="40"/>
      <c r="JX25" s="40">
        <v>1</v>
      </c>
      <c r="JY25" s="40"/>
      <c r="JZ25" s="40"/>
      <c r="KA25" s="40"/>
      <c r="KB25" s="40"/>
      <c r="KC25" s="40"/>
      <c r="KD25" s="40"/>
      <c r="KE25" s="40"/>
      <c r="KF25" s="40">
        <v>1600</v>
      </c>
      <c r="KG25" s="40"/>
      <c r="KH25" s="40">
        <v>1600</v>
      </c>
      <c r="KI25" s="40"/>
      <c r="KJ25" s="40"/>
      <c r="KK25" s="40"/>
      <c r="KL25" s="40"/>
      <c r="KM25" s="40"/>
      <c r="KN25" s="40"/>
      <c r="KO25" s="40">
        <v>1280</v>
      </c>
      <c r="KP25" s="2">
        <v>1592</v>
      </c>
      <c r="KQ25" s="2"/>
      <c r="KR25" s="40"/>
      <c r="KS25" s="2"/>
      <c r="KT25" s="2"/>
      <c r="KU25" s="2"/>
      <c r="KV25" s="2"/>
      <c r="KW25" s="2"/>
      <c r="KX25" s="2"/>
      <c r="KY25" s="2"/>
      <c r="KZ25" s="107"/>
      <c r="LA25" s="2"/>
      <c r="LB25" s="2"/>
      <c r="LC25" s="2"/>
      <c r="LD25" s="2"/>
      <c r="LE25" s="2"/>
      <c r="LF25" s="2">
        <f t="shared" si="0"/>
        <v>16008</v>
      </c>
    </row>
    <row r="26" spans="1:320" s="4" customFormat="1" hidden="1" x14ac:dyDescent="0.3">
      <c r="A26" s="11"/>
      <c r="B26" s="42">
        <v>43512905</v>
      </c>
      <c r="C26" s="13" t="s">
        <v>81</v>
      </c>
      <c r="D26" s="35" t="s">
        <v>3</v>
      </c>
      <c r="E26" s="3">
        <f>1760+880</f>
        <v>2640</v>
      </c>
      <c r="F26" s="9">
        <f>1540+916</f>
        <v>2456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>
        <v>1760</v>
      </c>
      <c r="R26" s="2"/>
      <c r="S26" s="2"/>
      <c r="T26" s="2"/>
      <c r="U26" s="2">
        <f>1760+1760</f>
        <v>3520</v>
      </c>
      <c r="V26" s="2">
        <f>1760+1760</f>
        <v>3520</v>
      </c>
      <c r="W26" s="2"/>
      <c r="X26" s="2"/>
      <c r="Y26" s="2"/>
      <c r="Z26" s="2"/>
      <c r="AA26" s="2"/>
      <c r="AB26" s="2"/>
      <c r="AC26" s="2"/>
      <c r="AD26" s="2">
        <v>1760</v>
      </c>
      <c r="AE26" s="2"/>
      <c r="AF26" s="2"/>
      <c r="AG26" s="2">
        <f>880+1760+1760</f>
        <v>4400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>
        <f>1760+1760</f>
        <v>3520</v>
      </c>
      <c r="AV26" s="2"/>
      <c r="AW26" s="2">
        <v>1760</v>
      </c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>
        <v>1760</v>
      </c>
      <c r="BL26" s="2"/>
      <c r="BM26" s="2"/>
      <c r="BN26" s="2"/>
      <c r="BO26" s="2"/>
      <c r="BP26" s="2"/>
      <c r="BQ26" s="2"/>
      <c r="BR26" s="2">
        <f>132+176</f>
        <v>308</v>
      </c>
      <c r="BS26" s="2"/>
      <c r="BT26" s="2"/>
      <c r="BU26" s="2">
        <f>385+385+385+231</f>
        <v>1386</v>
      </c>
      <c r="BV26" s="2"/>
      <c r="BW26" s="2"/>
      <c r="BX26" s="2"/>
      <c r="BY26" s="9">
        <f>22*77</f>
        <v>1694</v>
      </c>
      <c r="BZ26" s="2"/>
      <c r="CA26" s="2">
        <f>22*44</f>
        <v>968</v>
      </c>
      <c r="CB26" s="2">
        <f>968+1430</f>
        <v>2398</v>
      </c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>
        <v>1694</v>
      </c>
      <c r="CN26" s="2"/>
      <c r="CO26" s="2"/>
      <c r="CP26" s="2"/>
      <c r="CQ26" s="2"/>
      <c r="CR26" s="2"/>
      <c r="CS26" s="2">
        <v>1</v>
      </c>
      <c r="CT26" s="2"/>
      <c r="CU26" s="2"/>
      <c r="CV26" s="2"/>
      <c r="CW26" s="2"/>
      <c r="CX26" s="2">
        <v>1</v>
      </c>
      <c r="CY26" s="2">
        <f>7+24</f>
        <v>31</v>
      </c>
      <c r="CZ26" s="2">
        <v>1848</v>
      </c>
      <c r="DA26" s="2">
        <v>1848</v>
      </c>
      <c r="DB26" s="2">
        <v>1848</v>
      </c>
      <c r="DC26" s="2"/>
      <c r="DD26" s="2">
        <f>1848+1848</f>
        <v>3696</v>
      </c>
      <c r="DE26" s="2">
        <f>1848</f>
        <v>1848</v>
      </c>
      <c r="DF26" s="2">
        <f>1848+847</f>
        <v>2695</v>
      </c>
      <c r="DG26" s="2"/>
      <c r="DH26" s="2"/>
      <c r="DI26" s="2"/>
      <c r="DJ26" s="2"/>
      <c r="DK26" s="2"/>
      <c r="DL26" s="2"/>
      <c r="DM26" s="2"/>
      <c r="DN26" s="2"/>
      <c r="DO26" s="2"/>
      <c r="DP26" s="2">
        <f>1760+1760</f>
        <v>3520</v>
      </c>
      <c r="DQ26" s="2">
        <f>1760+1760</f>
        <v>3520</v>
      </c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>
        <v>30</v>
      </c>
      <c r="EG26" s="2"/>
      <c r="EH26" s="2"/>
      <c r="EI26" s="2"/>
      <c r="EJ26" s="2"/>
      <c r="EK26" s="2"/>
      <c r="EL26" s="2"/>
      <c r="EM26" s="2"/>
      <c r="EN26" s="2"/>
      <c r="EO26" s="2">
        <f>880+880</f>
        <v>1760</v>
      </c>
      <c r="EP26" s="2">
        <v>880</v>
      </c>
      <c r="EQ26" s="2"/>
      <c r="ER26" s="2"/>
      <c r="ES26" s="2"/>
      <c r="ET26" s="2"/>
      <c r="EU26" s="2">
        <f>880+880+880</f>
        <v>2640</v>
      </c>
      <c r="EV26" s="2">
        <v>880</v>
      </c>
      <c r="EW26" s="2">
        <v>1760</v>
      </c>
      <c r="EX26" s="2"/>
      <c r="EY26" s="2">
        <v>880</v>
      </c>
      <c r="EZ26" s="2"/>
      <c r="FA26" s="2"/>
      <c r="FB26" s="2"/>
      <c r="FC26" s="2">
        <f>1760+1760</f>
        <v>3520</v>
      </c>
      <c r="FD26" s="2"/>
      <c r="FE26" s="2"/>
      <c r="FF26" s="2"/>
      <c r="FG26" s="2"/>
      <c r="FH26" s="2">
        <f>1760+1760+1760+1760+1760+1760</f>
        <v>10560</v>
      </c>
      <c r="FI26" s="2"/>
      <c r="FJ26" s="2"/>
      <c r="FK26" s="2"/>
      <c r="FL26" s="2"/>
      <c r="FM26" s="2"/>
      <c r="FN26" s="2"/>
      <c r="FO26" s="2"/>
      <c r="FP26" s="2">
        <v>1760</v>
      </c>
      <c r="FQ26" s="2">
        <f>1760+1760</f>
        <v>3520</v>
      </c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>
        <f>1760+1760</f>
        <v>3520</v>
      </c>
      <c r="GI26" s="2">
        <f>1760+1760+1760</f>
        <v>5280</v>
      </c>
      <c r="GJ26" s="2"/>
      <c r="GK26" s="2"/>
      <c r="GL26" s="2"/>
      <c r="GM26" s="2"/>
      <c r="GN26" s="2"/>
      <c r="GO26" s="2"/>
      <c r="GP26" s="2"/>
      <c r="GQ26" s="2">
        <f>1760+1760+1760</f>
        <v>5280</v>
      </c>
      <c r="GR26" s="2">
        <f>528+1760+1760+880+1760</f>
        <v>6688</v>
      </c>
      <c r="GS26" s="2"/>
      <c r="GT26" s="2">
        <f>836+880</f>
        <v>1716</v>
      </c>
      <c r="GU26" s="2"/>
      <c r="GV26" s="2"/>
      <c r="GW26" s="2">
        <f>880+1760</f>
        <v>2640</v>
      </c>
      <c r="GX26" s="2"/>
      <c r="GY26" s="2"/>
      <c r="GZ26" s="2"/>
      <c r="HA26" s="2">
        <f>1760+1760+880</f>
        <v>4400</v>
      </c>
      <c r="HB26" s="2">
        <f>1760+1760+1760+1760</f>
        <v>7040</v>
      </c>
      <c r="HC26" s="2"/>
      <c r="HD26" s="2">
        <v>1760</v>
      </c>
      <c r="HE26" s="2">
        <f>1760+1760+1760</f>
        <v>5280</v>
      </c>
      <c r="HF26" s="2"/>
      <c r="HG26" s="2"/>
      <c r="HH26" s="2"/>
      <c r="HI26" s="2"/>
      <c r="HJ26" s="2">
        <v>748</v>
      </c>
      <c r="HK26" s="2"/>
      <c r="HL26" s="2"/>
      <c r="HM26" s="2"/>
      <c r="HN26" s="2"/>
      <c r="HO26" s="2"/>
      <c r="HP26" s="2"/>
      <c r="HQ26" s="2"/>
      <c r="HR26" s="2"/>
      <c r="HS26" s="40"/>
      <c r="HT26" s="40"/>
      <c r="HU26" s="40">
        <f>880+880</f>
        <v>1760</v>
      </c>
      <c r="HV26" s="40">
        <f>880+880</f>
        <v>1760</v>
      </c>
      <c r="HW26" s="40">
        <f>880+880</f>
        <v>1760</v>
      </c>
      <c r="HX26" s="40"/>
      <c r="HY26" s="40"/>
      <c r="HZ26" s="40">
        <f>880+880</f>
        <v>1760</v>
      </c>
      <c r="IA26" s="40"/>
      <c r="IB26" s="40"/>
      <c r="IC26" s="40"/>
      <c r="ID26" s="40"/>
      <c r="IE26" s="40"/>
      <c r="IF26" s="40">
        <v>1760</v>
      </c>
      <c r="IG26" s="40">
        <f>1760*2</f>
        <v>3520</v>
      </c>
      <c r="IH26" s="40">
        <v>1</v>
      </c>
      <c r="II26" s="40"/>
      <c r="IJ26" s="40">
        <f>1760*5</f>
        <v>8800</v>
      </c>
      <c r="IK26" s="40"/>
      <c r="IL26" s="40"/>
      <c r="IM26" s="40"/>
      <c r="IN26" s="40"/>
      <c r="IO26" s="40"/>
      <c r="IP26" s="40">
        <f>1760*2</f>
        <v>3520</v>
      </c>
      <c r="IQ26" s="40"/>
      <c r="IR26" s="40"/>
      <c r="IS26" s="40"/>
      <c r="IT26" s="40"/>
      <c r="IU26" s="40"/>
      <c r="IV26" s="40"/>
      <c r="IW26" s="40">
        <f>2*1760</f>
        <v>3520</v>
      </c>
      <c r="IX26" s="40"/>
      <c r="IY26" s="40">
        <v>1760</v>
      </c>
      <c r="IZ26" s="40">
        <v>1760</v>
      </c>
      <c r="JA26" s="40"/>
      <c r="JB26" s="40"/>
      <c r="JC26" s="40"/>
      <c r="JD26" s="40"/>
      <c r="JE26" s="40"/>
      <c r="JF26" s="40"/>
      <c r="JG26" s="40"/>
      <c r="JH26" s="40"/>
      <c r="JI26" s="40"/>
      <c r="JJ26" s="40"/>
      <c r="JK26" s="40"/>
      <c r="JL26" s="40"/>
      <c r="JM26" s="40"/>
      <c r="JN26" s="40"/>
      <c r="JO26" s="40"/>
      <c r="JP26" s="40"/>
      <c r="JQ26" s="40"/>
      <c r="JR26" s="40"/>
      <c r="JS26" s="40"/>
      <c r="JT26" s="40"/>
      <c r="JU26" s="40"/>
      <c r="JV26" s="40"/>
      <c r="JW26" s="40"/>
      <c r="JX26" s="40"/>
      <c r="JY26" s="40"/>
      <c r="JZ26" s="40"/>
      <c r="KA26" s="40"/>
      <c r="KB26" s="40"/>
      <c r="KC26" s="40"/>
      <c r="KD26" s="40"/>
      <c r="KE26" s="40"/>
      <c r="KF26" s="40"/>
      <c r="KG26" s="40"/>
      <c r="KH26" s="40"/>
      <c r="KI26" s="40"/>
      <c r="KJ26" s="40"/>
      <c r="KK26" s="40"/>
      <c r="KL26" s="40"/>
      <c r="KM26" s="40"/>
      <c r="KN26" s="40"/>
      <c r="KO26" s="40"/>
      <c r="KP26" s="2"/>
      <c r="KQ26" s="2"/>
      <c r="KR26" s="40"/>
      <c r="KS26" s="2"/>
      <c r="KT26" s="2"/>
      <c r="KU26" s="2"/>
      <c r="KV26" s="2"/>
      <c r="KW26" s="2"/>
      <c r="KX26" s="2"/>
      <c r="KY26" s="2"/>
      <c r="KZ26" s="107"/>
      <c r="LA26" s="2"/>
      <c r="LB26" s="2"/>
      <c r="LC26" s="2"/>
      <c r="LD26" s="2"/>
      <c r="LE26" s="2"/>
      <c r="LF26" s="2">
        <f t="shared" si="0"/>
        <v>160623</v>
      </c>
    </row>
    <row r="27" spans="1:320" s="11" customFormat="1" hidden="1" x14ac:dyDescent="0.3">
      <c r="B27" s="42">
        <v>550045901</v>
      </c>
      <c r="C27" s="20" t="s">
        <v>929</v>
      </c>
      <c r="D27" s="35" t="s">
        <v>2</v>
      </c>
      <c r="E27" s="3"/>
      <c r="F27" s="9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9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40"/>
      <c r="HT27" s="40"/>
      <c r="HU27" s="40"/>
      <c r="HV27" s="40"/>
      <c r="HW27" s="40"/>
      <c r="HX27" s="40"/>
      <c r="HY27" s="40"/>
      <c r="HZ27" s="40"/>
      <c r="IA27" s="40"/>
      <c r="IB27" s="40"/>
      <c r="IC27" s="40"/>
      <c r="ID27" s="40"/>
      <c r="IE27" s="40"/>
      <c r="IF27" s="40"/>
      <c r="IG27" s="40"/>
      <c r="IH27" s="40"/>
      <c r="II27" s="40"/>
      <c r="IJ27" s="40"/>
      <c r="IK27" s="40"/>
      <c r="IL27" s="40">
        <v>3325</v>
      </c>
      <c r="IM27" s="40"/>
      <c r="IN27" s="40"/>
      <c r="IO27" s="40"/>
      <c r="IP27" s="40"/>
      <c r="IQ27" s="40"/>
      <c r="IR27" s="40">
        <v>3325</v>
      </c>
      <c r="IS27" s="40">
        <v>3325</v>
      </c>
      <c r="IT27" s="40"/>
      <c r="IU27" s="40"/>
      <c r="IV27" s="40"/>
      <c r="IW27" s="40"/>
      <c r="IX27" s="40"/>
      <c r="IY27" s="40"/>
      <c r="IZ27" s="40"/>
      <c r="JA27" s="40"/>
      <c r="JB27" s="40"/>
      <c r="JC27" s="40"/>
      <c r="JD27" s="40"/>
      <c r="JE27" s="40"/>
      <c r="JF27" s="40"/>
      <c r="JG27" s="40"/>
      <c r="JH27" s="40"/>
      <c r="JI27" s="40"/>
      <c r="JJ27" s="40"/>
      <c r="JK27" s="40">
        <v>3325</v>
      </c>
      <c r="JL27" s="40"/>
      <c r="JM27" s="40"/>
      <c r="JN27" s="40">
        <f>3325*2+2275</f>
        <v>8925</v>
      </c>
      <c r="JO27" s="40"/>
      <c r="JP27" s="40">
        <v>3325</v>
      </c>
      <c r="JQ27" s="40"/>
      <c r="JR27" s="40">
        <f>3325*2</f>
        <v>6650</v>
      </c>
      <c r="JS27" s="40"/>
      <c r="JT27" s="40"/>
      <c r="JU27" s="40"/>
      <c r="JV27" s="40"/>
      <c r="JW27" s="40"/>
      <c r="JX27" s="40"/>
      <c r="JY27" s="40"/>
      <c r="JZ27" s="40"/>
      <c r="KA27" s="40"/>
      <c r="KB27" s="40"/>
      <c r="KC27" s="40"/>
      <c r="KD27" s="40"/>
      <c r="KE27" s="40"/>
      <c r="KF27" s="40">
        <v>3325</v>
      </c>
      <c r="KG27" s="40"/>
      <c r="KH27" s="40"/>
      <c r="KI27" s="40"/>
      <c r="KJ27" s="40"/>
      <c r="KK27" s="40"/>
      <c r="KL27" s="40"/>
      <c r="KM27" s="40">
        <v>3325</v>
      </c>
      <c r="KN27" s="40"/>
      <c r="KO27" s="40"/>
      <c r="KP27" s="2"/>
      <c r="KQ27" s="2"/>
      <c r="KR27" s="40"/>
      <c r="KS27" s="2"/>
      <c r="KT27" s="2"/>
      <c r="KU27" s="2"/>
      <c r="KV27" s="2"/>
      <c r="KW27" s="2"/>
      <c r="KX27" s="2"/>
      <c r="KY27" s="2"/>
      <c r="KZ27" s="107"/>
      <c r="LA27" s="2"/>
      <c r="LB27" s="2"/>
      <c r="LC27" s="2"/>
      <c r="LD27" s="2"/>
      <c r="LE27" s="2"/>
      <c r="LF27" s="2">
        <f t="shared" si="0"/>
        <v>38850</v>
      </c>
    </row>
    <row r="28" spans="1:320" s="11" customFormat="1" hidden="1" x14ac:dyDescent="0.3">
      <c r="B28" s="42">
        <v>43509809</v>
      </c>
      <c r="C28" s="13" t="s">
        <v>83</v>
      </c>
      <c r="D28" s="35">
        <v>209</v>
      </c>
      <c r="E28" s="3"/>
      <c r="F28" s="9"/>
      <c r="G28" s="2"/>
      <c r="H28" s="2"/>
      <c r="I28" s="2"/>
      <c r="J28" s="2"/>
      <c r="K28" s="2"/>
      <c r="L28" s="2"/>
      <c r="M28" s="2"/>
      <c r="N28" s="2"/>
      <c r="O28" s="2"/>
      <c r="P28" s="2"/>
      <c r="Q28" s="2">
        <v>128</v>
      </c>
      <c r="R28" s="2"/>
      <c r="S28" s="2"/>
      <c r="T28" s="2">
        <v>128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>
        <v>128</v>
      </c>
      <c r="AG28" s="2"/>
      <c r="AH28" s="2"/>
      <c r="AI28" s="2">
        <v>28</v>
      </c>
      <c r="AJ28" s="2">
        <v>60</v>
      </c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>
        <v>128</v>
      </c>
      <c r="AW28" s="2">
        <v>80</v>
      </c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>
        <f>7*4</f>
        <v>28</v>
      </c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40"/>
      <c r="HT28" s="40"/>
      <c r="HU28" s="40"/>
      <c r="HV28" s="40"/>
      <c r="HW28" s="40"/>
      <c r="HX28" s="40"/>
      <c r="HY28" s="40"/>
      <c r="HZ28" s="40"/>
      <c r="IA28" s="40"/>
      <c r="IB28" s="40"/>
      <c r="IC28" s="40"/>
      <c r="ID28" s="40"/>
      <c r="IE28" s="40"/>
      <c r="IF28" s="40"/>
      <c r="IG28" s="40"/>
      <c r="IH28" s="40"/>
      <c r="II28" s="40"/>
      <c r="IJ28" s="40"/>
      <c r="IK28" s="40"/>
      <c r="IL28" s="40"/>
      <c r="IM28" s="40"/>
      <c r="IN28" s="40"/>
      <c r="IO28" s="40"/>
      <c r="IP28" s="40"/>
      <c r="IQ28" s="40"/>
      <c r="IR28" s="40"/>
      <c r="IS28" s="40"/>
      <c r="IT28" s="40"/>
      <c r="IU28" s="40"/>
      <c r="IV28" s="40"/>
      <c r="IW28" s="40"/>
      <c r="IX28" s="40"/>
      <c r="IY28" s="40"/>
      <c r="IZ28" s="40"/>
      <c r="JA28" s="40"/>
      <c r="JB28" s="40"/>
      <c r="JC28" s="40"/>
      <c r="JD28" s="40"/>
      <c r="JE28" s="40"/>
      <c r="JF28" s="40"/>
      <c r="JG28" s="40"/>
      <c r="JH28" s="40"/>
      <c r="JI28" s="40"/>
      <c r="JJ28" s="40"/>
      <c r="JK28" s="40"/>
      <c r="JL28" s="40"/>
      <c r="JM28" s="40"/>
      <c r="JN28" s="40"/>
      <c r="JO28" s="40"/>
      <c r="JP28" s="40"/>
      <c r="JQ28" s="40"/>
      <c r="JR28" s="40"/>
      <c r="JS28" s="40"/>
      <c r="JT28" s="40"/>
      <c r="JU28" s="40"/>
      <c r="JV28" s="40"/>
      <c r="JW28" s="40"/>
      <c r="JX28" s="40"/>
      <c r="JY28" s="40"/>
      <c r="JZ28" s="40"/>
      <c r="KA28" s="40"/>
      <c r="KB28" s="40"/>
      <c r="KC28" s="40"/>
      <c r="KD28" s="40"/>
      <c r="KE28" s="40"/>
      <c r="KF28" s="40"/>
      <c r="KG28" s="40"/>
      <c r="KH28" s="40"/>
      <c r="KI28" s="40"/>
      <c r="KJ28" s="40"/>
      <c r="KK28" s="40"/>
      <c r="KL28" s="40"/>
      <c r="KM28" s="40"/>
      <c r="KN28" s="40"/>
      <c r="KO28" s="40"/>
      <c r="KP28" s="2"/>
      <c r="KQ28" s="2"/>
      <c r="KR28" s="40"/>
      <c r="KS28" s="2"/>
      <c r="KT28" s="2"/>
      <c r="KU28" s="2"/>
      <c r="KV28" s="2"/>
      <c r="KW28" s="2"/>
      <c r="KX28" s="2"/>
      <c r="KY28" s="2"/>
      <c r="KZ28" s="107"/>
      <c r="LA28" s="2"/>
      <c r="LB28" s="2"/>
      <c r="LC28" s="2"/>
      <c r="LD28" s="2"/>
      <c r="LE28" s="2"/>
      <c r="LF28" s="2">
        <f t="shared" si="0"/>
        <v>708</v>
      </c>
    </row>
    <row r="29" spans="1:320" s="11" customFormat="1" hidden="1" x14ac:dyDescent="0.3">
      <c r="B29" s="42">
        <v>550053426</v>
      </c>
      <c r="C29" s="13" t="s">
        <v>85</v>
      </c>
      <c r="D29" s="35">
        <v>209</v>
      </c>
      <c r="E29" s="3"/>
      <c r="F29" s="9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>
        <f>96+96</f>
        <v>192</v>
      </c>
      <c r="AD29" s="2"/>
      <c r="AE29" s="2"/>
      <c r="AF29" s="2"/>
      <c r="AG29" s="2"/>
      <c r="AH29" s="2">
        <v>96</v>
      </c>
      <c r="AI29" s="2">
        <v>36</v>
      </c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>
        <v>96</v>
      </c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>
        <v>36</v>
      </c>
      <c r="FZ29" s="2"/>
      <c r="GA29" s="2"/>
      <c r="GB29" s="2"/>
      <c r="GC29" s="2">
        <f>48</f>
        <v>48</v>
      </c>
      <c r="GD29" s="2"/>
      <c r="GE29" s="2"/>
      <c r="GF29" s="2"/>
      <c r="GG29" s="2">
        <v>48</v>
      </c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40"/>
      <c r="HT29" s="40"/>
      <c r="HU29" s="40"/>
      <c r="HV29" s="40"/>
      <c r="HW29" s="40"/>
      <c r="HX29" s="40"/>
      <c r="HY29" s="40"/>
      <c r="HZ29" s="40"/>
      <c r="IA29" s="40"/>
      <c r="IB29" s="40"/>
      <c r="IC29" s="40"/>
      <c r="ID29" s="40"/>
      <c r="IE29" s="40"/>
      <c r="IF29" s="40"/>
      <c r="IG29" s="40"/>
      <c r="IH29" s="40"/>
      <c r="II29" s="40"/>
      <c r="IJ29" s="40"/>
      <c r="IK29" s="40"/>
      <c r="IL29" s="40"/>
      <c r="IM29" s="40"/>
      <c r="IN29" s="40"/>
      <c r="IO29" s="40"/>
      <c r="IP29" s="40"/>
      <c r="IQ29" s="40"/>
      <c r="IR29" s="40"/>
      <c r="IS29" s="40"/>
      <c r="IT29" s="40"/>
      <c r="IU29" s="40"/>
      <c r="IV29" s="40"/>
      <c r="IW29" s="40"/>
      <c r="IX29" s="40"/>
      <c r="IY29" s="40"/>
      <c r="IZ29" s="40"/>
      <c r="JA29" s="40"/>
      <c r="JB29" s="40"/>
      <c r="JC29" s="40"/>
      <c r="JD29" s="40"/>
      <c r="JE29" s="40"/>
      <c r="JF29" s="40"/>
      <c r="JG29" s="40"/>
      <c r="JH29" s="40"/>
      <c r="JI29" s="40"/>
      <c r="JJ29" s="40"/>
      <c r="JK29" s="40"/>
      <c r="JL29" s="40"/>
      <c r="JM29" s="40"/>
      <c r="JN29" s="40"/>
      <c r="JO29" s="40"/>
      <c r="JP29" s="40"/>
      <c r="JQ29" s="40"/>
      <c r="JR29" s="40"/>
      <c r="JS29" s="40"/>
      <c r="JT29" s="40">
        <v>96</v>
      </c>
      <c r="JU29" s="40"/>
      <c r="JV29" s="40"/>
      <c r="JW29" s="40"/>
      <c r="JX29" s="40"/>
      <c r="JY29" s="40"/>
      <c r="JZ29" s="40"/>
      <c r="KA29" s="40"/>
      <c r="KB29" s="40"/>
      <c r="KC29" s="40"/>
      <c r="KD29" s="40"/>
      <c r="KE29" s="40"/>
      <c r="KF29" s="40"/>
      <c r="KG29" s="40"/>
      <c r="KH29" s="40"/>
      <c r="KI29" s="40"/>
      <c r="KJ29" s="40"/>
      <c r="KK29" s="40"/>
      <c r="KL29" s="40"/>
      <c r="KM29" s="40"/>
      <c r="KN29" s="40"/>
      <c r="KO29" s="40"/>
      <c r="KP29" s="2"/>
      <c r="KQ29" s="2"/>
      <c r="KR29" s="40"/>
      <c r="KS29" s="2"/>
      <c r="KT29" s="2"/>
      <c r="KU29" s="2"/>
      <c r="KV29" s="2"/>
      <c r="KW29" s="2"/>
      <c r="KX29" s="2"/>
      <c r="KY29" s="2"/>
      <c r="KZ29" s="107"/>
      <c r="LA29" s="2"/>
      <c r="LB29" s="2"/>
      <c r="LC29" s="2"/>
      <c r="LD29" s="2"/>
      <c r="LE29" s="2"/>
      <c r="LF29" s="2">
        <f t="shared" si="0"/>
        <v>648</v>
      </c>
    </row>
    <row r="30" spans="1:320" hidden="1" x14ac:dyDescent="0.3">
      <c r="B30" s="42">
        <v>550045853</v>
      </c>
      <c r="C30" s="13" t="s">
        <v>87</v>
      </c>
      <c r="D30" s="35" t="s">
        <v>1</v>
      </c>
      <c r="E30" s="3"/>
      <c r="F30" s="9"/>
      <c r="G30" s="2">
        <v>27</v>
      </c>
      <c r="H30" s="2"/>
      <c r="I30" s="2">
        <v>1680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>
        <v>1680</v>
      </c>
      <c r="X30" s="2"/>
      <c r="Y30" s="2"/>
      <c r="Z30" s="2"/>
      <c r="AA30" s="2"/>
      <c r="AB30" s="2"/>
      <c r="AC30" s="2">
        <f>1680+1680</f>
        <v>3360</v>
      </c>
      <c r="AD30" s="2">
        <f>160+1520</f>
        <v>1680</v>
      </c>
      <c r="AE30" s="2">
        <v>1680</v>
      </c>
      <c r="AF30" s="2"/>
      <c r="AG30" s="2"/>
      <c r="AH30" s="2"/>
      <c r="AI30" s="2"/>
      <c r="AJ30" s="2"/>
      <c r="AK30" s="2">
        <v>840</v>
      </c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>
        <v>1680</v>
      </c>
      <c r="AW30" s="2"/>
      <c r="AX30" s="2">
        <v>1680</v>
      </c>
      <c r="AY30" s="2"/>
      <c r="AZ30" s="2"/>
      <c r="BA30" s="2"/>
      <c r="BB30" s="2"/>
      <c r="BC30" s="2"/>
      <c r="BD30" s="2"/>
      <c r="BE30" s="2">
        <f>1680+1680</f>
        <v>3360</v>
      </c>
      <c r="BF30" s="2"/>
      <c r="BG30" s="2"/>
      <c r="BH30" s="2">
        <v>1680</v>
      </c>
      <c r="BI30" s="2"/>
      <c r="BJ30" s="2">
        <f>1680+1680</f>
        <v>3360</v>
      </c>
      <c r="BK30" s="2"/>
      <c r="BL30" s="2"/>
      <c r="BM30" s="2">
        <f>1680+1680+1680+1680</f>
        <v>6720</v>
      </c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>
        <v>1760</v>
      </c>
      <c r="CO30" s="2">
        <v>1920</v>
      </c>
      <c r="CP30" s="2"/>
      <c r="CQ30" s="2">
        <v>1920</v>
      </c>
      <c r="CR30" s="2">
        <v>1040</v>
      </c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>
        <f>1600+1680+1680+1680+1680</f>
        <v>8320</v>
      </c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>
        <v>640</v>
      </c>
      <c r="FO30" s="2">
        <f>1680+1680</f>
        <v>3360</v>
      </c>
      <c r="FP30" s="2"/>
      <c r="FQ30" s="2">
        <v>880</v>
      </c>
      <c r="FR30" s="2"/>
      <c r="FS30" s="2"/>
      <c r="FT30" s="2"/>
      <c r="FU30" s="2"/>
      <c r="FV30" s="2"/>
      <c r="FW30" s="2"/>
      <c r="FX30" s="2">
        <v>1680</v>
      </c>
      <c r="FY30" s="2">
        <v>1680</v>
      </c>
      <c r="FZ30" s="2">
        <v>1680</v>
      </c>
      <c r="GA30" s="2"/>
      <c r="GB30" s="2"/>
      <c r="GC30" s="2"/>
      <c r="GD30" s="2"/>
      <c r="GE30" s="2">
        <f>4</f>
        <v>4</v>
      </c>
      <c r="GF30" s="2"/>
      <c r="GG30" s="2"/>
      <c r="GH30" s="2"/>
      <c r="GI30" s="2"/>
      <c r="GJ30" s="2">
        <f>1680+1680+1680+1680</f>
        <v>6720</v>
      </c>
      <c r="GK30" s="2">
        <f>480</f>
        <v>480</v>
      </c>
      <c r="GL30" s="2">
        <v>880</v>
      </c>
      <c r="GM30" s="2"/>
      <c r="GN30" s="2"/>
      <c r="GO30" s="2">
        <f>1680+1680+1680</f>
        <v>5040</v>
      </c>
      <c r="GP30" s="2">
        <f>1680</f>
        <v>1680</v>
      </c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>
        <f>1680+1680</f>
        <v>3360</v>
      </c>
      <c r="HS30" s="40">
        <f>1680+1680</f>
        <v>3360</v>
      </c>
      <c r="HT30" s="40">
        <f>1680*3+80</f>
        <v>5120</v>
      </c>
      <c r="HU30" s="40"/>
      <c r="HV30" s="40"/>
      <c r="HW30" s="40"/>
      <c r="HX30" s="50">
        <v>1680</v>
      </c>
      <c r="HY30" s="50"/>
      <c r="HZ30" s="40"/>
      <c r="IA30" s="40"/>
      <c r="IB30" s="40"/>
      <c r="IC30" s="40">
        <v>1680</v>
      </c>
      <c r="ID30" s="40"/>
      <c r="IE30" s="40"/>
      <c r="IF30" s="40"/>
      <c r="IG30" s="40"/>
      <c r="IH30" s="40"/>
      <c r="II30" s="40">
        <f>1680*2</f>
        <v>3360</v>
      </c>
      <c r="IJ30" s="40"/>
      <c r="IK30" s="40"/>
      <c r="IL30" s="40"/>
      <c r="IM30" s="40"/>
      <c r="IN30" s="40"/>
      <c r="IO30" s="40">
        <f>1680*2</f>
        <v>3360</v>
      </c>
      <c r="IP30" s="40"/>
      <c r="IQ30" s="40">
        <v>1680</v>
      </c>
      <c r="IR30" s="40">
        <v>3360</v>
      </c>
      <c r="IS30" s="40"/>
      <c r="IT30" s="40"/>
      <c r="IU30" s="40"/>
      <c r="IV30" s="40">
        <f>1680*2</f>
        <v>3360</v>
      </c>
      <c r="IW30" s="40"/>
      <c r="IX30" s="40"/>
      <c r="IY30" s="40"/>
      <c r="IZ30" s="40"/>
      <c r="JA30" s="40"/>
      <c r="JB30" s="40">
        <v>3360</v>
      </c>
      <c r="JC30" s="40"/>
      <c r="JD30" s="40"/>
      <c r="JE30" s="40"/>
      <c r="JF30" s="40"/>
      <c r="JG30" s="40"/>
      <c r="JH30" s="40"/>
      <c r="JI30" s="40"/>
      <c r="JJ30" s="40"/>
      <c r="JK30" s="40"/>
      <c r="JL30" s="40"/>
      <c r="JM30" s="40"/>
      <c r="JN30" s="40"/>
      <c r="JO30" s="40"/>
      <c r="JP30" s="40"/>
      <c r="JQ30" s="40"/>
      <c r="JR30" s="40"/>
      <c r="JS30" s="40"/>
      <c r="JT30" s="40"/>
      <c r="JU30" s="40"/>
      <c r="JV30" s="40"/>
      <c r="JW30" s="40"/>
      <c r="JX30" s="40">
        <v>1</v>
      </c>
      <c r="JY30" s="40"/>
      <c r="JZ30" s="40"/>
      <c r="KA30" s="40"/>
      <c r="KB30" s="40"/>
      <c r="KC30" s="40"/>
      <c r="KD30" s="40"/>
      <c r="KE30" s="40"/>
      <c r="KF30" s="40">
        <v>1600</v>
      </c>
      <c r="KG30" s="40"/>
      <c r="KH30" s="40"/>
      <c r="KI30" s="87">
        <v>4</v>
      </c>
      <c r="KJ30" s="40">
        <v>1600</v>
      </c>
      <c r="KK30" s="40"/>
      <c r="KL30" s="40"/>
      <c r="KM30" s="40"/>
      <c r="KN30" s="40"/>
      <c r="KO30" s="40"/>
      <c r="KP30" s="2"/>
      <c r="KQ30" s="2"/>
      <c r="KR30" s="40"/>
      <c r="KS30" s="2">
        <v>400</v>
      </c>
      <c r="KT30" s="2"/>
      <c r="KU30" s="2"/>
      <c r="KV30" s="2"/>
      <c r="KW30" s="2"/>
      <c r="KX30" s="2"/>
      <c r="KY30" s="2"/>
      <c r="KZ30" s="107"/>
      <c r="LA30" s="2"/>
      <c r="LB30" s="2"/>
      <c r="LC30" s="2"/>
      <c r="LD30" s="2"/>
      <c r="LE30" s="2"/>
      <c r="LF30" s="2">
        <f t="shared" si="0"/>
        <v>106396</v>
      </c>
      <c r="LH30" s="4"/>
    </row>
    <row r="31" spans="1:320" s="11" customFormat="1" hidden="1" x14ac:dyDescent="0.3">
      <c r="B31" s="42">
        <v>550045885</v>
      </c>
      <c r="C31" s="89" t="s">
        <v>89</v>
      </c>
      <c r="D31" s="10" t="s">
        <v>2</v>
      </c>
      <c r="E31" s="3">
        <v>3500</v>
      </c>
      <c r="F31" s="9">
        <v>700</v>
      </c>
      <c r="G31" s="2">
        <v>249</v>
      </c>
      <c r="H31" s="2">
        <f>3500+3500</f>
        <v>7000</v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>
        <f>3500+1750+3500</f>
        <v>8750</v>
      </c>
      <c r="X31" s="2"/>
      <c r="Y31" s="2"/>
      <c r="Z31" s="2"/>
      <c r="AA31" s="2"/>
      <c r="AB31" s="2"/>
      <c r="AC31" s="2">
        <f>3500+3500+3500+3500+3500</f>
        <v>17500</v>
      </c>
      <c r="AD31" s="2"/>
      <c r="AE31" s="2">
        <v>1750</v>
      </c>
      <c r="AF31" s="2">
        <v>3500</v>
      </c>
      <c r="AG31" s="2">
        <v>3500</v>
      </c>
      <c r="AH31" s="2">
        <f>3325+3500</f>
        <v>6825</v>
      </c>
      <c r="AI31" s="2"/>
      <c r="AJ31" s="2"/>
      <c r="AK31" s="2">
        <f>3500+3500+3500</f>
        <v>10500</v>
      </c>
      <c r="AL31" s="2"/>
      <c r="AM31" s="2">
        <v>3500</v>
      </c>
      <c r="AN31" s="2">
        <v>3500</v>
      </c>
      <c r="AO31" s="2"/>
      <c r="AP31" s="2"/>
      <c r="AQ31" s="2"/>
      <c r="AR31" s="2"/>
      <c r="AS31" s="2"/>
      <c r="AT31" s="2"/>
      <c r="AU31" s="2"/>
      <c r="AV31" s="2">
        <f>3500+3500</f>
        <v>7000</v>
      </c>
      <c r="AW31" s="2">
        <f>3500+3500</f>
        <v>7000</v>
      </c>
      <c r="AX31" s="2">
        <f>3500+3500</f>
        <v>7000</v>
      </c>
      <c r="AY31" s="2">
        <v>3500</v>
      </c>
      <c r="AZ31" s="2">
        <v>3500</v>
      </c>
      <c r="BA31" s="2"/>
      <c r="BB31" s="2">
        <v>3500</v>
      </c>
      <c r="BC31" s="2">
        <f>3500+3500</f>
        <v>7000</v>
      </c>
      <c r="BD31" s="2"/>
      <c r="BE31" s="2">
        <f>500+3500+3500</f>
        <v>7500</v>
      </c>
      <c r="BF31" s="2">
        <v>3500</v>
      </c>
      <c r="BG31" s="2"/>
      <c r="BH31" s="2">
        <f>3500+3500+3499</f>
        <v>10499</v>
      </c>
      <c r="BI31" s="2"/>
      <c r="BJ31" s="2"/>
      <c r="BK31" s="2"/>
      <c r="BL31" s="2">
        <v>3500</v>
      </c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>
        <v>1575</v>
      </c>
      <c r="CS31" s="2"/>
      <c r="CT31" s="2"/>
      <c r="CU31" s="2"/>
      <c r="CV31" s="2"/>
      <c r="CW31" s="2"/>
      <c r="CX31" s="2"/>
      <c r="CY31" s="2">
        <f>25+175</f>
        <v>200</v>
      </c>
      <c r="CZ31" s="2"/>
      <c r="DA31" s="2"/>
      <c r="DB31" s="2"/>
      <c r="DC31" s="2"/>
      <c r="DD31" s="2"/>
      <c r="DE31" s="2"/>
      <c r="DF31" s="2">
        <v>1925</v>
      </c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>
        <f>2100+2450+2450</f>
        <v>7000</v>
      </c>
      <c r="DT31" s="2"/>
      <c r="DU31" s="2"/>
      <c r="DV31" s="2">
        <v>3850</v>
      </c>
      <c r="DW31" s="2">
        <v>2450</v>
      </c>
      <c r="DX31" s="2">
        <f>2450+2450+2450</f>
        <v>7350</v>
      </c>
      <c r="DY31" s="2"/>
      <c r="DZ31" s="2">
        <v>2450</v>
      </c>
      <c r="EA31" s="2">
        <f>14*175</f>
        <v>2450</v>
      </c>
      <c r="EB31" s="2">
        <v>2450</v>
      </c>
      <c r="EC31" s="2"/>
      <c r="ED31" s="2">
        <v>2450</v>
      </c>
      <c r="EE31" s="2">
        <f>2450+2450+2450</f>
        <v>7350</v>
      </c>
      <c r="EF31" s="2">
        <v>2450</v>
      </c>
      <c r="EG31" s="2">
        <v>2450</v>
      </c>
      <c r="EH31" s="2"/>
      <c r="EI31" s="2"/>
      <c r="EJ31" s="2"/>
      <c r="EK31" s="2">
        <v>2450</v>
      </c>
      <c r="EL31" s="2">
        <v>700</v>
      </c>
      <c r="EM31" s="2">
        <f>3850+3850</f>
        <v>7700</v>
      </c>
      <c r="EN31" s="2"/>
      <c r="EO31" s="2"/>
      <c r="EP31" s="2"/>
      <c r="EQ31" s="2"/>
      <c r="ER31" s="2">
        <v>3850</v>
      </c>
      <c r="ES31" s="2">
        <v>2450</v>
      </c>
      <c r="ET31" s="2">
        <v>2450</v>
      </c>
      <c r="EU31" s="2">
        <f>3850+3850+3850+3850</f>
        <v>15400</v>
      </c>
      <c r="EV31" s="2">
        <f>3325+3325+3325+3500</f>
        <v>13475</v>
      </c>
      <c r="EW31" s="2"/>
      <c r="EX31" s="2">
        <v>1750</v>
      </c>
      <c r="EY31" s="2"/>
      <c r="EZ31" s="2"/>
      <c r="FA31" s="2"/>
      <c r="FB31" s="2"/>
      <c r="FC31" s="2"/>
      <c r="FD31" s="2"/>
      <c r="FE31" s="2">
        <v>3150</v>
      </c>
      <c r="FF31" s="2">
        <v>3500</v>
      </c>
      <c r="FG31" s="2"/>
      <c r="FH31" s="2"/>
      <c r="FI31" s="2"/>
      <c r="FJ31" s="2"/>
      <c r="FK31" s="2"/>
      <c r="FL31" s="2"/>
      <c r="FM31" s="2"/>
      <c r="FN31" s="2">
        <f>3500+3325+2100</f>
        <v>8925</v>
      </c>
      <c r="FO31" s="2">
        <f>3500+3500</f>
        <v>7000</v>
      </c>
      <c r="FP31" s="2"/>
      <c r="FQ31" s="2"/>
      <c r="FR31" s="2"/>
      <c r="FS31" s="2">
        <f>3500+3500+3500</f>
        <v>10500</v>
      </c>
      <c r="FT31" s="2"/>
      <c r="FU31" s="2"/>
      <c r="FV31" s="2"/>
      <c r="FW31" s="2"/>
      <c r="FX31" s="2">
        <f>3150+3325</f>
        <v>6475</v>
      </c>
      <c r="FY31" s="2">
        <v>3325</v>
      </c>
      <c r="FZ31" s="2">
        <f>3325+3325</f>
        <v>6650</v>
      </c>
      <c r="GA31" s="2">
        <f>3325+3325+3325+3325</f>
        <v>13300</v>
      </c>
      <c r="GB31" s="2"/>
      <c r="GC31" s="2">
        <f>3325+3325+3325</f>
        <v>9975</v>
      </c>
      <c r="GD31" s="2"/>
      <c r="GE31" s="2">
        <f>3500+3500+3500+3500+7</f>
        <v>14007</v>
      </c>
      <c r="GF31" s="2"/>
      <c r="GG31" s="2">
        <f>1575+3325+3325+3325+3325+3325</f>
        <v>18200</v>
      </c>
      <c r="GH31" s="2"/>
      <c r="GI31" s="2"/>
      <c r="GJ31" s="2">
        <f>1050</f>
        <v>1050</v>
      </c>
      <c r="GK31" s="2">
        <f>1750</f>
        <v>1750</v>
      </c>
      <c r="GL31" s="2"/>
      <c r="GM31" s="2"/>
      <c r="GN31" s="2">
        <f>3325+3325+3325+3325+3325</f>
        <v>16625</v>
      </c>
      <c r="GO31" s="2">
        <f>3325+3325+3325+3325+3325</f>
        <v>16625</v>
      </c>
      <c r="GP31" s="2">
        <f>3325+3325</f>
        <v>6650</v>
      </c>
      <c r="GQ31" s="2">
        <f>3325+3325+3325+3325</f>
        <v>13300</v>
      </c>
      <c r="GR31" s="2"/>
      <c r="GS31" s="2">
        <f>875</f>
        <v>875</v>
      </c>
      <c r="GT31" s="2"/>
      <c r="GU31" s="2"/>
      <c r="GV31" s="2"/>
      <c r="GW31" s="2"/>
      <c r="GX31" s="2"/>
      <c r="GY31" s="2"/>
      <c r="GZ31" s="2">
        <v>175</v>
      </c>
      <c r="HA31" s="2"/>
      <c r="HB31" s="2"/>
      <c r="HC31" s="2"/>
      <c r="HD31" s="2"/>
      <c r="HE31" s="2"/>
      <c r="HF31" s="2"/>
      <c r="HG31" s="2"/>
      <c r="HH31" s="2"/>
      <c r="HI31" s="2"/>
      <c r="HJ31" s="2">
        <f>3325+3325+3325+3325+3325+3325+3325+3325+3325</f>
        <v>29925</v>
      </c>
      <c r="HK31" s="2"/>
      <c r="HL31" s="2"/>
      <c r="HM31" s="2">
        <v>3325</v>
      </c>
      <c r="HN31" s="2">
        <f>3325*7</f>
        <v>23275</v>
      </c>
      <c r="HO31" s="2"/>
      <c r="HP31" s="2"/>
      <c r="HQ31" s="2"/>
      <c r="HR31" s="2"/>
      <c r="HS31" s="40">
        <v>2975</v>
      </c>
      <c r="HT31" s="40">
        <f>3325*3</f>
        <v>9975</v>
      </c>
      <c r="HU31" s="40"/>
      <c r="HV31" s="40"/>
      <c r="HW31" s="40"/>
      <c r="HX31" s="50">
        <f>3325*3</f>
        <v>9975</v>
      </c>
      <c r="HY31" s="50">
        <v>3325</v>
      </c>
      <c r="HZ31" s="40"/>
      <c r="IA31" s="40"/>
      <c r="IB31" s="40"/>
      <c r="IC31" s="40">
        <f>3325*3</f>
        <v>9975</v>
      </c>
      <c r="ID31" s="40">
        <f>3325*4</f>
        <v>13300</v>
      </c>
      <c r="IE31" s="40"/>
      <c r="IF31" s="40"/>
      <c r="IG31" s="40"/>
      <c r="IH31" s="40">
        <v>1</v>
      </c>
      <c r="II31" s="40">
        <v>2975</v>
      </c>
      <c r="IJ31" s="40"/>
      <c r="IK31" s="40">
        <f>3325*4</f>
        <v>13300</v>
      </c>
      <c r="IL31" s="40">
        <f>3325*2</f>
        <v>6650</v>
      </c>
      <c r="IM31" s="40"/>
      <c r="IN31" s="40"/>
      <c r="IO31" s="40">
        <f>4*3325</f>
        <v>13300</v>
      </c>
      <c r="IP31" s="40"/>
      <c r="IQ31" s="40"/>
      <c r="IR31" s="40"/>
      <c r="IS31" s="40"/>
      <c r="IT31" s="40"/>
      <c r="IU31" s="40"/>
      <c r="IV31" s="40"/>
      <c r="IW31" s="40"/>
      <c r="IX31" s="40"/>
      <c r="IY31" s="40"/>
      <c r="IZ31" s="40"/>
      <c r="JA31" s="40"/>
      <c r="JB31" s="40">
        <v>1750</v>
      </c>
      <c r="JC31" s="40"/>
      <c r="JD31" s="40"/>
      <c r="JE31" s="40"/>
      <c r="JF31" s="40"/>
      <c r="JG31" s="40"/>
      <c r="JH31" s="40"/>
      <c r="JI31" s="40"/>
      <c r="JJ31" s="40"/>
      <c r="JK31" s="40"/>
      <c r="JL31" s="40"/>
      <c r="JM31" s="40"/>
      <c r="JN31" s="40"/>
      <c r="JO31" s="40"/>
      <c r="JP31" s="40">
        <v>1750</v>
      </c>
      <c r="JQ31" s="40"/>
      <c r="JR31" s="40"/>
      <c r="JS31" s="40"/>
      <c r="JT31" s="40"/>
      <c r="JU31" s="40"/>
      <c r="JV31" s="40"/>
      <c r="JW31" s="40"/>
      <c r="JX31" s="40"/>
      <c r="JY31" s="40"/>
      <c r="JZ31" s="40"/>
      <c r="KA31" s="40"/>
      <c r="KB31" s="40"/>
      <c r="KC31" s="40"/>
      <c r="KD31" s="40"/>
      <c r="KE31" s="40"/>
      <c r="KF31" s="40">
        <f>3325*2</f>
        <v>6650</v>
      </c>
      <c r="KG31" s="40"/>
      <c r="KH31" s="40"/>
      <c r="KI31" s="40"/>
      <c r="KJ31" s="40"/>
      <c r="KK31" s="40"/>
      <c r="KL31" s="40"/>
      <c r="KM31" s="40"/>
      <c r="KN31" s="40"/>
      <c r="KO31" s="40"/>
      <c r="KP31" s="2"/>
      <c r="KQ31" s="2"/>
      <c r="KR31" s="40"/>
      <c r="KS31" s="2"/>
      <c r="KT31" s="2"/>
      <c r="KU31" s="2"/>
      <c r="KV31" s="2"/>
      <c r="KW31" s="2"/>
      <c r="KX31" s="2"/>
      <c r="KY31" s="2"/>
      <c r="KZ31" s="107"/>
      <c r="LA31" s="2"/>
      <c r="LB31" s="2"/>
      <c r="LC31" s="2"/>
      <c r="LD31" s="2"/>
      <c r="LE31" s="2"/>
      <c r="LF31" s="2">
        <f t="shared" si="0"/>
        <v>545381</v>
      </c>
    </row>
    <row r="32" spans="1:320" s="11" customFormat="1" hidden="1" x14ac:dyDescent="0.3">
      <c r="B32" s="42">
        <v>550052038</v>
      </c>
      <c r="C32" s="13" t="s">
        <v>93</v>
      </c>
      <c r="D32" s="35" t="s">
        <v>2</v>
      </c>
      <c r="E32" s="3"/>
      <c r="F32" s="2"/>
      <c r="G32" s="2"/>
      <c r="H32" s="2"/>
      <c r="I32" s="2"/>
      <c r="J32" s="2"/>
      <c r="K32" s="2"/>
      <c r="L32" s="2"/>
      <c r="M32" s="2"/>
      <c r="N32" s="2"/>
      <c r="O32" s="2">
        <f>3461+1750</f>
        <v>5211</v>
      </c>
      <c r="P32" s="2"/>
      <c r="Q32" s="2"/>
      <c r="R32" s="2"/>
      <c r="S32" s="2"/>
      <c r="T32" s="2"/>
      <c r="U32" s="2"/>
      <c r="V32" s="2"/>
      <c r="W32" s="2">
        <f>1750+3500</f>
        <v>5250</v>
      </c>
      <c r="X32" s="2"/>
      <c r="Y32" s="2"/>
      <c r="Z32" s="2"/>
      <c r="AA32" s="2"/>
      <c r="AB32" s="2"/>
      <c r="AC32" s="2"/>
      <c r="AD32" s="2"/>
      <c r="AE32" s="2">
        <v>1750</v>
      </c>
      <c r="AF32" s="2"/>
      <c r="AG32" s="2"/>
      <c r="AH32" s="2">
        <v>3324</v>
      </c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>
        <v>1</v>
      </c>
      <c r="AU32" s="2">
        <v>3286</v>
      </c>
      <c r="AV32" s="2"/>
      <c r="AW32" s="2"/>
      <c r="AX32" s="2">
        <f>3500+2275+1750</f>
        <v>7525</v>
      </c>
      <c r="AY32" s="2"/>
      <c r="AZ32" s="2"/>
      <c r="BA32" s="2"/>
      <c r="BB32" s="2"/>
      <c r="BC32" s="2"/>
      <c r="BD32" s="2">
        <v>1750</v>
      </c>
      <c r="BE32" s="2">
        <f>3500+3500</f>
        <v>7000</v>
      </c>
      <c r="BF32" s="2"/>
      <c r="BG32" s="2"/>
      <c r="BH32" s="2">
        <v>3500</v>
      </c>
      <c r="BI32" s="2"/>
      <c r="BJ32" s="2"/>
      <c r="BK32" s="2"/>
      <c r="BL32" s="2"/>
      <c r="BM32" s="2"/>
      <c r="BN32" s="2"/>
      <c r="BO32" s="2"/>
      <c r="BP32" s="2"/>
      <c r="BQ32" s="2"/>
      <c r="BR32" s="2">
        <v>2</v>
      </c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>
        <v>5</v>
      </c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40"/>
      <c r="HT32" s="40"/>
      <c r="HU32" s="40"/>
      <c r="HV32" s="40"/>
      <c r="HW32" s="40"/>
      <c r="HX32" s="40"/>
      <c r="HY32" s="40"/>
      <c r="HZ32" s="40"/>
      <c r="IA32" s="40"/>
      <c r="IB32" s="40"/>
      <c r="IC32" s="40"/>
      <c r="ID32" s="40"/>
      <c r="IE32" s="40"/>
      <c r="IF32" s="40"/>
      <c r="IG32" s="40"/>
      <c r="IH32" s="40"/>
      <c r="II32" s="40"/>
      <c r="IJ32" s="40"/>
      <c r="IK32" s="40"/>
      <c r="IL32" s="40"/>
      <c r="IM32" s="40"/>
      <c r="IN32" s="40"/>
      <c r="IO32" s="40"/>
      <c r="IP32" s="40"/>
      <c r="IQ32" s="40"/>
      <c r="IR32" s="40"/>
      <c r="IS32" s="40"/>
      <c r="IT32" s="40"/>
      <c r="IU32" s="40"/>
      <c r="IV32" s="40"/>
      <c r="IW32" s="40"/>
      <c r="IX32" s="40"/>
      <c r="IY32" s="40"/>
      <c r="IZ32" s="40"/>
      <c r="JA32" s="40"/>
      <c r="JB32" s="40"/>
      <c r="JC32" s="40"/>
      <c r="JD32" s="40"/>
      <c r="JE32" s="40"/>
      <c r="JF32" s="40"/>
      <c r="JG32" s="40"/>
      <c r="JH32" s="40"/>
      <c r="JI32" s="40"/>
      <c r="JJ32" s="40"/>
      <c r="JK32" s="40"/>
      <c r="JL32" s="40"/>
      <c r="JM32" s="40"/>
      <c r="JN32" s="40"/>
      <c r="JO32" s="40"/>
      <c r="JP32" s="40"/>
      <c r="JQ32" s="40"/>
      <c r="JR32" s="40"/>
      <c r="JS32" s="40"/>
      <c r="JT32" s="40"/>
      <c r="JU32" s="40"/>
      <c r="JV32" s="40"/>
      <c r="JW32" s="40"/>
      <c r="JX32" s="40"/>
      <c r="JY32" s="40"/>
      <c r="JZ32" s="40"/>
      <c r="KA32" s="40"/>
      <c r="KB32" s="40"/>
      <c r="KC32" s="40"/>
      <c r="KD32" s="40"/>
      <c r="KE32" s="40"/>
      <c r="KF32" s="40"/>
      <c r="KG32" s="40"/>
      <c r="KH32" s="40"/>
      <c r="KI32" s="40"/>
      <c r="KJ32" s="40"/>
      <c r="KK32" s="40"/>
      <c r="KL32" s="40"/>
      <c r="KM32" s="40"/>
      <c r="KN32" s="40"/>
      <c r="KO32" s="40"/>
      <c r="KP32" s="2"/>
      <c r="KQ32" s="2"/>
      <c r="KR32" s="40"/>
      <c r="KS32" s="2"/>
      <c r="KT32" s="2"/>
      <c r="KU32" s="2"/>
      <c r="KV32" s="2"/>
      <c r="KW32" s="2"/>
      <c r="KX32" s="2"/>
      <c r="KY32" s="2"/>
      <c r="KZ32" s="107"/>
      <c r="LA32" s="2"/>
      <c r="LB32" s="2"/>
      <c r="LC32" s="2"/>
      <c r="LD32" s="2"/>
      <c r="LE32" s="2"/>
      <c r="LF32" s="2">
        <f t="shared" si="0"/>
        <v>38604</v>
      </c>
    </row>
    <row r="33" spans="1:321" s="4" customFormat="1" hidden="1" x14ac:dyDescent="0.3">
      <c r="A33" s="11"/>
      <c r="B33" s="42">
        <v>550045905</v>
      </c>
      <c r="C33" s="13" t="s">
        <v>95</v>
      </c>
      <c r="D33" s="35" t="s">
        <v>2</v>
      </c>
      <c r="E33" s="3"/>
      <c r="F33" s="9"/>
      <c r="G33" s="2">
        <v>29</v>
      </c>
      <c r="H33" s="2"/>
      <c r="I33" s="2">
        <f>3500+3500</f>
        <v>7000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>
        <v>3500</v>
      </c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>
        <v>3325</v>
      </c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>
        <v>3500</v>
      </c>
      <c r="AX33" s="2">
        <v>1050</v>
      </c>
      <c r="AY33" s="2"/>
      <c r="AZ33" s="2"/>
      <c r="BA33" s="2"/>
      <c r="BB33" s="2">
        <v>3500</v>
      </c>
      <c r="BC33" s="2"/>
      <c r="BD33" s="2">
        <v>1750</v>
      </c>
      <c r="BE33" s="2">
        <v>3000</v>
      </c>
      <c r="BF33" s="2"/>
      <c r="BG33" s="2"/>
      <c r="BH33" s="2">
        <v>3500</v>
      </c>
      <c r="BI33" s="2"/>
      <c r="BJ33" s="2"/>
      <c r="BK33" s="2"/>
      <c r="BL33" s="2"/>
      <c r="BM33" s="2"/>
      <c r="BN33" s="2"/>
      <c r="BO33" s="2"/>
      <c r="BP33" s="2"/>
      <c r="BQ33" s="2"/>
      <c r="BR33" s="2">
        <v>3</v>
      </c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>
        <f>3675+150</f>
        <v>3825</v>
      </c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>
        <v>1750</v>
      </c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40"/>
      <c r="HT33" s="40"/>
      <c r="HU33" s="40"/>
      <c r="HV33" s="40"/>
      <c r="HW33" s="40"/>
      <c r="HX33" s="40"/>
      <c r="HY33" s="40"/>
      <c r="HZ33" s="40"/>
      <c r="IA33" s="40"/>
      <c r="IB33" s="40"/>
      <c r="IC33" s="40"/>
      <c r="ID33" s="40"/>
      <c r="IE33" s="40"/>
      <c r="IF33" s="40"/>
      <c r="IG33" s="40"/>
      <c r="IH33" s="40"/>
      <c r="II33" s="40"/>
      <c r="IJ33" s="40"/>
      <c r="IK33" s="40"/>
      <c r="IL33" s="40"/>
      <c r="IM33" s="40"/>
      <c r="IN33" s="40"/>
      <c r="IO33" s="40"/>
      <c r="IP33" s="40"/>
      <c r="IQ33" s="40"/>
      <c r="IR33" s="40"/>
      <c r="IS33" s="40"/>
      <c r="IT33" s="40"/>
      <c r="IU33" s="40"/>
      <c r="IV33" s="40"/>
      <c r="IW33" s="40"/>
      <c r="IX33" s="40"/>
      <c r="IY33" s="40"/>
      <c r="IZ33" s="40"/>
      <c r="JA33" s="40"/>
      <c r="JB33" s="40"/>
      <c r="JC33" s="40"/>
      <c r="JD33" s="40"/>
      <c r="JE33" s="40"/>
      <c r="JF33" s="40"/>
      <c r="JG33" s="40"/>
      <c r="JH33" s="40"/>
      <c r="JI33" s="40"/>
      <c r="JJ33" s="40"/>
      <c r="JK33" s="40"/>
      <c r="JL33" s="40"/>
      <c r="JM33" s="40"/>
      <c r="JN33" s="40"/>
      <c r="JO33" s="40"/>
      <c r="JP33" s="40"/>
      <c r="JQ33" s="40"/>
      <c r="JR33" s="40"/>
      <c r="JS33" s="40"/>
      <c r="JT33" s="40"/>
      <c r="JU33" s="40"/>
      <c r="JV33" s="40"/>
      <c r="JW33" s="40"/>
      <c r="JX33" s="40"/>
      <c r="JY33" s="40"/>
      <c r="JZ33" s="40"/>
      <c r="KA33" s="40"/>
      <c r="KB33" s="40"/>
      <c r="KC33" s="40"/>
      <c r="KD33" s="40"/>
      <c r="KE33" s="40"/>
      <c r="KF33" s="40"/>
      <c r="KG33" s="40"/>
      <c r="KH33" s="40"/>
      <c r="KI33" s="40"/>
      <c r="KJ33" s="40"/>
      <c r="KK33" s="40"/>
      <c r="KL33" s="40"/>
      <c r="KM33" s="40"/>
      <c r="KN33" s="40"/>
      <c r="KO33" s="40"/>
      <c r="KP33" s="2"/>
      <c r="KQ33" s="2"/>
      <c r="KR33" s="40"/>
      <c r="KS33" s="2"/>
      <c r="KT33" s="2"/>
      <c r="KU33" s="2"/>
      <c r="KV33" s="2"/>
      <c r="KW33" s="2"/>
      <c r="KX33" s="2"/>
      <c r="KY33" s="2"/>
      <c r="KZ33" s="107"/>
      <c r="LA33" s="2"/>
      <c r="LB33" s="2"/>
      <c r="LC33" s="2"/>
      <c r="LD33" s="2"/>
      <c r="LE33" s="2"/>
      <c r="LF33" s="2">
        <f t="shared" si="0"/>
        <v>35732</v>
      </c>
    </row>
    <row r="34" spans="1:321" s="4" customFormat="1" hidden="1" x14ac:dyDescent="0.3">
      <c r="A34" s="11"/>
      <c r="B34" s="42">
        <v>550057747</v>
      </c>
      <c r="C34" s="13" t="s">
        <v>972</v>
      </c>
      <c r="D34" s="35" t="s">
        <v>27</v>
      </c>
      <c r="E34" s="3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40"/>
      <c r="HT34" s="40"/>
      <c r="HU34" s="40"/>
      <c r="HV34" s="40"/>
      <c r="HW34" s="40"/>
      <c r="HX34" s="40"/>
      <c r="HY34" s="40"/>
      <c r="HZ34" s="40"/>
      <c r="IA34" s="40"/>
      <c r="IB34" s="40"/>
      <c r="IC34" s="40"/>
      <c r="ID34" s="40"/>
      <c r="IE34" s="40"/>
      <c r="IF34" s="40"/>
      <c r="IG34" s="40"/>
      <c r="IH34" s="40"/>
      <c r="II34" s="40"/>
      <c r="IJ34" s="40"/>
      <c r="IK34" s="40"/>
      <c r="IL34" s="40"/>
      <c r="IM34" s="40"/>
      <c r="IN34" s="40"/>
      <c r="IO34" s="40"/>
      <c r="IP34" s="40"/>
      <c r="IQ34" s="40"/>
      <c r="IR34" s="40"/>
      <c r="IS34" s="40"/>
      <c r="IT34" s="40"/>
      <c r="IU34" s="40"/>
      <c r="IV34" s="40"/>
      <c r="IW34" s="40"/>
      <c r="IX34" s="40"/>
      <c r="IY34" s="40"/>
      <c r="IZ34" s="40"/>
      <c r="JA34" s="40"/>
      <c r="JB34" s="40"/>
      <c r="JC34" s="40"/>
      <c r="JD34" s="40"/>
      <c r="JE34" s="40"/>
      <c r="JF34" s="40"/>
      <c r="JG34" s="40"/>
      <c r="JH34" s="40">
        <v>3</v>
      </c>
      <c r="JI34" s="40"/>
      <c r="JJ34" s="40"/>
      <c r="JK34" s="40"/>
      <c r="JL34" s="40"/>
      <c r="JM34" s="40"/>
      <c r="JN34" s="40"/>
      <c r="JO34" s="40"/>
      <c r="JP34" s="40"/>
      <c r="JQ34" s="40"/>
      <c r="JR34" s="40"/>
      <c r="JS34" s="40"/>
      <c r="JT34" s="40"/>
      <c r="JU34" s="40"/>
      <c r="JV34" s="40"/>
      <c r="JW34" s="40"/>
      <c r="JX34" s="40"/>
      <c r="JY34" s="40"/>
      <c r="JZ34" s="40"/>
      <c r="KA34" s="40"/>
      <c r="KB34" s="40"/>
      <c r="KC34" s="40"/>
      <c r="KD34" s="40"/>
      <c r="KE34" s="40"/>
      <c r="KF34" s="40"/>
      <c r="KG34" s="40"/>
      <c r="KH34" s="40"/>
      <c r="KI34" s="40"/>
      <c r="KJ34" s="40"/>
      <c r="KK34" s="40"/>
      <c r="KL34" s="40"/>
      <c r="KM34" s="40"/>
      <c r="KN34" s="40"/>
      <c r="KO34" s="40"/>
      <c r="KP34" s="2"/>
      <c r="KQ34" s="2"/>
      <c r="KR34" s="40"/>
      <c r="KS34" s="2"/>
      <c r="KT34" s="2"/>
      <c r="KU34" s="2"/>
      <c r="KV34" s="2"/>
      <c r="KW34" s="2"/>
      <c r="KX34" s="2"/>
      <c r="KY34" s="2"/>
      <c r="KZ34" s="107"/>
      <c r="LA34" s="2"/>
      <c r="LB34" s="2"/>
      <c r="LC34" s="2"/>
      <c r="LD34" s="2"/>
      <c r="LE34" s="2"/>
      <c r="LF34" s="2">
        <f t="shared" si="0"/>
        <v>3</v>
      </c>
    </row>
    <row r="35" spans="1:321" hidden="1" x14ac:dyDescent="0.3">
      <c r="B35" s="42">
        <v>550057749</v>
      </c>
      <c r="C35" s="20" t="s">
        <v>91</v>
      </c>
      <c r="D35" s="35" t="s">
        <v>2</v>
      </c>
      <c r="E35" s="3"/>
      <c r="F35" s="9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>
        <f>3325</f>
        <v>3325</v>
      </c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40"/>
      <c r="HT35" s="40"/>
      <c r="HU35" s="40"/>
      <c r="HV35" s="40"/>
      <c r="HW35" s="40"/>
      <c r="HX35" s="50">
        <f>3325*2</f>
        <v>6650</v>
      </c>
      <c r="HY35" s="50"/>
      <c r="HZ35" s="40"/>
      <c r="IA35" s="40"/>
      <c r="IB35" s="40"/>
      <c r="IC35" s="40"/>
      <c r="ID35" s="40"/>
      <c r="IE35" s="40"/>
      <c r="IF35" s="40"/>
      <c r="IG35" s="40"/>
      <c r="IH35" s="40"/>
      <c r="II35" s="40"/>
      <c r="IJ35" s="40"/>
      <c r="IK35" s="40"/>
      <c r="IL35" s="40"/>
      <c r="IM35" s="40"/>
      <c r="IN35" s="40"/>
      <c r="IO35" s="40"/>
      <c r="IP35" s="40"/>
      <c r="IQ35" s="40">
        <v>6650</v>
      </c>
      <c r="IR35" s="40"/>
      <c r="IS35" s="40">
        <v>1750</v>
      </c>
      <c r="IT35" s="40"/>
      <c r="IU35" s="40"/>
      <c r="IV35" s="40">
        <v>1750</v>
      </c>
      <c r="IW35" s="40"/>
      <c r="IX35" s="40"/>
      <c r="IY35" s="40"/>
      <c r="IZ35" s="40"/>
      <c r="JA35" s="40"/>
      <c r="JB35" s="40"/>
      <c r="JC35" s="40"/>
      <c r="JD35" s="40"/>
      <c r="JE35" s="40"/>
      <c r="JF35" s="40"/>
      <c r="JG35" s="40"/>
      <c r="JH35" s="40"/>
      <c r="JI35" s="40">
        <v>3850</v>
      </c>
      <c r="JJ35" s="40">
        <v>2800</v>
      </c>
      <c r="JK35" s="40"/>
      <c r="JL35" s="40"/>
      <c r="JM35" s="40"/>
      <c r="JN35" s="40">
        <v>3325</v>
      </c>
      <c r="JO35" s="40"/>
      <c r="JP35" s="40"/>
      <c r="JQ35" s="40"/>
      <c r="JR35" s="40"/>
      <c r="JS35" s="40"/>
      <c r="JT35" s="40"/>
      <c r="JU35" s="40"/>
      <c r="JV35" s="87">
        <v>1</v>
      </c>
      <c r="JW35" s="87">
        <v>2</v>
      </c>
      <c r="JX35" s="40"/>
      <c r="JY35" s="40"/>
      <c r="JZ35" s="40">
        <v>3325</v>
      </c>
      <c r="KA35" s="40"/>
      <c r="KB35" s="40"/>
      <c r="KC35" s="40"/>
      <c r="KD35" s="40"/>
      <c r="KE35" s="40"/>
      <c r="KF35" s="40"/>
      <c r="KG35" s="40"/>
      <c r="KH35" s="40">
        <v>3325</v>
      </c>
      <c r="KI35" s="40"/>
      <c r="KJ35" s="40">
        <v>3325</v>
      </c>
      <c r="KK35" s="40"/>
      <c r="KL35" s="40"/>
      <c r="KM35" s="40"/>
      <c r="KN35" s="40"/>
      <c r="KO35" s="40"/>
      <c r="KP35" s="2"/>
      <c r="KQ35" s="12">
        <v>1</v>
      </c>
      <c r="KR35" s="40"/>
      <c r="KS35" s="2">
        <v>3325</v>
      </c>
      <c r="KT35" s="2"/>
      <c r="KU35" s="2"/>
      <c r="KV35" s="2"/>
      <c r="KW35" s="2"/>
      <c r="KX35" s="2"/>
      <c r="KY35" s="2"/>
      <c r="KZ35" s="107"/>
      <c r="LA35" s="2"/>
      <c r="LB35" s="2"/>
      <c r="LC35" s="2"/>
      <c r="LD35" s="2"/>
      <c r="LE35" s="2"/>
      <c r="LF35" s="2">
        <f t="shared" si="0"/>
        <v>43404</v>
      </c>
    </row>
    <row r="36" spans="1:321" hidden="1" x14ac:dyDescent="0.3">
      <c r="B36" s="42">
        <v>550057767</v>
      </c>
      <c r="C36" s="20" t="s">
        <v>97</v>
      </c>
      <c r="D36" s="35" t="s">
        <v>2</v>
      </c>
      <c r="E36" s="3"/>
      <c r="F36" s="9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>
        <f>1750+1750+3500</f>
        <v>7000</v>
      </c>
      <c r="FG36" s="2"/>
      <c r="FH36" s="2"/>
      <c r="FI36" s="2"/>
      <c r="FJ36" s="2"/>
      <c r="FK36" s="2"/>
      <c r="FL36" s="2"/>
      <c r="FM36" s="2"/>
      <c r="FN36" s="2"/>
      <c r="FO36" s="2">
        <f>3500+3500</f>
        <v>7000</v>
      </c>
      <c r="FP36" s="2"/>
      <c r="FQ36" s="2">
        <v>1750</v>
      </c>
      <c r="FR36" s="2"/>
      <c r="FS36" s="2"/>
      <c r="FT36" s="2"/>
      <c r="FU36" s="2"/>
      <c r="FV36" s="2"/>
      <c r="FW36" s="2"/>
      <c r="FX36" s="2">
        <f>3325+3325+3325+3325</f>
        <v>13300</v>
      </c>
      <c r="FY36" s="2">
        <f>3149+3325+3325</f>
        <v>9799</v>
      </c>
      <c r="FZ36" s="2">
        <f>2850+3325+3325</f>
        <v>9500</v>
      </c>
      <c r="GA36" s="2">
        <f>3325+3325+3325+3325+3325+3325</f>
        <v>19950</v>
      </c>
      <c r="GB36" s="2"/>
      <c r="GC36" s="2"/>
      <c r="GD36" s="2"/>
      <c r="GE36" s="2">
        <f>3500+3</f>
        <v>3503</v>
      </c>
      <c r="GF36" s="2"/>
      <c r="GG36" s="2">
        <v>1760</v>
      </c>
      <c r="GH36" s="2"/>
      <c r="GI36" s="2"/>
      <c r="GJ36" s="2">
        <f>3500</f>
        <v>3500</v>
      </c>
      <c r="GK36" s="2">
        <f>3500</f>
        <v>3500</v>
      </c>
      <c r="GL36" s="2"/>
      <c r="GM36" s="2"/>
      <c r="GN36" s="2"/>
      <c r="GO36" s="2">
        <f>3325</f>
        <v>3325</v>
      </c>
      <c r="GP36" s="2">
        <f>3325+3325</f>
        <v>6650</v>
      </c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40"/>
      <c r="HT36" s="40"/>
      <c r="HU36" s="40"/>
      <c r="HV36" s="40"/>
      <c r="HW36" s="40"/>
      <c r="HX36" s="40"/>
      <c r="HY36" s="40"/>
      <c r="HZ36" s="40"/>
      <c r="IA36" s="40"/>
      <c r="IB36" s="40"/>
      <c r="IC36" s="40"/>
      <c r="ID36" s="40"/>
      <c r="IE36" s="40"/>
      <c r="IF36" s="40"/>
      <c r="IG36" s="40"/>
      <c r="IH36" s="40"/>
      <c r="II36" s="40"/>
      <c r="IJ36" s="40"/>
      <c r="IK36" s="40"/>
      <c r="IL36" s="40"/>
      <c r="IM36" s="40"/>
      <c r="IN36" s="40"/>
      <c r="IO36" s="40"/>
      <c r="IP36" s="40"/>
      <c r="IQ36" s="40">
        <v>6650</v>
      </c>
      <c r="IR36" s="40"/>
      <c r="IS36" s="40">
        <v>3325</v>
      </c>
      <c r="IT36" s="40"/>
      <c r="IU36" s="40"/>
      <c r="IV36" s="40">
        <f>3325*2</f>
        <v>6650</v>
      </c>
      <c r="IW36" s="40"/>
      <c r="IX36" s="40"/>
      <c r="IY36" s="40"/>
      <c r="IZ36" s="40"/>
      <c r="JA36" s="40"/>
      <c r="JB36" s="40"/>
      <c r="JC36" s="40"/>
      <c r="JD36" s="40"/>
      <c r="JE36" s="40"/>
      <c r="JF36" s="40"/>
      <c r="JG36" s="40">
        <v>3325</v>
      </c>
      <c r="JH36" s="40"/>
      <c r="JI36" s="40"/>
      <c r="JJ36" s="40"/>
      <c r="JK36" s="40">
        <v>3325</v>
      </c>
      <c r="JL36" s="40"/>
      <c r="JM36" s="40"/>
      <c r="JN36" s="40">
        <f>3325+1050</f>
        <v>4375</v>
      </c>
      <c r="JO36" s="40"/>
      <c r="JP36" s="40"/>
      <c r="JQ36" s="40"/>
      <c r="JR36" s="40"/>
      <c r="JS36" s="40"/>
      <c r="JT36" s="40"/>
      <c r="JU36" s="40"/>
      <c r="JV36" s="87">
        <v>3</v>
      </c>
      <c r="JW36" s="40">
        <v>3325</v>
      </c>
      <c r="JX36" s="40"/>
      <c r="JY36" s="40"/>
      <c r="JZ36" s="40">
        <f>3325+3325</f>
        <v>6650</v>
      </c>
      <c r="KA36" s="40"/>
      <c r="KB36" s="40">
        <v>3325</v>
      </c>
      <c r="KC36" s="40"/>
      <c r="KD36" s="40"/>
      <c r="KE36" s="40"/>
      <c r="KF36" s="40"/>
      <c r="KG36" s="40"/>
      <c r="KH36" s="40">
        <v>3325</v>
      </c>
      <c r="KI36" s="40"/>
      <c r="KJ36" s="40">
        <v>3325</v>
      </c>
      <c r="KK36" s="40"/>
      <c r="KL36" s="40"/>
      <c r="KM36" s="40">
        <f>3325+3325</f>
        <v>6650</v>
      </c>
      <c r="KN36" s="40"/>
      <c r="KO36" s="40"/>
      <c r="KP36" s="2"/>
      <c r="KQ36" s="2"/>
      <c r="KR36" s="40"/>
      <c r="KS36" s="2">
        <f>3325*2</f>
        <v>6650</v>
      </c>
      <c r="KT36" s="2"/>
      <c r="KU36" s="2"/>
      <c r="KV36" s="2"/>
      <c r="KW36" s="2"/>
      <c r="KX36" s="2"/>
      <c r="KY36" s="2"/>
      <c r="KZ36" s="107"/>
      <c r="LA36" s="2"/>
      <c r="LB36" s="2"/>
      <c r="LC36" s="2"/>
      <c r="LD36" s="2"/>
      <c r="LE36" s="2"/>
      <c r="LF36" s="2">
        <f t="shared" si="0"/>
        <v>151440</v>
      </c>
      <c r="LH36" s="4"/>
      <c r="LI36" s="4"/>
    </row>
    <row r="37" spans="1:321" s="11" customFormat="1" hidden="1" x14ac:dyDescent="0.3">
      <c r="B37" s="42">
        <v>41051905</v>
      </c>
      <c r="C37" s="13" t="s">
        <v>99</v>
      </c>
      <c r="D37" s="35" t="s">
        <v>3</v>
      </c>
      <c r="E37" s="3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>
        <v>1760</v>
      </c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>
        <v>1760</v>
      </c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>
        <f>924+924</f>
        <v>1848</v>
      </c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>
        <v>1760</v>
      </c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40"/>
      <c r="HT37" s="40"/>
      <c r="HU37" s="40"/>
      <c r="HV37" s="40"/>
      <c r="HW37" s="40"/>
      <c r="HX37" s="40"/>
      <c r="HY37" s="40"/>
      <c r="HZ37" s="40"/>
      <c r="IA37" s="40"/>
      <c r="IB37" s="40"/>
      <c r="IC37" s="40"/>
      <c r="ID37" s="40"/>
      <c r="IE37" s="40"/>
      <c r="IF37" s="40"/>
      <c r="IG37" s="40"/>
      <c r="IH37" s="40"/>
      <c r="II37" s="40"/>
      <c r="IJ37" s="40"/>
      <c r="IK37" s="40"/>
      <c r="IL37" s="40"/>
      <c r="IM37" s="40"/>
      <c r="IN37" s="40"/>
      <c r="IO37" s="40"/>
      <c r="IP37" s="40"/>
      <c r="IQ37" s="40"/>
      <c r="IR37" s="40"/>
      <c r="IS37" s="40"/>
      <c r="IT37" s="40"/>
      <c r="IU37" s="40"/>
      <c r="IV37" s="40"/>
      <c r="IW37" s="40"/>
      <c r="IX37" s="40"/>
      <c r="IY37" s="40"/>
      <c r="IZ37" s="40"/>
      <c r="JA37" s="40"/>
      <c r="JB37" s="40"/>
      <c r="JC37" s="40"/>
      <c r="JD37" s="40"/>
      <c r="JE37" s="40"/>
      <c r="JF37" s="40"/>
      <c r="JG37" s="40"/>
      <c r="JH37" s="40"/>
      <c r="JI37" s="40"/>
      <c r="JJ37" s="40"/>
      <c r="JK37" s="40"/>
      <c r="JL37" s="40"/>
      <c r="JM37" s="40"/>
      <c r="JN37" s="40"/>
      <c r="JO37" s="40"/>
      <c r="JP37" s="40"/>
      <c r="JQ37" s="40"/>
      <c r="JR37" s="40"/>
      <c r="JS37" s="40"/>
      <c r="JT37" s="40"/>
      <c r="JU37" s="40"/>
      <c r="JV37" s="40"/>
      <c r="JW37" s="40"/>
      <c r="JX37" s="40"/>
      <c r="JY37" s="40"/>
      <c r="JZ37" s="40"/>
      <c r="KA37" s="40"/>
      <c r="KB37" s="40"/>
      <c r="KC37" s="40"/>
      <c r="KD37" s="40"/>
      <c r="KE37" s="40"/>
      <c r="KF37" s="40"/>
      <c r="KG37" s="40"/>
      <c r="KH37" s="40"/>
      <c r="KI37" s="40"/>
      <c r="KJ37" s="40"/>
      <c r="KK37" s="40"/>
      <c r="KL37" s="40"/>
      <c r="KM37" s="40"/>
      <c r="KN37" s="40"/>
      <c r="KO37" s="40"/>
      <c r="KP37" s="2"/>
      <c r="KQ37" s="2"/>
      <c r="KR37" s="40"/>
      <c r="KS37" s="2"/>
      <c r="KT37" s="2"/>
      <c r="KU37" s="2"/>
      <c r="KV37" s="2"/>
      <c r="KW37" s="2"/>
      <c r="KX37" s="2"/>
      <c r="KY37" s="2"/>
      <c r="KZ37" s="107"/>
      <c r="LA37" s="2"/>
      <c r="LB37" s="2"/>
      <c r="LC37" s="2"/>
      <c r="LD37" s="2"/>
      <c r="LE37" s="2"/>
      <c r="LF37" s="2">
        <f t="shared" si="0"/>
        <v>7128</v>
      </c>
    </row>
    <row r="38" spans="1:321" hidden="1" x14ac:dyDescent="0.3">
      <c r="B38" s="42">
        <v>40926905</v>
      </c>
      <c r="C38" s="13" t="s">
        <v>101</v>
      </c>
      <c r="D38" s="35" t="s">
        <v>3</v>
      </c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>
        <v>1743</v>
      </c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>
        <v>1760</v>
      </c>
      <c r="HB38" s="2"/>
      <c r="HC38" s="2"/>
      <c r="HD38" s="2">
        <v>1760</v>
      </c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40"/>
      <c r="HT38" s="40"/>
      <c r="HU38" s="40"/>
      <c r="HV38" s="40"/>
      <c r="HW38" s="40"/>
      <c r="HX38" s="40"/>
      <c r="HY38" s="40"/>
      <c r="HZ38" s="40"/>
      <c r="IA38" s="40">
        <f>880*2</f>
        <v>1760</v>
      </c>
      <c r="IB38" s="40"/>
      <c r="IC38" s="40"/>
      <c r="ID38" s="40"/>
      <c r="IE38" s="40"/>
      <c r="IF38" s="40"/>
      <c r="IG38" s="40"/>
      <c r="IH38" s="40"/>
      <c r="II38" s="40"/>
      <c r="IJ38" s="40"/>
      <c r="IK38" s="40"/>
      <c r="IL38" s="40"/>
      <c r="IM38" s="40"/>
      <c r="IN38" s="40"/>
      <c r="IO38" s="40"/>
      <c r="IP38" s="40"/>
      <c r="IQ38" s="40"/>
      <c r="IR38" s="40"/>
      <c r="IS38" s="40"/>
      <c r="IT38" s="40"/>
      <c r="IU38" s="40"/>
      <c r="IV38" s="40">
        <v>1760</v>
      </c>
      <c r="IW38" s="40"/>
      <c r="IX38" s="40"/>
      <c r="IY38" s="40"/>
      <c r="IZ38" s="40"/>
      <c r="JA38" s="40"/>
      <c r="JB38" s="40"/>
      <c r="JC38" s="40">
        <v>1760</v>
      </c>
      <c r="JD38" s="40">
        <v>1760</v>
      </c>
      <c r="JE38" s="40"/>
      <c r="JF38" s="40"/>
      <c r="JG38" s="40"/>
      <c r="JH38" s="40"/>
      <c r="JI38" s="40"/>
      <c r="JJ38" s="40"/>
      <c r="JK38" s="40"/>
      <c r="JL38" s="40"/>
      <c r="JM38" s="40"/>
      <c r="JN38" s="40"/>
      <c r="JO38" s="40"/>
      <c r="JP38" s="40"/>
      <c r="JQ38" s="40"/>
      <c r="JR38" s="40"/>
      <c r="JS38" s="40"/>
      <c r="JT38" s="40"/>
      <c r="JU38" s="40"/>
      <c r="JV38" s="40"/>
      <c r="JW38" s="40"/>
      <c r="JX38" s="40"/>
      <c r="JY38" s="40"/>
      <c r="JZ38" s="40"/>
      <c r="KA38" s="40"/>
      <c r="KB38" s="40"/>
      <c r="KC38" s="40"/>
      <c r="KD38" s="40"/>
      <c r="KE38" s="40"/>
      <c r="KF38" s="40"/>
      <c r="KG38" s="40"/>
      <c r="KH38" s="40"/>
      <c r="KI38" s="40"/>
      <c r="KJ38" s="40"/>
      <c r="KK38" s="40"/>
      <c r="KL38" s="40"/>
      <c r="KM38" s="40"/>
      <c r="KN38" s="40"/>
      <c r="KO38" s="40"/>
      <c r="KP38" s="2"/>
      <c r="KQ38" s="12">
        <v>1</v>
      </c>
      <c r="KR38" s="40"/>
      <c r="KS38" s="2"/>
      <c r="KT38" s="2"/>
      <c r="KU38" s="2"/>
      <c r="KV38" s="2"/>
      <c r="KW38" s="2"/>
      <c r="KX38" s="2"/>
      <c r="KY38" s="2"/>
      <c r="KZ38" s="107"/>
      <c r="LA38" s="2"/>
      <c r="LB38" s="2"/>
      <c r="LC38" s="2"/>
      <c r="LD38" s="2"/>
      <c r="LE38" s="2"/>
      <c r="LF38" s="2">
        <f t="shared" si="0"/>
        <v>12304</v>
      </c>
    </row>
    <row r="39" spans="1:321" s="11" customFormat="1" hidden="1" x14ac:dyDescent="0.3">
      <c r="B39" s="42">
        <v>550049041</v>
      </c>
      <c r="C39" s="20" t="s">
        <v>103</v>
      </c>
      <c r="D39" s="35" t="s">
        <v>1</v>
      </c>
      <c r="E39" s="3"/>
      <c r="F39" s="2"/>
      <c r="G39" s="2">
        <v>44</v>
      </c>
      <c r="H39" s="2"/>
      <c r="I39" s="2"/>
      <c r="J39" s="2"/>
      <c r="K39" s="2"/>
      <c r="L39" s="2"/>
      <c r="M39" s="2"/>
      <c r="N39" s="2"/>
      <c r="O39" s="2">
        <v>880</v>
      </c>
      <c r="P39" s="2"/>
      <c r="Q39" s="2"/>
      <c r="R39" s="2"/>
      <c r="S39" s="2"/>
      <c r="T39" s="2"/>
      <c r="U39" s="2"/>
      <c r="V39" s="2">
        <v>1680</v>
      </c>
      <c r="W39" s="2"/>
      <c r="X39" s="2"/>
      <c r="Y39" s="2"/>
      <c r="Z39" s="2"/>
      <c r="AA39" s="2"/>
      <c r="AB39" s="2"/>
      <c r="AC39" s="2">
        <v>1680</v>
      </c>
      <c r="AD39" s="2"/>
      <c r="AE39" s="2">
        <v>1680</v>
      </c>
      <c r="AF39" s="2"/>
      <c r="AG39" s="2"/>
      <c r="AH39" s="2"/>
      <c r="AI39" s="2"/>
      <c r="AJ39" s="2"/>
      <c r="AK39" s="2">
        <v>840</v>
      </c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>
        <v>1680</v>
      </c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40"/>
      <c r="HT39" s="40"/>
      <c r="HU39" s="40"/>
      <c r="HV39" s="40"/>
      <c r="HW39" s="40"/>
      <c r="HX39" s="40"/>
      <c r="HY39" s="40"/>
      <c r="HZ39" s="40"/>
      <c r="IA39" s="40"/>
      <c r="IB39" s="40"/>
      <c r="IC39" s="40"/>
      <c r="ID39" s="40"/>
      <c r="IE39" s="40"/>
      <c r="IF39" s="40"/>
      <c r="IG39" s="40"/>
      <c r="IH39" s="40"/>
      <c r="II39" s="40"/>
      <c r="IJ39" s="40"/>
      <c r="IK39" s="40"/>
      <c r="IL39" s="40"/>
      <c r="IM39" s="40"/>
      <c r="IN39" s="40">
        <v>1</v>
      </c>
      <c r="IO39" s="40"/>
      <c r="IP39" s="40"/>
      <c r="IQ39" s="40"/>
      <c r="IR39" s="40"/>
      <c r="IS39" s="40"/>
      <c r="IT39" s="40"/>
      <c r="IU39" s="40"/>
      <c r="IV39" s="40"/>
      <c r="IW39" s="40"/>
      <c r="IX39" s="40"/>
      <c r="IY39" s="40"/>
      <c r="IZ39" s="40"/>
      <c r="JA39" s="40"/>
      <c r="JB39" s="40"/>
      <c r="JC39" s="40"/>
      <c r="JD39" s="40"/>
      <c r="JE39" s="40"/>
      <c r="JF39" s="40"/>
      <c r="JG39" s="40"/>
      <c r="JH39" s="40"/>
      <c r="JI39" s="40"/>
      <c r="JJ39" s="40"/>
      <c r="JK39" s="40"/>
      <c r="JL39" s="40"/>
      <c r="JM39" s="40"/>
      <c r="JN39" s="40"/>
      <c r="JO39" s="40"/>
      <c r="JP39" s="40"/>
      <c r="JQ39" s="40"/>
      <c r="JR39" s="40"/>
      <c r="JS39" s="40"/>
      <c r="JT39" s="40"/>
      <c r="JU39" s="40"/>
      <c r="JV39" s="40"/>
      <c r="JW39" s="40"/>
      <c r="JX39" s="40">
        <v>1</v>
      </c>
      <c r="JY39" s="40"/>
      <c r="JZ39" s="40"/>
      <c r="KA39" s="40"/>
      <c r="KB39" s="40"/>
      <c r="KC39" s="40"/>
      <c r="KD39" s="40"/>
      <c r="KE39" s="40"/>
      <c r="KF39" s="40"/>
      <c r="KG39" s="40"/>
      <c r="KH39" s="40"/>
      <c r="KI39" s="40"/>
      <c r="KJ39" s="40"/>
      <c r="KK39" s="40"/>
      <c r="KL39" s="40"/>
      <c r="KM39" s="40"/>
      <c r="KN39" s="40"/>
      <c r="KO39" s="40"/>
      <c r="KP39" s="2"/>
      <c r="KQ39" s="2"/>
      <c r="KR39" s="40"/>
      <c r="KS39" s="2"/>
      <c r="KT39" s="2"/>
      <c r="KU39" s="2"/>
      <c r="KV39" s="2"/>
      <c r="KW39" s="2"/>
      <c r="KX39" s="2"/>
      <c r="KY39" s="2"/>
      <c r="KZ39" s="107"/>
      <c r="LA39" s="2"/>
      <c r="LB39" s="2"/>
      <c r="LC39" s="2"/>
      <c r="LD39" s="2"/>
      <c r="LE39" s="2"/>
      <c r="LF39" s="2">
        <f t="shared" si="0"/>
        <v>8486</v>
      </c>
    </row>
    <row r="40" spans="1:321" hidden="1" x14ac:dyDescent="0.3">
      <c r="B40" s="42">
        <v>550050102</v>
      </c>
      <c r="C40" s="20" t="s">
        <v>105</v>
      </c>
      <c r="D40" s="35" t="s">
        <v>2</v>
      </c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>
        <v>1750</v>
      </c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>
        <v>1750</v>
      </c>
      <c r="GH40" s="2"/>
      <c r="GI40" s="2"/>
      <c r="GJ40" s="2"/>
      <c r="GK40" s="2"/>
      <c r="GL40" s="2"/>
      <c r="GM40" s="2"/>
      <c r="GN40" s="2"/>
      <c r="GO40" s="2"/>
      <c r="GP40" s="2">
        <f>3325</f>
        <v>3325</v>
      </c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40"/>
      <c r="HT40" s="40"/>
      <c r="HU40" s="40"/>
      <c r="HV40" s="40"/>
      <c r="HW40" s="40"/>
      <c r="HX40" s="50">
        <v>3500</v>
      </c>
      <c r="HY40" s="50"/>
      <c r="HZ40" s="40"/>
      <c r="IA40" s="40"/>
      <c r="IB40" s="40"/>
      <c r="IC40" s="40"/>
      <c r="ID40" s="40"/>
      <c r="IE40" s="40"/>
      <c r="IF40" s="40"/>
      <c r="IG40" s="40"/>
      <c r="IH40" s="40"/>
      <c r="II40" s="40"/>
      <c r="IJ40" s="40"/>
      <c r="IK40" s="40"/>
      <c r="IL40" s="40">
        <v>3500</v>
      </c>
      <c r="IM40" s="40"/>
      <c r="IN40" s="40"/>
      <c r="IO40" s="40"/>
      <c r="IP40" s="40"/>
      <c r="IQ40" s="40">
        <v>3500</v>
      </c>
      <c r="IR40" s="40"/>
      <c r="IS40" s="40"/>
      <c r="IT40" s="40"/>
      <c r="IU40" s="40"/>
      <c r="IV40" s="40"/>
      <c r="IW40" s="40"/>
      <c r="IX40" s="40"/>
      <c r="IY40" s="40"/>
      <c r="IZ40" s="40"/>
      <c r="JA40" s="40"/>
      <c r="JB40" s="40">
        <v>1750</v>
      </c>
      <c r="JC40" s="40"/>
      <c r="JD40" s="40"/>
      <c r="JE40" s="40"/>
      <c r="JF40" s="40"/>
      <c r="JG40" s="40"/>
      <c r="JH40" s="40"/>
      <c r="JI40" s="40"/>
      <c r="JJ40" s="40"/>
      <c r="JK40" s="40"/>
      <c r="JL40" s="40"/>
      <c r="JM40" s="40"/>
      <c r="JN40" s="40"/>
      <c r="JO40" s="40"/>
      <c r="JP40" s="40">
        <v>1575</v>
      </c>
      <c r="JQ40" s="40"/>
      <c r="JR40" s="40"/>
      <c r="JS40" s="40"/>
      <c r="JT40" s="40"/>
      <c r="JU40" s="40"/>
      <c r="JV40" s="40"/>
      <c r="JW40" s="40"/>
      <c r="JX40" s="40"/>
      <c r="JY40" s="40"/>
      <c r="JZ40" s="40"/>
      <c r="KA40" s="40"/>
      <c r="KB40" s="40"/>
      <c r="KC40" s="40"/>
      <c r="KD40" s="40"/>
      <c r="KE40" s="40"/>
      <c r="KF40" s="40"/>
      <c r="KG40" s="40"/>
      <c r="KH40" s="40">
        <v>3500</v>
      </c>
      <c r="KI40" s="40"/>
      <c r="KJ40" s="40"/>
      <c r="KK40" s="40"/>
      <c r="KL40" s="40"/>
      <c r="KM40" s="40"/>
      <c r="KN40" s="40"/>
      <c r="KO40" s="40"/>
      <c r="KP40" s="2"/>
      <c r="KQ40" s="2"/>
      <c r="KR40" s="40"/>
      <c r="KS40" s="2"/>
      <c r="KT40" s="2"/>
      <c r="KU40" s="2"/>
      <c r="KV40" s="2"/>
      <c r="KW40" s="2"/>
      <c r="KX40" s="2"/>
      <c r="KY40" s="2"/>
      <c r="KZ40" s="107"/>
      <c r="LA40" s="2"/>
      <c r="LB40" s="2"/>
      <c r="LC40" s="2"/>
      <c r="LD40" s="2"/>
      <c r="LE40" s="2"/>
      <c r="LF40" s="2">
        <f t="shared" si="0"/>
        <v>24150</v>
      </c>
    </row>
    <row r="41" spans="1:321" s="11" customFormat="1" hidden="1" x14ac:dyDescent="0.3">
      <c r="B41" s="42">
        <v>550057742</v>
      </c>
      <c r="C41" s="20" t="s">
        <v>107</v>
      </c>
      <c r="D41" s="35" t="s">
        <v>2</v>
      </c>
      <c r="E41" s="3"/>
      <c r="F41" s="2"/>
      <c r="G41" s="2">
        <f>18</f>
        <v>18</v>
      </c>
      <c r="H41" s="2">
        <v>3500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>
        <v>3500</v>
      </c>
      <c r="Y41" s="2"/>
      <c r="Z41" s="2"/>
      <c r="AA41" s="2"/>
      <c r="AB41" s="2"/>
      <c r="AC41" s="2">
        <v>3500</v>
      </c>
      <c r="AD41" s="2">
        <f>3150+350</f>
        <v>3500</v>
      </c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>
        <f>1050+700</f>
        <v>1750</v>
      </c>
      <c r="AY41" s="2"/>
      <c r="AZ41" s="2">
        <v>3500</v>
      </c>
      <c r="BA41" s="2"/>
      <c r="BB41" s="2"/>
      <c r="BC41" s="2"/>
      <c r="BD41" s="2"/>
      <c r="BE41" s="2">
        <v>3500</v>
      </c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>
        <f>7</f>
        <v>7</v>
      </c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>
        <v>1750</v>
      </c>
      <c r="GZ41" s="2">
        <v>3150</v>
      </c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>
        <f>3322+3</f>
        <v>3325</v>
      </c>
      <c r="HS41" s="40"/>
      <c r="HT41" s="40">
        <f>3325*2</f>
        <v>6650</v>
      </c>
      <c r="HU41" s="40"/>
      <c r="HV41" s="40"/>
      <c r="HW41" s="40"/>
      <c r="HX41" s="50"/>
      <c r="HY41" s="50">
        <v>3325</v>
      </c>
      <c r="HZ41" s="40"/>
      <c r="IA41" s="40"/>
      <c r="IB41" s="40"/>
      <c r="IC41" s="40"/>
      <c r="ID41" s="40"/>
      <c r="IE41" s="40"/>
      <c r="IF41" s="40"/>
      <c r="IG41" s="40"/>
      <c r="IH41" s="40"/>
      <c r="II41" s="40"/>
      <c r="IJ41" s="40"/>
      <c r="IK41" s="40"/>
      <c r="IL41" s="40"/>
      <c r="IM41" s="40"/>
      <c r="IN41" s="40"/>
      <c r="IO41" s="40"/>
      <c r="IP41" s="40"/>
      <c r="IQ41" s="40"/>
      <c r="IR41" s="40"/>
      <c r="IS41" s="40">
        <v>1750</v>
      </c>
      <c r="IT41" s="40"/>
      <c r="IU41" s="40"/>
      <c r="IV41" s="40"/>
      <c r="IW41" s="40"/>
      <c r="IX41" s="40"/>
      <c r="IY41" s="40"/>
      <c r="IZ41" s="40"/>
      <c r="JA41" s="40"/>
      <c r="JB41" s="40"/>
      <c r="JC41" s="40"/>
      <c r="JD41" s="40"/>
      <c r="JE41" s="40"/>
      <c r="JF41" s="40"/>
      <c r="JG41" s="40"/>
      <c r="JH41" s="40"/>
      <c r="JI41" s="40"/>
      <c r="JJ41" s="40"/>
      <c r="JK41" s="40"/>
      <c r="JL41" s="40"/>
      <c r="JM41" s="40"/>
      <c r="JN41" s="40"/>
      <c r="JO41" s="40"/>
      <c r="JP41" s="40"/>
      <c r="JQ41" s="40"/>
      <c r="JR41" s="40"/>
      <c r="JS41" s="40"/>
      <c r="JT41" s="40"/>
      <c r="JU41" s="40">
        <v>3325</v>
      </c>
      <c r="JV41" s="40"/>
      <c r="JW41" s="40"/>
      <c r="JX41" s="40"/>
      <c r="JY41" s="40"/>
      <c r="JZ41" s="40"/>
      <c r="KA41" s="40"/>
      <c r="KB41" s="40"/>
      <c r="KC41" s="40"/>
      <c r="KD41" s="40"/>
      <c r="KE41" s="40"/>
      <c r="KF41" s="40"/>
      <c r="KG41" s="40">
        <v>2740</v>
      </c>
      <c r="KH41" s="40">
        <v>3325</v>
      </c>
      <c r="KI41" s="40"/>
      <c r="KJ41" s="40"/>
      <c r="KK41" s="40"/>
      <c r="KL41" s="40"/>
      <c r="KM41" s="40"/>
      <c r="KN41" s="40"/>
      <c r="KO41" s="40"/>
      <c r="KP41" s="2"/>
      <c r="KQ41" s="2"/>
      <c r="KR41" s="40"/>
      <c r="KS41" s="2"/>
      <c r="KT41" s="2"/>
      <c r="KU41" s="2"/>
      <c r="KV41" s="2"/>
      <c r="KW41" s="2"/>
      <c r="KX41" s="2"/>
      <c r="KY41" s="2"/>
      <c r="KZ41" s="107"/>
      <c r="LA41" s="2"/>
      <c r="LB41" s="2"/>
      <c r="LC41" s="2"/>
      <c r="LD41" s="2"/>
      <c r="LE41" s="2"/>
      <c r="LF41" s="2">
        <f t="shared" si="0"/>
        <v>52115</v>
      </c>
    </row>
    <row r="42" spans="1:321" s="4" customFormat="1" hidden="1" x14ac:dyDescent="0.3">
      <c r="A42" s="11"/>
      <c r="B42" s="42">
        <v>550026710</v>
      </c>
      <c r="C42" s="7" t="s">
        <v>109</v>
      </c>
      <c r="D42" s="35" t="s">
        <v>18</v>
      </c>
      <c r="E42" s="3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>
        <v>48</v>
      </c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>
        <v>48</v>
      </c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40"/>
      <c r="HT42" s="40"/>
      <c r="HU42" s="40"/>
      <c r="HV42" s="40"/>
      <c r="HW42" s="40"/>
      <c r="HX42" s="40"/>
      <c r="HY42" s="40"/>
      <c r="HZ42" s="40"/>
      <c r="IA42" s="40"/>
      <c r="IB42" s="40"/>
      <c r="IC42" s="40"/>
      <c r="ID42" s="40"/>
      <c r="IE42" s="40"/>
      <c r="IF42" s="40"/>
      <c r="IG42" s="40"/>
      <c r="IH42" s="40"/>
      <c r="II42" s="40"/>
      <c r="IJ42" s="40"/>
      <c r="IK42" s="40"/>
      <c r="IL42" s="40"/>
      <c r="IM42" s="40"/>
      <c r="IN42" s="40"/>
      <c r="IO42" s="40"/>
      <c r="IP42" s="40"/>
      <c r="IQ42" s="40"/>
      <c r="IR42" s="40"/>
      <c r="IS42" s="40"/>
      <c r="IT42" s="40"/>
      <c r="IU42" s="40"/>
      <c r="IV42" s="40"/>
      <c r="IW42" s="40">
        <v>24</v>
      </c>
      <c r="IX42" s="40"/>
      <c r="IY42" s="40"/>
      <c r="IZ42" s="40"/>
      <c r="JA42" s="40"/>
      <c r="JB42" s="40"/>
      <c r="JC42" s="40"/>
      <c r="JD42" s="40"/>
      <c r="JE42" s="40"/>
      <c r="JF42" s="40"/>
      <c r="JG42" s="40"/>
      <c r="JH42" s="40"/>
      <c r="JI42" s="40"/>
      <c r="JJ42" s="40"/>
      <c r="JK42" s="40"/>
      <c r="JL42" s="40"/>
      <c r="JM42" s="40"/>
      <c r="JN42" s="40"/>
      <c r="JO42" s="40"/>
      <c r="JP42" s="40"/>
      <c r="JQ42" s="40"/>
      <c r="JR42" s="40"/>
      <c r="JS42" s="40"/>
      <c r="JT42" s="40"/>
      <c r="JU42" s="40"/>
      <c r="JV42" s="40">
        <v>2</v>
      </c>
      <c r="JW42" s="40"/>
      <c r="JX42" s="40"/>
      <c r="JY42" s="40"/>
      <c r="JZ42" s="40"/>
      <c r="KA42" s="40"/>
      <c r="KB42" s="40"/>
      <c r="KC42" s="40"/>
      <c r="KD42" s="40"/>
      <c r="KE42" s="40"/>
      <c r="KF42" s="40"/>
      <c r="KG42" s="40"/>
      <c r="KH42" s="40"/>
      <c r="KI42" s="40"/>
      <c r="KJ42" s="40"/>
      <c r="KK42" s="40"/>
      <c r="KL42" s="40"/>
      <c r="KM42" s="40"/>
      <c r="KN42" s="40"/>
      <c r="KO42" s="40"/>
      <c r="KP42" s="2"/>
      <c r="KQ42" s="2"/>
      <c r="KR42" s="40"/>
      <c r="KS42" s="2"/>
      <c r="KT42" s="2"/>
      <c r="KU42" s="2"/>
      <c r="KV42" s="2"/>
      <c r="KW42" s="2"/>
      <c r="KX42" s="2"/>
      <c r="KY42" s="2"/>
      <c r="KZ42" s="107"/>
      <c r="LA42" s="2"/>
      <c r="LB42" s="2"/>
      <c r="LC42" s="2"/>
      <c r="LD42" s="2"/>
      <c r="LE42" s="2"/>
      <c r="LF42" s="2">
        <f t="shared" si="0"/>
        <v>122</v>
      </c>
    </row>
    <row r="43" spans="1:321" s="11" customFormat="1" hidden="1" x14ac:dyDescent="0.3">
      <c r="B43" s="42">
        <v>550026700</v>
      </c>
      <c r="C43" s="13" t="s">
        <v>111</v>
      </c>
      <c r="D43" s="35" t="s">
        <v>5</v>
      </c>
      <c r="E43" s="3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>
        <v>420</v>
      </c>
      <c r="CI43" s="2"/>
      <c r="CJ43" s="2"/>
      <c r="CK43" s="2"/>
      <c r="CL43" s="2"/>
      <c r="CM43" s="2"/>
      <c r="CN43" s="2"/>
      <c r="CO43" s="2"/>
      <c r="CP43" s="2">
        <v>420</v>
      </c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>
        <v>210</v>
      </c>
      <c r="DD43" s="2"/>
      <c r="DE43" s="2"/>
      <c r="DF43" s="2"/>
      <c r="DG43" s="2">
        <v>210</v>
      </c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40"/>
      <c r="HT43" s="40"/>
      <c r="HU43" s="40"/>
      <c r="HV43" s="40"/>
      <c r="HW43" s="40"/>
      <c r="HX43" s="40"/>
      <c r="HY43" s="40"/>
      <c r="HZ43" s="40"/>
      <c r="IA43" s="40"/>
      <c r="IB43" s="40"/>
      <c r="IC43" s="40"/>
      <c r="ID43" s="40"/>
      <c r="IE43" s="40"/>
      <c r="IF43" s="40"/>
      <c r="IG43" s="40"/>
      <c r="IH43" s="40"/>
      <c r="II43" s="40"/>
      <c r="IJ43" s="40"/>
      <c r="IK43" s="40"/>
      <c r="IL43" s="40"/>
      <c r="IM43" s="40"/>
      <c r="IN43" s="40"/>
      <c r="IO43" s="40"/>
      <c r="IP43" s="40"/>
      <c r="IQ43" s="40"/>
      <c r="IR43" s="40"/>
      <c r="IS43" s="40"/>
      <c r="IT43" s="40"/>
      <c r="IU43" s="40"/>
      <c r="IV43" s="40"/>
      <c r="IW43" s="40"/>
      <c r="IX43" s="40"/>
      <c r="IY43" s="40"/>
      <c r="IZ43" s="40"/>
      <c r="JA43" s="40"/>
      <c r="JB43" s="40"/>
      <c r="JC43" s="40"/>
      <c r="JD43" s="40"/>
      <c r="JE43" s="40"/>
      <c r="JF43" s="40"/>
      <c r="JG43" s="40"/>
      <c r="JH43" s="40"/>
      <c r="JI43" s="40"/>
      <c r="JJ43" s="40"/>
      <c r="JK43" s="40"/>
      <c r="JL43" s="40"/>
      <c r="JM43" s="40"/>
      <c r="JN43" s="40"/>
      <c r="JO43" s="40"/>
      <c r="JP43" s="40"/>
      <c r="JQ43" s="40"/>
      <c r="JR43" s="40"/>
      <c r="JS43" s="40"/>
      <c r="JT43" s="40"/>
      <c r="JU43" s="40"/>
      <c r="JV43" s="40"/>
      <c r="JW43" s="40"/>
      <c r="JX43" s="40"/>
      <c r="JY43" s="40"/>
      <c r="JZ43" s="40"/>
      <c r="KA43" s="40"/>
      <c r="KB43" s="40"/>
      <c r="KC43" s="40"/>
      <c r="KD43" s="40"/>
      <c r="KE43" s="40"/>
      <c r="KF43" s="40"/>
      <c r="KG43" s="40"/>
      <c r="KH43" s="40"/>
      <c r="KI43" s="40"/>
      <c r="KJ43" s="40"/>
      <c r="KK43" s="40"/>
      <c r="KL43" s="40"/>
      <c r="KM43" s="40"/>
      <c r="KN43" s="40"/>
      <c r="KO43" s="40"/>
      <c r="KP43" s="2"/>
      <c r="KQ43" s="2"/>
      <c r="KR43" s="40"/>
      <c r="KS43" s="2"/>
      <c r="KT43" s="2"/>
      <c r="KU43" s="2"/>
      <c r="KV43" s="2"/>
      <c r="KW43" s="2"/>
      <c r="KX43" s="2"/>
      <c r="KY43" s="2"/>
      <c r="KZ43" s="107"/>
      <c r="LA43" s="2"/>
      <c r="LB43" s="2"/>
      <c r="LC43" s="2"/>
      <c r="LD43" s="2"/>
      <c r="LE43" s="2"/>
      <c r="LF43" s="2">
        <f t="shared" si="0"/>
        <v>1260</v>
      </c>
    </row>
    <row r="44" spans="1:321" hidden="1" x14ac:dyDescent="0.3">
      <c r="B44" s="42">
        <v>550026699</v>
      </c>
      <c r="C44" s="13" t="s">
        <v>113</v>
      </c>
      <c r="D44" s="35" t="s">
        <v>18</v>
      </c>
      <c r="E44" s="3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>
        <v>48</v>
      </c>
      <c r="CA44" s="2"/>
      <c r="CB44" s="2"/>
      <c r="CC44" s="2"/>
      <c r="CD44" s="2"/>
      <c r="CE44" s="2"/>
      <c r="CF44" s="2">
        <v>60</v>
      </c>
      <c r="CG44" s="2"/>
      <c r="CH44" s="2"/>
      <c r="CI44" s="2"/>
      <c r="CJ44" s="2"/>
      <c r="CK44" s="2"/>
      <c r="CL44" s="2"/>
      <c r="CM44" s="2"/>
      <c r="CN44" s="2"/>
      <c r="CO44" s="2"/>
      <c r="CP44" s="2">
        <v>96</v>
      </c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>
        <f>96+48</f>
        <v>144</v>
      </c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>
        <v>96</v>
      </c>
      <c r="DZ44" s="2"/>
      <c r="EA44" s="2"/>
      <c r="EB44" s="2"/>
      <c r="EC44" s="2"/>
      <c r="ED44" s="2"/>
      <c r="EE44" s="2"/>
      <c r="EF44" s="2"/>
      <c r="EG44" s="2"/>
      <c r="EH44" s="2"/>
      <c r="EI44" s="2">
        <v>96</v>
      </c>
      <c r="EJ44" s="2">
        <v>48</v>
      </c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>
        <f>96+96</f>
        <v>192</v>
      </c>
      <c r="FB44" s="2">
        <f>96+48</f>
        <v>144</v>
      </c>
      <c r="FC44" s="2"/>
      <c r="FD44" s="2"/>
      <c r="FE44" s="2"/>
      <c r="FF44" s="2">
        <f>36+24</f>
        <v>60</v>
      </c>
      <c r="FG44" s="2"/>
      <c r="FH44" s="2"/>
      <c r="FI44" s="2"/>
      <c r="FJ44" s="2"/>
      <c r="FK44" s="2"/>
      <c r="FL44" s="2"/>
      <c r="FM44" s="2"/>
      <c r="FN44" s="2"/>
      <c r="FO44" s="2">
        <v>96</v>
      </c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>
        <f>96</f>
        <v>96</v>
      </c>
      <c r="GD44" s="2"/>
      <c r="GE44" s="2">
        <f>96</f>
        <v>96</v>
      </c>
      <c r="GF44" s="2"/>
      <c r="GG44" s="2">
        <v>48</v>
      </c>
      <c r="GH44" s="2"/>
      <c r="GI44" s="2"/>
      <c r="GJ44" s="2"/>
      <c r="GK44" s="2"/>
      <c r="GL44" s="2"/>
      <c r="GM44" s="2"/>
      <c r="GN44" s="2"/>
      <c r="GO44" s="2"/>
      <c r="GP44" s="2">
        <f>96+96</f>
        <v>192</v>
      </c>
      <c r="GQ44" s="2"/>
      <c r="GR44" s="2"/>
      <c r="GS44" s="2">
        <f>96</f>
        <v>96</v>
      </c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>
        <f>96+96</f>
        <v>192</v>
      </c>
      <c r="HS44" s="40"/>
      <c r="HT44" s="40"/>
      <c r="HU44" s="40"/>
      <c r="HV44" s="40"/>
      <c r="HW44" s="40"/>
      <c r="HX44" s="50">
        <f>96*2</f>
        <v>192</v>
      </c>
      <c r="HY44" s="50">
        <v>96</v>
      </c>
      <c r="HZ44" s="40"/>
      <c r="IA44" s="40"/>
      <c r="IB44" s="40"/>
      <c r="IC44" s="40"/>
      <c r="ID44" s="40"/>
      <c r="IE44" s="40"/>
      <c r="IF44" s="40"/>
      <c r="IG44" s="40"/>
      <c r="IH44" s="40"/>
      <c r="II44" s="40"/>
      <c r="IJ44" s="40"/>
      <c r="IK44" s="40">
        <f>96*4+92</f>
        <v>476</v>
      </c>
      <c r="IL44" s="40">
        <v>96</v>
      </c>
      <c r="IM44" s="40"/>
      <c r="IN44" s="40"/>
      <c r="IO44" s="40"/>
      <c r="IP44" s="40"/>
      <c r="IQ44" s="40"/>
      <c r="IR44" s="40"/>
      <c r="IS44" s="40">
        <v>96</v>
      </c>
      <c r="IT44" s="40">
        <f>96*2+48+96</f>
        <v>336</v>
      </c>
      <c r="IU44" s="40"/>
      <c r="IV44" s="40"/>
      <c r="IW44" s="40">
        <f>96*2+24</f>
        <v>216</v>
      </c>
      <c r="IX44" s="40"/>
      <c r="IY44" s="40"/>
      <c r="IZ44" s="40"/>
      <c r="JA44" s="40"/>
      <c r="JB44" s="40"/>
      <c r="JC44" s="40"/>
      <c r="JD44" s="40"/>
      <c r="JE44" s="40"/>
      <c r="JF44" s="40"/>
      <c r="JG44" s="40"/>
      <c r="JH44" s="40"/>
      <c r="JI44" s="40"/>
      <c r="JJ44" s="40"/>
      <c r="JK44" s="40"/>
      <c r="JL44" s="40"/>
      <c r="JM44" s="40"/>
      <c r="JN44" s="40"/>
      <c r="JO44" s="40"/>
      <c r="JP44" s="40"/>
      <c r="JQ44" s="40"/>
      <c r="JR44" s="40"/>
      <c r="JS44" s="40"/>
      <c r="JT44" s="40"/>
      <c r="JU44" s="40"/>
      <c r="JV44" s="40"/>
      <c r="JW44" s="40"/>
      <c r="JX44" s="40"/>
      <c r="JY44" s="40"/>
      <c r="JZ44" s="40"/>
      <c r="KA44" s="40"/>
      <c r="KB44" s="40"/>
      <c r="KC44" s="40"/>
      <c r="KD44" s="40"/>
      <c r="KE44" s="40"/>
      <c r="KF44" s="40"/>
      <c r="KG44" s="40"/>
      <c r="KH44" s="40"/>
      <c r="KI44" s="40"/>
      <c r="KJ44" s="40"/>
      <c r="KK44" s="40"/>
      <c r="KL44" s="40"/>
      <c r="KM44" s="40"/>
      <c r="KN44" s="40"/>
      <c r="KO44" s="40"/>
      <c r="KP44" s="2"/>
      <c r="KQ44" s="2"/>
      <c r="KR44" s="40"/>
      <c r="KS44" s="2"/>
      <c r="KT44" s="2"/>
      <c r="KU44" s="2"/>
      <c r="KV44" s="2"/>
      <c r="KW44" s="2"/>
      <c r="KX44" s="2"/>
      <c r="KY44" s="2"/>
      <c r="KZ44" s="107"/>
      <c r="LA44" s="2"/>
      <c r="LB44" s="2"/>
      <c r="LC44" s="2"/>
      <c r="LD44" s="2"/>
      <c r="LE44" s="2"/>
      <c r="LF44" s="2">
        <f t="shared" si="0"/>
        <v>3308</v>
      </c>
    </row>
    <row r="45" spans="1:321" s="11" customFormat="1" hidden="1" x14ac:dyDescent="0.3">
      <c r="B45" s="42">
        <v>550026697</v>
      </c>
      <c r="C45" s="13" t="s">
        <v>115</v>
      </c>
      <c r="D45" s="35" t="s">
        <v>5</v>
      </c>
      <c r="E45" s="3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>
        <f>840+840</f>
        <v>1680</v>
      </c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>
        <f>840+420+588</f>
        <v>1848</v>
      </c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>
        <v>210</v>
      </c>
      <c r="DD45" s="2"/>
      <c r="DE45" s="2"/>
      <c r="DF45" s="2"/>
      <c r="DG45" s="2">
        <v>420</v>
      </c>
      <c r="DH45" s="2"/>
      <c r="DI45" s="2"/>
      <c r="DJ45" s="2"/>
      <c r="DK45" s="2"/>
      <c r="DL45" s="2"/>
      <c r="DM45" s="2">
        <v>840</v>
      </c>
      <c r="DN45" s="2"/>
      <c r="DO45" s="2"/>
      <c r="DP45" s="2"/>
      <c r="DQ45" s="2"/>
      <c r="DR45" s="2">
        <v>840</v>
      </c>
      <c r="DS45" s="2"/>
      <c r="DT45" s="2"/>
      <c r="DU45" s="2"/>
      <c r="DV45" s="2"/>
      <c r="DW45" s="2"/>
      <c r="DX45" s="2"/>
      <c r="DY45" s="2">
        <v>420</v>
      </c>
      <c r="DZ45" s="2"/>
      <c r="EA45" s="2"/>
      <c r="EB45" s="2"/>
      <c r="EC45" s="2"/>
      <c r="ED45" s="2"/>
      <c r="EE45" s="2"/>
      <c r="EF45" s="2"/>
      <c r="EG45" s="2"/>
      <c r="EH45" s="2"/>
      <c r="EI45" s="2">
        <v>630</v>
      </c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>
        <f>840</f>
        <v>840</v>
      </c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40">
        <v>84</v>
      </c>
      <c r="HT45" s="40"/>
      <c r="HU45" s="40"/>
      <c r="HV45" s="40"/>
      <c r="HW45" s="40"/>
      <c r="HX45" s="40"/>
      <c r="HY45" s="40"/>
      <c r="HZ45" s="40"/>
      <c r="IA45" s="40"/>
      <c r="IB45" s="40"/>
      <c r="IC45" s="40">
        <v>840</v>
      </c>
      <c r="ID45" s="40"/>
      <c r="IE45" s="40"/>
      <c r="IF45" s="40"/>
      <c r="IG45" s="40"/>
      <c r="IH45" s="40"/>
      <c r="II45" s="40"/>
      <c r="IJ45" s="40"/>
      <c r="IK45" s="40"/>
      <c r="IL45" s="40"/>
      <c r="IM45" s="40"/>
      <c r="IN45" s="40"/>
      <c r="IO45" s="40"/>
      <c r="IP45" s="40"/>
      <c r="IQ45" s="40">
        <v>1470</v>
      </c>
      <c r="IR45" s="40">
        <v>840</v>
      </c>
      <c r="IS45" s="40">
        <v>420</v>
      </c>
      <c r="IT45" s="40">
        <v>840</v>
      </c>
      <c r="IU45" s="40"/>
      <c r="IV45" s="40"/>
      <c r="IW45" s="40"/>
      <c r="IX45" s="40"/>
      <c r="IY45" s="40"/>
      <c r="IZ45" s="40"/>
      <c r="JA45" s="40"/>
      <c r="JB45" s="40">
        <v>1680</v>
      </c>
      <c r="JC45" s="40"/>
      <c r="JD45" s="40"/>
      <c r="JE45" s="40"/>
      <c r="JF45" s="40"/>
      <c r="JG45" s="40"/>
      <c r="JH45" s="40"/>
      <c r="JI45" s="40"/>
      <c r="JJ45" s="40"/>
      <c r="JK45" s="40"/>
      <c r="JL45" s="40"/>
      <c r="JM45" s="40"/>
      <c r="JN45" s="40"/>
      <c r="JO45" s="40">
        <f>840*2+839</f>
        <v>2519</v>
      </c>
      <c r="JP45" s="40"/>
      <c r="JQ45" s="40"/>
      <c r="JR45" s="40"/>
      <c r="JS45" s="40"/>
      <c r="JT45" s="40"/>
      <c r="JU45" s="40"/>
      <c r="JV45" s="40"/>
      <c r="JW45" s="40"/>
      <c r="JX45" s="40"/>
      <c r="JY45" s="40"/>
      <c r="JZ45" s="40"/>
      <c r="KA45" s="40"/>
      <c r="KB45" s="40"/>
      <c r="KC45" s="40"/>
      <c r="KD45" s="40"/>
      <c r="KE45" s="40"/>
      <c r="KF45" s="40"/>
      <c r="KG45" s="40"/>
      <c r="KH45" s="40"/>
      <c r="KI45" s="40"/>
      <c r="KJ45" s="40"/>
      <c r="KK45" s="40"/>
      <c r="KL45" s="40"/>
      <c r="KM45" s="40"/>
      <c r="KN45" s="40"/>
      <c r="KO45" s="40"/>
      <c r="KP45" s="2"/>
      <c r="KQ45" s="2"/>
      <c r="KR45" s="40"/>
      <c r="KS45" s="2"/>
      <c r="KT45" s="2"/>
      <c r="KU45" s="2"/>
      <c r="KV45" s="2"/>
      <c r="KW45" s="2"/>
      <c r="KX45" s="2"/>
      <c r="KY45" s="2"/>
      <c r="KZ45" s="107"/>
      <c r="LA45" s="2"/>
      <c r="LB45" s="2"/>
      <c r="LC45" s="2"/>
      <c r="LD45" s="2"/>
      <c r="LE45" s="2"/>
      <c r="LF45" s="2">
        <f t="shared" si="0"/>
        <v>16421</v>
      </c>
    </row>
    <row r="46" spans="1:321" hidden="1" x14ac:dyDescent="0.3">
      <c r="B46" s="42">
        <v>550022488</v>
      </c>
      <c r="C46" s="13" t="s">
        <v>117</v>
      </c>
      <c r="D46" s="35" t="s">
        <v>18</v>
      </c>
      <c r="E46" s="3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>
        <f>48</f>
        <v>48</v>
      </c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40"/>
      <c r="HT46" s="40"/>
      <c r="HU46" s="40"/>
      <c r="HV46" s="40"/>
      <c r="HW46" s="40"/>
      <c r="HX46" s="40"/>
      <c r="HY46" s="40"/>
      <c r="HZ46" s="40"/>
      <c r="IA46" s="40"/>
      <c r="IB46" s="40"/>
      <c r="IC46" s="40"/>
      <c r="ID46" s="40"/>
      <c r="IE46" s="40"/>
      <c r="IF46" s="40"/>
      <c r="IG46" s="40"/>
      <c r="IH46" s="40"/>
      <c r="II46" s="40"/>
      <c r="IJ46" s="40"/>
      <c r="IK46" s="40"/>
      <c r="IL46" s="40"/>
      <c r="IM46" s="40"/>
      <c r="IN46" s="40"/>
      <c r="IO46" s="40"/>
      <c r="IP46" s="40"/>
      <c r="IQ46" s="40"/>
      <c r="IR46" s="40"/>
      <c r="IS46" s="40"/>
      <c r="IT46" s="40"/>
      <c r="IU46" s="40"/>
      <c r="IV46" s="40"/>
      <c r="IW46" s="40"/>
      <c r="IX46" s="40"/>
      <c r="IY46" s="40"/>
      <c r="IZ46" s="40"/>
      <c r="JA46" s="40"/>
      <c r="JB46" s="40"/>
      <c r="JC46" s="40"/>
      <c r="JD46" s="40"/>
      <c r="JE46" s="40"/>
      <c r="JF46" s="40"/>
      <c r="JG46" s="40"/>
      <c r="JH46" s="40"/>
      <c r="JI46" s="40"/>
      <c r="JJ46" s="40"/>
      <c r="JK46" s="40"/>
      <c r="JL46" s="40"/>
      <c r="JM46" s="40"/>
      <c r="JN46" s="40"/>
      <c r="JO46" s="40"/>
      <c r="JP46" s="40"/>
      <c r="JQ46" s="40"/>
      <c r="JR46" s="40"/>
      <c r="JS46" s="40"/>
      <c r="JT46" s="40"/>
      <c r="JU46" s="40"/>
      <c r="JV46" s="40"/>
      <c r="JW46" s="40"/>
      <c r="JX46" s="40"/>
      <c r="JY46" s="40"/>
      <c r="JZ46" s="40"/>
      <c r="KA46" s="40"/>
      <c r="KB46" s="40"/>
      <c r="KC46" s="40"/>
      <c r="KD46" s="40"/>
      <c r="KE46" s="40"/>
      <c r="KF46" s="40"/>
      <c r="KG46" s="40"/>
      <c r="KH46" s="40"/>
      <c r="KI46" s="40"/>
      <c r="KJ46" s="40"/>
      <c r="KK46" s="40"/>
      <c r="KL46" s="40"/>
      <c r="KM46" s="40"/>
      <c r="KN46" s="40"/>
      <c r="KO46" s="40"/>
      <c r="KP46" s="2"/>
      <c r="KQ46" s="2"/>
      <c r="KR46" s="40"/>
      <c r="KS46" s="2"/>
      <c r="KT46" s="2"/>
      <c r="KU46" s="2"/>
      <c r="KV46" s="2"/>
      <c r="KW46" s="2"/>
      <c r="KX46" s="2"/>
      <c r="KY46" s="2"/>
      <c r="KZ46" s="107"/>
      <c r="LA46" s="2"/>
      <c r="LB46" s="2"/>
      <c r="LC46" s="2"/>
      <c r="LD46" s="2"/>
      <c r="LE46" s="2"/>
      <c r="LF46" s="2">
        <f t="shared" si="0"/>
        <v>48</v>
      </c>
    </row>
    <row r="47" spans="1:321" s="11" customFormat="1" hidden="1" x14ac:dyDescent="0.3">
      <c r="B47" s="42">
        <v>550036571</v>
      </c>
      <c r="C47" s="13" t="s">
        <v>119</v>
      </c>
      <c r="D47" s="35" t="s">
        <v>18</v>
      </c>
      <c r="E47" s="3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>
        <v>60</v>
      </c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>
        <v>48</v>
      </c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>
        <v>12</v>
      </c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40"/>
      <c r="HT47" s="40"/>
      <c r="HU47" s="40"/>
      <c r="HV47" s="40"/>
      <c r="HW47" s="40"/>
      <c r="HX47" s="40"/>
      <c r="HY47" s="40"/>
      <c r="HZ47" s="40"/>
      <c r="IA47" s="40"/>
      <c r="IB47" s="40"/>
      <c r="IC47" s="40"/>
      <c r="ID47" s="40"/>
      <c r="IE47" s="40"/>
      <c r="IF47" s="40"/>
      <c r="IG47" s="40"/>
      <c r="IH47" s="40"/>
      <c r="II47" s="40"/>
      <c r="IJ47" s="40"/>
      <c r="IK47" s="40"/>
      <c r="IL47" s="40"/>
      <c r="IM47" s="40"/>
      <c r="IN47" s="40"/>
      <c r="IO47" s="40"/>
      <c r="IP47" s="40"/>
      <c r="IQ47" s="40"/>
      <c r="IR47" s="40"/>
      <c r="IS47" s="40"/>
      <c r="IT47" s="40"/>
      <c r="IU47" s="40"/>
      <c r="IV47" s="40"/>
      <c r="IW47" s="40"/>
      <c r="IX47" s="40"/>
      <c r="IY47" s="40"/>
      <c r="IZ47" s="40"/>
      <c r="JA47" s="40"/>
      <c r="JB47" s="40"/>
      <c r="JC47" s="40"/>
      <c r="JD47" s="40"/>
      <c r="JE47" s="40"/>
      <c r="JF47" s="40"/>
      <c r="JG47" s="40"/>
      <c r="JH47" s="40"/>
      <c r="JI47" s="40"/>
      <c r="JJ47" s="40"/>
      <c r="JK47" s="40"/>
      <c r="JL47" s="40"/>
      <c r="JM47" s="40"/>
      <c r="JN47" s="40"/>
      <c r="JO47" s="40"/>
      <c r="JP47" s="40"/>
      <c r="JQ47" s="40"/>
      <c r="JR47" s="40"/>
      <c r="JS47" s="40"/>
      <c r="JT47" s="40"/>
      <c r="JU47" s="40"/>
      <c r="JV47" s="40"/>
      <c r="JW47" s="40"/>
      <c r="JX47" s="40"/>
      <c r="JY47" s="40"/>
      <c r="JZ47" s="40"/>
      <c r="KA47" s="40"/>
      <c r="KB47" s="40"/>
      <c r="KC47" s="40"/>
      <c r="KD47" s="40"/>
      <c r="KE47" s="40"/>
      <c r="KF47" s="40"/>
      <c r="KG47" s="40"/>
      <c r="KH47" s="40"/>
      <c r="KI47" s="40"/>
      <c r="KJ47" s="40"/>
      <c r="KK47" s="40"/>
      <c r="KL47" s="40"/>
      <c r="KM47" s="40"/>
      <c r="KN47" s="40"/>
      <c r="KO47" s="40"/>
      <c r="KP47" s="2"/>
      <c r="KQ47" s="2"/>
      <c r="KR47" s="40"/>
      <c r="KS47" s="2"/>
      <c r="KT47" s="2"/>
      <c r="KU47" s="2"/>
      <c r="KV47" s="2"/>
      <c r="KW47" s="2"/>
      <c r="KX47" s="2"/>
      <c r="KY47" s="2"/>
      <c r="KZ47" s="107"/>
      <c r="LA47" s="2"/>
      <c r="LB47" s="2"/>
      <c r="LC47" s="2"/>
      <c r="LD47" s="2"/>
      <c r="LE47" s="2"/>
      <c r="LF47" s="2">
        <f t="shared" si="0"/>
        <v>120</v>
      </c>
    </row>
    <row r="48" spans="1:321" s="11" customFormat="1" hidden="1" x14ac:dyDescent="0.3">
      <c r="B48" s="42">
        <v>550036183</v>
      </c>
      <c r="C48" s="13" t="s">
        <v>121</v>
      </c>
      <c r="D48" s="35" t="s">
        <v>18</v>
      </c>
      <c r="E48" s="3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>
        <v>48</v>
      </c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>
        <v>12</v>
      </c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40"/>
      <c r="HT48" s="40"/>
      <c r="HU48" s="40"/>
      <c r="HV48" s="40"/>
      <c r="HW48" s="40"/>
      <c r="HX48" s="40"/>
      <c r="HY48" s="40"/>
      <c r="HZ48" s="40"/>
      <c r="IA48" s="40"/>
      <c r="IB48" s="40"/>
      <c r="IC48" s="40"/>
      <c r="ID48" s="40"/>
      <c r="IE48" s="40"/>
      <c r="IF48" s="40"/>
      <c r="IG48" s="40"/>
      <c r="IH48" s="40"/>
      <c r="II48" s="40"/>
      <c r="IJ48" s="40"/>
      <c r="IK48" s="40"/>
      <c r="IL48" s="40"/>
      <c r="IM48" s="40"/>
      <c r="IN48" s="40"/>
      <c r="IO48" s="40"/>
      <c r="IP48" s="40"/>
      <c r="IQ48" s="40"/>
      <c r="IR48" s="40"/>
      <c r="IS48" s="40"/>
      <c r="IT48" s="40"/>
      <c r="IU48" s="40"/>
      <c r="IV48" s="40"/>
      <c r="IW48" s="40"/>
      <c r="IX48" s="40"/>
      <c r="IY48" s="40"/>
      <c r="IZ48" s="40"/>
      <c r="JA48" s="40"/>
      <c r="JB48" s="40"/>
      <c r="JC48" s="40"/>
      <c r="JD48" s="40"/>
      <c r="JE48" s="40"/>
      <c r="JF48" s="40"/>
      <c r="JG48" s="40"/>
      <c r="JH48" s="40"/>
      <c r="JI48" s="40"/>
      <c r="JJ48" s="40"/>
      <c r="JK48" s="40"/>
      <c r="JL48" s="40"/>
      <c r="JM48" s="40"/>
      <c r="JN48" s="40"/>
      <c r="JO48" s="40"/>
      <c r="JP48" s="40"/>
      <c r="JQ48" s="40"/>
      <c r="JR48" s="40"/>
      <c r="JS48" s="40"/>
      <c r="JT48" s="40"/>
      <c r="JU48" s="40"/>
      <c r="JV48" s="40"/>
      <c r="JW48" s="40"/>
      <c r="JX48" s="40"/>
      <c r="JY48" s="40"/>
      <c r="JZ48" s="40"/>
      <c r="KA48" s="40"/>
      <c r="KB48" s="40"/>
      <c r="KC48" s="40"/>
      <c r="KD48" s="40"/>
      <c r="KE48" s="40"/>
      <c r="KF48" s="40"/>
      <c r="KG48" s="40"/>
      <c r="KH48" s="40"/>
      <c r="KI48" s="40"/>
      <c r="KJ48" s="40"/>
      <c r="KK48" s="40"/>
      <c r="KL48" s="40"/>
      <c r="KM48" s="40"/>
      <c r="KN48" s="40"/>
      <c r="KO48" s="40"/>
      <c r="KP48" s="2"/>
      <c r="KQ48" s="2"/>
      <c r="KR48" s="40"/>
      <c r="KS48" s="2"/>
      <c r="KT48" s="2"/>
      <c r="KU48" s="2"/>
      <c r="KV48" s="2"/>
      <c r="KW48" s="2"/>
      <c r="KX48" s="2"/>
      <c r="KY48" s="2"/>
      <c r="KZ48" s="107"/>
      <c r="LA48" s="2"/>
      <c r="LB48" s="2"/>
      <c r="LC48" s="2"/>
      <c r="LD48" s="2"/>
      <c r="LE48" s="2"/>
      <c r="LF48" s="2">
        <f t="shared" si="0"/>
        <v>60</v>
      </c>
    </row>
    <row r="49" spans="1:318" s="11" customFormat="1" hidden="1" x14ac:dyDescent="0.3">
      <c r="B49" s="42">
        <v>550049771</v>
      </c>
      <c r="C49" s="13" t="s">
        <v>123</v>
      </c>
      <c r="D49" s="35" t="s">
        <v>2</v>
      </c>
      <c r="E49" s="3"/>
      <c r="F49" s="2">
        <v>700</v>
      </c>
      <c r="G49" s="2"/>
      <c r="H49" s="2">
        <v>3500</v>
      </c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>
        <v>3500</v>
      </c>
      <c r="AD49" s="2"/>
      <c r="AE49" s="2">
        <v>3500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>
        <v>200</v>
      </c>
      <c r="FL49" s="2"/>
      <c r="FM49" s="2"/>
      <c r="FN49" s="2"/>
      <c r="FO49" s="2"/>
      <c r="FP49" s="2"/>
      <c r="FQ49" s="2">
        <f>3500+3500</f>
        <v>7000</v>
      </c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>
        <f>1750</f>
        <v>1750</v>
      </c>
      <c r="GL49" s="2"/>
      <c r="GM49" s="2"/>
      <c r="GN49" s="2">
        <f>3325</f>
        <v>3325</v>
      </c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>
        <v>3500</v>
      </c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40"/>
      <c r="HT49" s="40"/>
      <c r="HU49" s="40"/>
      <c r="HV49" s="40"/>
      <c r="HW49" s="40"/>
      <c r="HX49" s="40"/>
      <c r="HY49" s="40"/>
      <c r="HZ49" s="40"/>
      <c r="IA49" s="40"/>
      <c r="IB49" s="40"/>
      <c r="IC49" s="40"/>
      <c r="ID49" s="40"/>
      <c r="IE49" s="40"/>
      <c r="IF49" s="40"/>
      <c r="IG49" s="40"/>
      <c r="IH49" s="40"/>
      <c r="II49" s="40"/>
      <c r="IJ49" s="40"/>
      <c r="IK49" s="40"/>
      <c r="IL49" s="40"/>
      <c r="IM49" s="40"/>
      <c r="IN49" s="40"/>
      <c r="IO49" s="40"/>
      <c r="IP49" s="40"/>
      <c r="IQ49" s="40"/>
      <c r="IR49" s="40"/>
      <c r="IS49" s="40"/>
      <c r="IT49" s="40"/>
      <c r="IU49" s="40"/>
      <c r="IV49" s="40">
        <v>1750</v>
      </c>
      <c r="IW49" s="40"/>
      <c r="IX49" s="40"/>
      <c r="IY49" s="40"/>
      <c r="IZ49" s="40"/>
      <c r="JA49" s="40"/>
      <c r="JB49" s="40"/>
      <c r="JC49" s="40"/>
      <c r="JD49" s="40"/>
      <c r="JE49" s="40"/>
      <c r="JF49" s="40"/>
      <c r="JG49" s="40"/>
      <c r="JH49" s="40"/>
      <c r="JI49" s="40"/>
      <c r="JJ49" s="40"/>
      <c r="JK49" s="40"/>
      <c r="JL49" s="40"/>
      <c r="JM49" s="40"/>
      <c r="JN49" s="40"/>
      <c r="JO49" s="40"/>
      <c r="JP49" s="40"/>
      <c r="JQ49" s="40"/>
      <c r="JR49" s="40"/>
      <c r="JS49" s="40"/>
      <c r="JT49" s="40"/>
      <c r="JU49" s="40"/>
      <c r="JV49" s="40"/>
      <c r="JW49" s="40"/>
      <c r="JX49" s="40"/>
      <c r="JY49" s="40"/>
      <c r="JZ49" s="40"/>
      <c r="KA49" s="40"/>
      <c r="KB49" s="40"/>
      <c r="KC49" s="40"/>
      <c r="KD49" s="40"/>
      <c r="KE49" s="40"/>
      <c r="KF49" s="40"/>
      <c r="KG49" s="40"/>
      <c r="KH49" s="40"/>
      <c r="KI49" s="40"/>
      <c r="KJ49" s="40"/>
      <c r="KK49" s="40"/>
      <c r="KL49" s="40"/>
      <c r="KM49" s="40"/>
      <c r="KN49" s="40"/>
      <c r="KO49" s="40"/>
      <c r="KP49" s="2"/>
      <c r="KQ49" s="12">
        <v>1</v>
      </c>
      <c r="KR49" s="40"/>
      <c r="KS49" s="2"/>
      <c r="KT49" s="2"/>
      <c r="KU49" s="2"/>
      <c r="KV49" s="2"/>
      <c r="KW49" s="2"/>
      <c r="KX49" s="2"/>
      <c r="KY49" s="2"/>
      <c r="KZ49" s="107"/>
      <c r="LA49" s="2"/>
      <c r="LB49" s="2"/>
      <c r="LC49" s="2"/>
      <c r="LD49" s="2"/>
      <c r="LE49" s="2"/>
      <c r="LF49" s="2">
        <f t="shared" si="0"/>
        <v>28726</v>
      </c>
    </row>
    <row r="50" spans="1:318" s="11" customFormat="1" hidden="1" x14ac:dyDescent="0.3">
      <c r="B50" s="42">
        <v>45657855</v>
      </c>
      <c r="C50" s="13" t="s">
        <v>41</v>
      </c>
      <c r="D50" s="35" t="s">
        <v>4</v>
      </c>
      <c r="E50" s="3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>
        <v>360</v>
      </c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40"/>
      <c r="HT50" s="40"/>
      <c r="HU50" s="40"/>
      <c r="HV50" s="40"/>
      <c r="HW50" s="40"/>
      <c r="HX50" s="40"/>
      <c r="HY50" s="40"/>
      <c r="HZ50" s="40"/>
      <c r="IA50" s="40"/>
      <c r="IB50" s="40"/>
      <c r="IC50" s="40"/>
      <c r="ID50" s="40"/>
      <c r="IE50" s="40"/>
      <c r="IF50" s="40"/>
      <c r="IG50" s="40"/>
      <c r="IH50" s="40"/>
      <c r="II50" s="40"/>
      <c r="IJ50" s="40"/>
      <c r="IK50" s="40"/>
      <c r="IL50" s="40"/>
      <c r="IM50" s="40"/>
      <c r="IN50" s="40"/>
      <c r="IO50" s="40"/>
      <c r="IP50" s="40"/>
      <c r="IQ50" s="40"/>
      <c r="IR50" s="40"/>
      <c r="IS50" s="40"/>
      <c r="IT50" s="40"/>
      <c r="IU50" s="40"/>
      <c r="IV50" s="40"/>
      <c r="IW50" s="40"/>
      <c r="IX50" s="40"/>
      <c r="IY50" s="40"/>
      <c r="IZ50" s="40"/>
      <c r="JA50" s="40"/>
      <c r="JB50" s="40"/>
      <c r="JC50" s="40"/>
      <c r="JD50" s="40"/>
      <c r="JE50" s="40"/>
      <c r="JF50" s="40"/>
      <c r="JG50" s="40"/>
      <c r="JH50" s="40"/>
      <c r="JI50" s="40"/>
      <c r="JJ50" s="40"/>
      <c r="JK50" s="40"/>
      <c r="JL50" s="40"/>
      <c r="JM50" s="40"/>
      <c r="JN50" s="40"/>
      <c r="JO50" s="40"/>
      <c r="JP50" s="40"/>
      <c r="JQ50" s="40"/>
      <c r="JR50" s="40"/>
      <c r="JS50" s="40"/>
      <c r="JT50" s="40"/>
      <c r="JU50" s="40"/>
      <c r="JV50" s="40"/>
      <c r="JW50" s="40"/>
      <c r="JX50" s="40"/>
      <c r="JY50" s="40"/>
      <c r="JZ50" s="40"/>
      <c r="KA50" s="40"/>
      <c r="KB50" s="40"/>
      <c r="KC50" s="40"/>
      <c r="KD50" s="40"/>
      <c r="KE50" s="40"/>
      <c r="KF50" s="40"/>
      <c r="KG50" s="40"/>
      <c r="KH50" s="40"/>
      <c r="KI50" s="40"/>
      <c r="KJ50" s="40"/>
      <c r="KK50" s="40"/>
      <c r="KL50" s="40"/>
      <c r="KM50" s="40"/>
      <c r="KN50" s="40"/>
      <c r="KO50" s="40"/>
      <c r="KP50" s="2"/>
      <c r="KQ50" s="2"/>
      <c r="KR50" s="40"/>
      <c r="KS50" s="2"/>
      <c r="KT50" s="2"/>
      <c r="KU50" s="2"/>
      <c r="KV50" s="2"/>
      <c r="KW50" s="2"/>
      <c r="KX50" s="2"/>
      <c r="KY50" s="2"/>
      <c r="KZ50" s="107"/>
      <c r="LA50" s="2"/>
      <c r="LB50" s="2"/>
      <c r="LC50" s="2"/>
      <c r="LD50" s="2"/>
      <c r="LE50" s="2"/>
      <c r="LF50" s="2">
        <f t="shared" si="0"/>
        <v>360</v>
      </c>
    </row>
    <row r="51" spans="1:318" s="11" customFormat="1" hidden="1" x14ac:dyDescent="0.3">
      <c r="B51" s="42">
        <v>550047182</v>
      </c>
      <c r="C51" s="13" t="s">
        <v>1033</v>
      </c>
      <c r="D51" s="35" t="s">
        <v>905</v>
      </c>
      <c r="E51" s="3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40"/>
      <c r="HT51" s="40"/>
      <c r="HU51" s="40"/>
      <c r="HV51" s="40"/>
      <c r="HW51" s="40"/>
      <c r="HX51" s="40"/>
      <c r="HY51" s="40"/>
      <c r="HZ51" s="40"/>
      <c r="IA51" s="40"/>
      <c r="IB51" s="40"/>
      <c r="IC51" s="40"/>
      <c r="ID51" s="40"/>
      <c r="IE51" s="40"/>
      <c r="IF51" s="40"/>
      <c r="IG51" s="40"/>
      <c r="IH51" s="40"/>
      <c r="II51" s="40"/>
      <c r="IJ51" s="40"/>
      <c r="IK51" s="40"/>
      <c r="IL51" s="40"/>
      <c r="IM51" s="40"/>
      <c r="IN51" s="40"/>
      <c r="IO51" s="40"/>
      <c r="IP51" s="40"/>
      <c r="IQ51" s="40"/>
      <c r="IR51" s="40"/>
      <c r="IS51" s="40"/>
      <c r="IT51" s="40"/>
      <c r="IU51" s="40"/>
      <c r="IV51" s="40"/>
      <c r="IW51" s="40"/>
      <c r="IX51" s="40"/>
      <c r="IY51" s="40"/>
      <c r="IZ51" s="40"/>
      <c r="JA51" s="40"/>
      <c r="JB51" s="40"/>
      <c r="JC51" s="40"/>
      <c r="JD51" s="40"/>
      <c r="JE51" s="40"/>
      <c r="JF51" s="40"/>
      <c r="JG51" s="40"/>
      <c r="JH51" s="40"/>
      <c r="JI51" s="40"/>
      <c r="JJ51" s="40"/>
      <c r="JK51" s="40"/>
      <c r="JL51" s="40"/>
      <c r="JM51" s="40"/>
      <c r="JN51" s="40"/>
      <c r="JO51" s="40"/>
      <c r="JP51" s="40"/>
      <c r="JQ51" s="40"/>
      <c r="JR51" s="40"/>
      <c r="JS51" s="40"/>
      <c r="JT51" s="40"/>
      <c r="JU51" s="40"/>
      <c r="JV51" s="40"/>
      <c r="JW51" s="40"/>
      <c r="JX51" s="40"/>
      <c r="JY51" s="40"/>
      <c r="JZ51" s="40"/>
      <c r="KA51" s="40"/>
      <c r="KB51" s="40"/>
      <c r="KC51" s="40">
        <v>32</v>
      </c>
      <c r="KD51" s="40"/>
      <c r="KE51" s="40"/>
      <c r="KF51" s="40"/>
      <c r="KG51" s="40"/>
      <c r="KH51" s="40"/>
      <c r="KI51" s="40"/>
      <c r="KJ51" s="40"/>
      <c r="KK51" s="40"/>
      <c r="KL51" s="40"/>
      <c r="KM51" s="40"/>
      <c r="KN51" s="40"/>
      <c r="KO51" s="40"/>
      <c r="KP51" s="2"/>
      <c r="KQ51" s="2"/>
      <c r="KR51" s="40"/>
      <c r="KS51" s="2"/>
      <c r="KT51" s="2"/>
      <c r="KU51" s="2"/>
      <c r="KV51" s="2"/>
      <c r="KW51" s="2"/>
      <c r="KX51" s="2"/>
      <c r="KY51" s="2"/>
      <c r="KZ51" s="107"/>
      <c r="LA51" s="2"/>
      <c r="LB51" s="2"/>
      <c r="LC51" s="2"/>
      <c r="LD51" s="2"/>
      <c r="LE51" s="2"/>
      <c r="LF51" s="2">
        <f t="shared" si="0"/>
        <v>32</v>
      </c>
    </row>
    <row r="52" spans="1:318" s="4" customFormat="1" hidden="1" x14ac:dyDescent="0.3">
      <c r="A52" s="11"/>
      <c r="B52" s="42">
        <v>45659855</v>
      </c>
      <c r="C52" s="13" t="s">
        <v>43</v>
      </c>
      <c r="D52" s="35" t="s">
        <v>4</v>
      </c>
      <c r="E52" s="3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>
        <f>9*36</f>
        <v>324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>
        <v>324</v>
      </c>
      <c r="AG52" s="2"/>
      <c r="AH52" s="2"/>
      <c r="AI52" s="2">
        <v>492</v>
      </c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>
        <v>648</v>
      </c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40"/>
      <c r="HT52" s="40"/>
      <c r="HU52" s="40"/>
      <c r="HV52" s="40"/>
      <c r="HW52" s="40"/>
      <c r="HX52" s="40"/>
      <c r="HY52" s="40"/>
      <c r="HZ52" s="40"/>
      <c r="IA52" s="40"/>
      <c r="IB52" s="40"/>
      <c r="IC52" s="40"/>
      <c r="ID52" s="40"/>
      <c r="IE52" s="40"/>
      <c r="IF52" s="40"/>
      <c r="IG52" s="40"/>
      <c r="IH52" s="40"/>
      <c r="II52" s="40"/>
      <c r="IJ52" s="40"/>
      <c r="IK52" s="40"/>
      <c r="IL52" s="40"/>
      <c r="IM52" s="40"/>
      <c r="IN52" s="40"/>
      <c r="IO52" s="40"/>
      <c r="IP52" s="40"/>
      <c r="IQ52" s="40"/>
      <c r="IR52" s="40"/>
      <c r="IS52" s="40"/>
      <c r="IT52" s="40"/>
      <c r="IU52" s="40"/>
      <c r="IV52" s="40"/>
      <c r="IW52" s="40"/>
      <c r="IX52" s="40"/>
      <c r="IY52" s="40"/>
      <c r="IZ52" s="40"/>
      <c r="JA52" s="40"/>
      <c r="JB52" s="40"/>
      <c r="JC52" s="40"/>
      <c r="JD52" s="40"/>
      <c r="JE52" s="40"/>
      <c r="JF52" s="40"/>
      <c r="JG52" s="40"/>
      <c r="JH52" s="40"/>
      <c r="JI52" s="40"/>
      <c r="JJ52" s="40"/>
      <c r="JK52" s="40"/>
      <c r="JL52" s="40"/>
      <c r="JM52" s="40"/>
      <c r="JN52" s="40"/>
      <c r="JO52" s="40"/>
      <c r="JP52" s="40"/>
      <c r="JQ52" s="40"/>
      <c r="JR52" s="40"/>
      <c r="JS52" s="40"/>
      <c r="JT52" s="40"/>
      <c r="JU52" s="40"/>
      <c r="JV52" s="40"/>
      <c r="JW52" s="40"/>
      <c r="JX52" s="40"/>
      <c r="JY52" s="40"/>
      <c r="JZ52" s="40"/>
      <c r="KA52" s="40"/>
      <c r="KB52" s="40"/>
      <c r="KC52" s="40"/>
      <c r="KD52" s="40"/>
      <c r="KE52" s="40"/>
      <c r="KF52" s="40"/>
      <c r="KG52" s="40"/>
      <c r="KH52" s="40"/>
      <c r="KI52" s="40"/>
      <c r="KJ52" s="40"/>
      <c r="KK52" s="40"/>
      <c r="KL52" s="40"/>
      <c r="KM52" s="40"/>
      <c r="KN52" s="40"/>
      <c r="KO52" s="40"/>
      <c r="KP52" s="2"/>
      <c r="KQ52" s="2"/>
      <c r="KR52" s="40"/>
      <c r="KS52" s="2"/>
      <c r="KT52" s="2"/>
      <c r="KU52" s="2"/>
      <c r="KV52" s="2"/>
      <c r="KW52" s="2"/>
      <c r="KX52" s="2"/>
      <c r="KY52" s="2"/>
      <c r="KZ52" s="89"/>
      <c r="LA52" s="2"/>
      <c r="LB52" s="2"/>
      <c r="LC52" s="2"/>
      <c r="LD52" s="2"/>
      <c r="LE52" s="2"/>
      <c r="LF52" s="2">
        <f t="shared" si="0"/>
        <v>1788</v>
      </c>
    </row>
    <row r="53" spans="1:318" s="11" customFormat="1" hidden="1" x14ac:dyDescent="0.3">
      <c r="B53" s="42">
        <v>45683809</v>
      </c>
      <c r="C53" s="13" t="s">
        <v>45</v>
      </c>
      <c r="D53" s="35">
        <v>209</v>
      </c>
      <c r="E53" s="3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>
        <v>40</v>
      </c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>
        <v>32</v>
      </c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>
        <v>79</v>
      </c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40"/>
      <c r="HT53" s="40"/>
      <c r="HU53" s="40"/>
      <c r="HV53" s="40"/>
      <c r="HW53" s="40"/>
      <c r="HX53" s="40"/>
      <c r="HY53" s="40"/>
      <c r="HZ53" s="40"/>
      <c r="IA53" s="40"/>
      <c r="IB53" s="40"/>
      <c r="IC53" s="40"/>
      <c r="ID53" s="40"/>
      <c r="IE53" s="40"/>
      <c r="IF53" s="40"/>
      <c r="IG53" s="40"/>
      <c r="IH53" s="40"/>
      <c r="II53" s="40"/>
      <c r="IJ53" s="40"/>
      <c r="IK53" s="40"/>
      <c r="IL53" s="40"/>
      <c r="IM53" s="40"/>
      <c r="IN53" s="40"/>
      <c r="IO53" s="40"/>
      <c r="IP53" s="40"/>
      <c r="IQ53" s="40"/>
      <c r="IR53" s="40"/>
      <c r="IS53" s="40"/>
      <c r="IT53" s="40"/>
      <c r="IU53" s="40"/>
      <c r="IV53" s="40"/>
      <c r="IW53" s="40"/>
      <c r="IX53" s="40"/>
      <c r="IY53" s="40"/>
      <c r="IZ53" s="40"/>
      <c r="JA53" s="40"/>
      <c r="JB53" s="40"/>
      <c r="JC53" s="40"/>
      <c r="JD53" s="40"/>
      <c r="JE53" s="40"/>
      <c r="JF53" s="40"/>
      <c r="JG53" s="40"/>
      <c r="JH53" s="40"/>
      <c r="JI53" s="40"/>
      <c r="JJ53" s="40"/>
      <c r="JK53" s="40"/>
      <c r="JL53" s="40"/>
      <c r="JM53" s="40"/>
      <c r="JN53" s="40"/>
      <c r="JO53" s="40"/>
      <c r="JP53" s="40"/>
      <c r="JQ53" s="40"/>
      <c r="JR53" s="40"/>
      <c r="JS53" s="40"/>
      <c r="JT53" s="40"/>
      <c r="JU53" s="40"/>
      <c r="JV53" s="40"/>
      <c r="JW53" s="40"/>
      <c r="JX53" s="40"/>
      <c r="JY53" s="40"/>
      <c r="JZ53" s="40"/>
      <c r="KA53" s="40"/>
      <c r="KB53" s="40"/>
      <c r="KC53" s="40">
        <v>24</v>
      </c>
      <c r="KD53" s="40"/>
      <c r="KE53" s="40"/>
      <c r="KF53" s="40"/>
      <c r="KG53" s="40"/>
      <c r="KH53" s="40"/>
      <c r="KI53" s="40"/>
      <c r="KJ53" s="40"/>
      <c r="KK53" s="40"/>
      <c r="KL53" s="40"/>
      <c r="KM53" s="40"/>
      <c r="KN53" s="40"/>
      <c r="KO53" s="40"/>
      <c r="KP53" s="2"/>
      <c r="KQ53" s="2"/>
      <c r="KR53" s="40"/>
      <c r="KS53" s="2"/>
      <c r="KT53" s="2"/>
      <c r="KU53" s="2"/>
      <c r="KV53" s="2"/>
      <c r="KW53" s="2"/>
      <c r="KX53" s="2"/>
      <c r="KY53" s="2"/>
      <c r="KZ53" s="89"/>
      <c r="LA53" s="2"/>
      <c r="LB53" s="2"/>
      <c r="LC53" s="2"/>
      <c r="LD53" s="2"/>
      <c r="LE53" s="2"/>
      <c r="LF53" s="2">
        <f t="shared" si="0"/>
        <v>175</v>
      </c>
    </row>
    <row r="54" spans="1:318" hidden="1" x14ac:dyDescent="0.3">
      <c r="B54" s="42">
        <v>45660855</v>
      </c>
      <c r="C54" s="13" t="s">
        <v>47</v>
      </c>
      <c r="D54" s="35" t="s">
        <v>4</v>
      </c>
      <c r="E54" s="3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>
        <v>324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>
        <v>324</v>
      </c>
      <c r="AG54" s="2"/>
      <c r="AH54" s="2"/>
      <c r="AI54" s="2">
        <v>432</v>
      </c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40"/>
      <c r="HT54" s="40"/>
      <c r="HU54" s="40"/>
      <c r="HV54" s="40"/>
      <c r="HW54" s="40"/>
      <c r="HX54" s="40"/>
      <c r="HY54" s="40"/>
      <c r="HZ54" s="40"/>
      <c r="IA54" s="40"/>
      <c r="IB54" s="40"/>
      <c r="IC54" s="40"/>
      <c r="ID54" s="40"/>
      <c r="IE54" s="40"/>
      <c r="IF54" s="40"/>
      <c r="IG54" s="40"/>
      <c r="IH54" s="40"/>
      <c r="II54" s="40"/>
      <c r="IJ54" s="40"/>
      <c r="IK54" s="40"/>
      <c r="IL54" s="40"/>
      <c r="IM54" s="40"/>
      <c r="IN54" s="40"/>
      <c r="IO54" s="40"/>
      <c r="IP54" s="40"/>
      <c r="IQ54" s="40"/>
      <c r="IR54" s="40"/>
      <c r="IS54" s="40"/>
      <c r="IT54" s="40"/>
      <c r="IU54" s="40"/>
      <c r="IV54" s="40"/>
      <c r="IW54" s="40"/>
      <c r="IX54" s="40"/>
      <c r="IY54" s="40"/>
      <c r="IZ54" s="40"/>
      <c r="JA54" s="40"/>
      <c r="JB54" s="40"/>
      <c r="JC54" s="40"/>
      <c r="JD54" s="40"/>
      <c r="JE54" s="40"/>
      <c r="JF54" s="40"/>
      <c r="JG54" s="40"/>
      <c r="JH54" s="40"/>
      <c r="JI54" s="40"/>
      <c r="JJ54" s="40"/>
      <c r="JK54" s="40"/>
      <c r="JL54" s="40"/>
      <c r="JM54" s="40"/>
      <c r="JN54" s="40"/>
      <c r="JO54" s="40"/>
      <c r="JP54" s="40"/>
      <c r="JQ54" s="40"/>
      <c r="JR54" s="40"/>
      <c r="JS54" s="40"/>
      <c r="JT54" s="40"/>
      <c r="JU54" s="40"/>
      <c r="JV54" s="40"/>
      <c r="JW54" s="40"/>
      <c r="JX54" s="40"/>
      <c r="JY54" s="40"/>
      <c r="JZ54" s="40"/>
      <c r="KA54" s="40"/>
      <c r="KB54" s="40"/>
      <c r="KC54" s="40"/>
      <c r="KD54" s="40"/>
      <c r="KE54" s="40"/>
      <c r="KF54" s="40"/>
      <c r="KG54" s="40"/>
      <c r="KH54" s="40"/>
      <c r="KI54" s="40"/>
      <c r="KJ54" s="40"/>
      <c r="KK54" s="40"/>
      <c r="KL54" s="40"/>
      <c r="KM54" s="40"/>
      <c r="KN54" s="40"/>
      <c r="KO54" s="40"/>
      <c r="KP54" s="2"/>
      <c r="KQ54" s="2"/>
      <c r="KR54" s="40"/>
      <c r="KS54" s="2"/>
      <c r="KT54" s="2"/>
      <c r="KU54" s="2"/>
      <c r="KV54" s="2"/>
      <c r="KW54" s="2"/>
      <c r="KX54" s="2"/>
      <c r="KY54" s="2"/>
      <c r="KZ54" s="89"/>
      <c r="LA54" s="2"/>
      <c r="LB54" s="2"/>
      <c r="LC54" s="2"/>
      <c r="LD54" s="2"/>
      <c r="LE54" s="2"/>
      <c r="LF54" s="2">
        <f t="shared" si="0"/>
        <v>1080</v>
      </c>
    </row>
    <row r="55" spans="1:318" s="4" customFormat="1" hidden="1" x14ac:dyDescent="0.3">
      <c r="A55" s="11"/>
      <c r="B55" s="42">
        <v>45684809</v>
      </c>
      <c r="C55" s="13" t="s">
        <v>49</v>
      </c>
      <c r="D55" s="35">
        <v>209</v>
      </c>
      <c r="E55" s="3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>
        <v>32</v>
      </c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>
        <v>32</v>
      </c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>
        <v>48</v>
      </c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40"/>
      <c r="HT55" s="40"/>
      <c r="HU55" s="40"/>
      <c r="HV55" s="40"/>
      <c r="HW55" s="40"/>
      <c r="HX55" s="40"/>
      <c r="HY55" s="40"/>
      <c r="HZ55" s="40"/>
      <c r="IA55" s="40"/>
      <c r="IB55" s="40"/>
      <c r="IC55" s="40"/>
      <c r="ID55" s="40"/>
      <c r="IE55" s="40"/>
      <c r="IF55" s="40"/>
      <c r="IG55" s="40"/>
      <c r="IH55" s="40"/>
      <c r="II55" s="40"/>
      <c r="IJ55" s="40"/>
      <c r="IK55" s="40"/>
      <c r="IL55" s="40"/>
      <c r="IM55" s="40"/>
      <c r="IN55" s="40"/>
      <c r="IO55" s="40"/>
      <c r="IP55" s="40"/>
      <c r="IQ55" s="40"/>
      <c r="IR55" s="40"/>
      <c r="IS55" s="40"/>
      <c r="IT55" s="40"/>
      <c r="IU55" s="40"/>
      <c r="IV55" s="40"/>
      <c r="IW55" s="40"/>
      <c r="IX55" s="40"/>
      <c r="IY55" s="40"/>
      <c r="IZ55" s="40"/>
      <c r="JA55" s="40"/>
      <c r="JB55" s="40"/>
      <c r="JC55" s="40"/>
      <c r="JD55" s="40"/>
      <c r="JE55" s="40"/>
      <c r="JF55" s="40"/>
      <c r="JG55" s="40"/>
      <c r="JH55" s="40"/>
      <c r="JI55" s="40"/>
      <c r="JJ55" s="40"/>
      <c r="JK55" s="40"/>
      <c r="JL55" s="40"/>
      <c r="JM55" s="40"/>
      <c r="JN55" s="40"/>
      <c r="JO55" s="40"/>
      <c r="JP55" s="40"/>
      <c r="JQ55" s="40"/>
      <c r="JR55" s="40"/>
      <c r="JS55" s="40"/>
      <c r="JT55" s="40"/>
      <c r="JU55" s="40"/>
      <c r="JV55" s="40"/>
      <c r="JW55" s="40"/>
      <c r="JX55" s="40"/>
      <c r="JY55" s="40"/>
      <c r="JZ55" s="40"/>
      <c r="KA55" s="40"/>
      <c r="KB55" s="40"/>
      <c r="KC55" s="40">
        <v>32</v>
      </c>
      <c r="KD55" s="40"/>
      <c r="KE55" s="40"/>
      <c r="KF55" s="40"/>
      <c r="KG55" s="40"/>
      <c r="KH55" s="40"/>
      <c r="KI55" s="40"/>
      <c r="KJ55" s="40"/>
      <c r="KK55" s="40"/>
      <c r="KL55" s="40"/>
      <c r="KM55" s="40"/>
      <c r="KN55" s="40"/>
      <c r="KO55" s="40"/>
      <c r="KP55" s="2"/>
      <c r="KQ55" s="2"/>
      <c r="KR55" s="40"/>
      <c r="KS55" s="2"/>
      <c r="KT55" s="2"/>
      <c r="KU55" s="2"/>
      <c r="KV55" s="2"/>
      <c r="KW55" s="2"/>
      <c r="KX55" s="2"/>
      <c r="KY55" s="2"/>
      <c r="KZ55" s="89"/>
      <c r="LA55" s="2"/>
      <c r="LB55" s="2"/>
      <c r="LC55" s="2"/>
      <c r="LD55" s="2"/>
      <c r="LE55" s="2"/>
      <c r="LF55" s="2">
        <f t="shared" si="0"/>
        <v>144</v>
      </c>
    </row>
    <row r="56" spans="1:318" s="11" customFormat="1" hidden="1" x14ac:dyDescent="0.3">
      <c r="B56" s="42">
        <v>550047184</v>
      </c>
      <c r="C56" s="13" t="s">
        <v>1034</v>
      </c>
      <c r="D56" s="35" t="s">
        <v>905</v>
      </c>
      <c r="E56" s="3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40"/>
      <c r="HT56" s="40"/>
      <c r="HU56" s="40"/>
      <c r="HV56" s="40"/>
      <c r="HW56" s="40"/>
      <c r="HX56" s="40"/>
      <c r="HY56" s="40"/>
      <c r="HZ56" s="40"/>
      <c r="IA56" s="40"/>
      <c r="IB56" s="40"/>
      <c r="IC56" s="40"/>
      <c r="ID56" s="40"/>
      <c r="IE56" s="40"/>
      <c r="IF56" s="40"/>
      <c r="IG56" s="40"/>
      <c r="IH56" s="40"/>
      <c r="II56" s="40"/>
      <c r="IJ56" s="40"/>
      <c r="IK56" s="40"/>
      <c r="IL56" s="40"/>
      <c r="IM56" s="40"/>
      <c r="IN56" s="40"/>
      <c r="IO56" s="40"/>
      <c r="IP56" s="40"/>
      <c r="IQ56" s="40"/>
      <c r="IR56" s="40"/>
      <c r="IS56" s="40"/>
      <c r="IT56" s="40"/>
      <c r="IU56" s="40"/>
      <c r="IV56" s="40"/>
      <c r="IW56" s="40"/>
      <c r="IX56" s="40"/>
      <c r="IY56" s="40"/>
      <c r="IZ56" s="40"/>
      <c r="JA56" s="40"/>
      <c r="JB56" s="40"/>
      <c r="JC56" s="40"/>
      <c r="JD56" s="40"/>
      <c r="JE56" s="40"/>
      <c r="JF56" s="40"/>
      <c r="JG56" s="40"/>
      <c r="JH56" s="40"/>
      <c r="JI56" s="40"/>
      <c r="JJ56" s="40"/>
      <c r="JK56" s="40"/>
      <c r="JL56" s="40"/>
      <c r="JM56" s="40"/>
      <c r="JN56" s="40"/>
      <c r="JO56" s="40"/>
      <c r="JP56" s="40"/>
      <c r="JQ56" s="40"/>
      <c r="JR56" s="40"/>
      <c r="JS56" s="40"/>
      <c r="JT56" s="40"/>
      <c r="JU56" s="40"/>
      <c r="JV56" s="40"/>
      <c r="JW56" s="40"/>
      <c r="JX56" s="40"/>
      <c r="JY56" s="40"/>
      <c r="JZ56" s="40"/>
      <c r="KA56" s="40"/>
      <c r="KB56" s="40"/>
      <c r="KC56" s="40">
        <v>32</v>
      </c>
      <c r="KD56" s="40"/>
      <c r="KE56" s="40"/>
      <c r="KF56" s="40"/>
      <c r="KG56" s="40"/>
      <c r="KH56" s="40"/>
      <c r="KI56" s="40"/>
      <c r="KJ56" s="40"/>
      <c r="KK56" s="40"/>
      <c r="KL56" s="40"/>
      <c r="KM56" s="40"/>
      <c r="KN56" s="40"/>
      <c r="KO56" s="40"/>
      <c r="KP56" s="2"/>
      <c r="KQ56" s="2"/>
      <c r="KR56" s="40"/>
      <c r="KS56" s="2"/>
      <c r="KT56" s="2"/>
      <c r="KU56" s="2"/>
      <c r="KV56" s="2"/>
      <c r="KW56" s="2"/>
      <c r="KX56" s="2"/>
      <c r="KY56" s="2"/>
      <c r="KZ56" s="89"/>
      <c r="LA56" s="2"/>
      <c r="LB56" s="2"/>
      <c r="LC56" s="2"/>
      <c r="LD56" s="2"/>
      <c r="LE56" s="2"/>
      <c r="LF56" s="2">
        <f t="shared" si="0"/>
        <v>32</v>
      </c>
    </row>
    <row r="57" spans="1:318" s="11" customFormat="1" hidden="1" x14ac:dyDescent="0.3">
      <c r="B57" s="42">
        <v>45685855</v>
      </c>
      <c r="C57" s="13" t="s">
        <v>51</v>
      </c>
      <c r="D57" s="35" t="s">
        <v>4</v>
      </c>
      <c r="E57" s="3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>
        <v>360</v>
      </c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40"/>
      <c r="HT57" s="40"/>
      <c r="HU57" s="40"/>
      <c r="HV57" s="40"/>
      <c r="HW57" s="40"/>
      <c r="HX57" s="40"/>
      <c r="HY57" s="40"/>
      <c r="HZ57" s="40"/>
      <c r="IA57" s="40"/>
      <c r="IB57" s="40"/>
      <c r="IC57" s="40"/>
      <c r="ID57" s="40"/>
      <c r="IE57" s="40"/>
      <c r="IF57" s="40"/>
      <c r="IG57" s="40"/>
      <c r="IH57" s="40"/>
      <c r="II57" s="40"/>
      <c r="IJ57" s="40"/>
      <c r="IK57" s="40"/>
      <c r="IL57" s="40"/>
      <c r="IM57" s="40"/>
      <c r="IN57" s="40"/>
      <c r="IO57" s="40"/>
      <c r="IP57" s="40"/>
      <c r="IQ57" s="40"/>
      <c r="IR57" s="40"/>
      <c r="IS57" s="40"/>
      <c r="IT57" s="40"/>
      <c r="IU57" s="40"/>
      <c r="IV57" s="40"/>
      <c r="IW57" s="40"/>
      <c r="IX57" s="40"/>
      <c r="IY57" s="40"/>
      <c r="IZ57" s="40"/>
      <c r="JA57" s="40"/>
      <c r="JB57" s="40"/>
      <c r="JC57" s="40"/>
      <c r="JD57" s="40"/>
      <c r="JE57" s="40"/>
      <c r="JF57" s="40"/>
      <c r="JG57" s="40"/>
      <c r="JH57" s="40"/>
      <c r="JI57" s="40"/>
      <c r="JJ57" s="40"/>
      <c r="JK57" s="40"/>
      <c r="JL57" s="40"/>
      <c r="JM57" s="40"/>
      <c r="JN57" s="40"/>
      <c r="JO57" s="40"/>
      <c r="JP57" s="40"/>
      <c r="JQ57" s="40"/>
      <c r="JR57" s="40"/>
      <c r="JS57" s="40"/>
      <c r="JT57" s="40"/>
      <c r="JU57" s="40"/>
      <c r="JV57" s="40"/>
      <c r="JW57" s="40"/>
      <c r="JX57" s="40"/>
      <c r="JY57" s="40"/>
      <c r="JZ57" s="40"/>
      <c r="KA57" s="40"/>
      <c r="KB57" s="40"/>
      <c r="KC57" s="40"/>
      <c r="KD57" s="40"/>
      <c r="KE57" s="40"/>
      <c r="KF57" s="40"/>
      <c r="KG57" s="40"/>
      <c r="KH57" s="40"/>
      <c r="KI57" s="40"/>
      <c r="KJ57" s="40"/>
      <c r="KK57" s="40"/>
      <c r="KL57" s="40"/>
      <c r="KM57" s="40"/>
      <c r="KN57" s="40"/>
      <c r="KO57" s="40"/>
      <c r="KP57" s="2"/>
      <c r="KQ57" s="2"/>
      <c r="KR57" s="40"/>
      <c r="KS57" s="2"/>
      <c r="KT57" s="2"/>
      <c r="KU57" s="2"/>
      <c r="KV57" s="2"/>
      <c r="KW57" s="2"/>
      <c r="KX57" s="2"/>
      <c r="KY57" s="2"/>
      <c r="KZ57" s="89"/>
      <c r="LA57" s="2"/>
      <c r="LB57" s="2"/>
      <c r="LC57" s="2"/>
      <c r="LD57" s="2"/>
      <c r="LE57" s="2"/>
      <c r="LF57" s="2">
        <f t="shared" si="0"/>
        <v>360</v>
      </c>
    </row>
    <row r="58" spans="1:318" s="11" customFormat="1" hidden="1" x14ac:dyDescent="0.3">
      <c r="B58" s="42">
        <v>550025692</v>
      </c>
      <c r="C58" s="13" t="s">
        <v>125</v>
      </c>
      <c r="D58" s="35" t="s">
        <v>5</v>
      </c>
      <c r="E58" s="3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>
        <f>840+588</f>
        <v>1428</v>
      </c>
      <c r="DM58" s="2"/>
      <c r="DN58" s="2">
        <v>280</v>
      </c>
      <c r="DO58" s="2"/>
      <c r="DP58" s="2">
        <v>336</v>
      </c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40"/>
      <c r="HT58" s="40"/>
      <c r="HU58" s="40"/>
      <c r="HV58" s="40"/>
      <c r="HW58" s="40"/>
      <c r="HX58" s="40"/>
      <c r="HY58" s="40"/>
      <c r="HZ58" s="40"/>
      <c r="IA58" s="40"/>
      <c r="IB58" s="40"/>
      <c r="IC58" s="40"/>
      <c r="ID58" s="40"/>
      <c r="IE58" s="40"/>
      <c r="IF58" s="40"/>
      <c r="IG58" s="40"/>
      <c r="IH58" s="40"/>
      <c r="II58" s="40"/>
      <c r="IJ58" s="40"/>
      <c r="IK58" s="40"/>
      <c r="IL58" s="40"/>
      <c r="IM58" s="40"/>
      <c r="IN58" s="40"/>
      <c r="IO58" s="40"/>
      <c r="IP58" s="40"/>
      <c r="IQ58" s="40"/>
      <c r="IR58" s="40"/>
      <c r="IS58" s="40"/>
      <c r="IT58" s="40"/>
      <c r="IU58" s="40"/>
      <c r="IV58" s="40"/>
      <c r="IW58" s="40"/>
      <c r="IX58" s="40"/>
      <c r="IY58" s="40"/>
      <c r="IZ58" s="40"/>
      <c r="JA58" s="40"/>
      <c r="JB58" s="40"/>
      <c r="JC58" s="40"/>
      <c r="JD58" s="40"/>
      <c r="JE58" s="40"/>
      <c r="JF58" s="40"/>
      <c r="JG58" s="40"/>
      <c r="JH58" s="40"/>
      <c r="JI58" s="40"/>
      <c r="JJ58" s="40"/>
      <c r="JK58" s="40"/>
      <c r="JL58" s="40"/>
      <c r="JM58" s="40"/>
      <c r="JN58" s="40"/>
      <c r="JO58" s="40"/>
      <c r="JP58" s="40"/>
      <c r="JQ58" s="40"/>
      <c r="JR58" s="40"/>
      <c r="JS58" s="40"/>
      <c r="JT58" s="40"/>
      <c r="JU58" s="40"/>
      <c r="JV58" s="40"/>
      <c r="JW58" s="40"/>
      <c r="JX58" s="40"/>
      <c r="JY58" s="40"/>
      <c r="JZ58" s="40"/>
      <c r="KA58" s="40"/>
      <c r="KB58" s="40"/>
      <c r="KC58" s="40"/>
      <c r="KD58" s="40"/>
      <c r="KE58" s="40"/>
      <c r="KF58" s="40"/>
      <c r="KG58" s="40"/>
      <c r="KH58" s="40"/>
      <c r="KI58" s="40"/>
      <c r="KJ58" s="40"/>
      <c r="KK58" s="40"/>
      <c r="KL58" s="40"/>
      <c r="KM58" s="40"/>
      <c r="KN58" s="40"/>
      <c r="KO58" s="40"/>
      <c r="KP58" s="2"/>
      <c r="KQ58" s="2"/>
      <c r="KR58" s="40"/>
      <c r="KS58" s="2"/>
      <c r="KT58" s="2"/>
      <c r="KU58" s="2"/>
      <c r="KV58" s="2"/>
      <c r="KW58" s="2"/>
      <c r="KX58" s="2"/>
      <c r="KY58" s="2"/>
      <c r="KZ58" s="89"/>
      <c r="LA58" s="2"/>
      <c r="LB58" s="2"/>
      <c r="LC58" s="2"/>
      <c r="LD58" s="2"/>
      <c r="LE58" s="2"/>
      <c r="LF58" s="2">
        <f t="shared" si="0"/>
        <v>2044</v>
      </c>
    </row>
    <row r="59" spans="1:318" hidden="1" x14ac:dyDescent="0.3">
      <c r="B59" s="42">
        <v>550026834</v>
      </c>
      <c r="C59" s="13" t="s">
        <v>127</v>
      </c>
      <c r="D59" s="35" t="s">
        <v>18</v>
      </c>
      <c r="E59" s="3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>
        <v>48</v>
      </c>
      <c r="CA59" s="2"/>
      <c r="CB59" s="2"/>
      <c r="CC59" s="2"/>
      <c r="CD59" s="2"/>
      <c r="CE59" s="2"/>
      <c r="CF59" s="2">
        <v>36</v>
      </c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>
        <v>16</v>
      </c>
      <c r="DO59" s="2"/>
      <c r="DP59" s="2">
        <v>16</v>
      </c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>
        <v>96</v>
      </c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40"/>
      <c r="IQ59" s="40"/>
      <c r="IR59" s="40"/>
      <c r="IS59" s="40"/>
      <c r="IT59" s="40"/>
      <c r="IU59" s="40"/>
      <c r="IV59" s="40"/>
      <c r="IW59" s="40"/>
      <c r="IX59" s="40"/>
      <c r="IY59" s="40"/>
      <c r="IZ59" s="40"/>
      <c r="JA59" s="40"/>
      <c r="JB59" s="40"/>
      <c r="JC59" s="40"/>
      <c r="JD59" s="40"/>
      <c r="JE59" s="40"/>
      <c r="JF59" s="40"/>
      <c r="JG59" s="40"/>
      <c r="JH59" s="40"/>
      <c r="JI59" s="40"/>
      <c r="JJ59" s="40"/>
      <c r="JK59" s="40"/>
      <c r="JL59" s="40"/>
      <c r="JM59" s="40"/>
      <c r="JN59" s="40"/>
      <c r="JO59" s="40"/>
      <c r="JP59" s="40"/>
      <c r="JQ59" s="40"/>
      <c r="JR59" s="2"/>
      <c r="JS59" s="2"/>
      <c r="JT59" s="40"/>
      <c r="JU59" s="40"/>
      <c r="JV59" s="40"/>
      <c r="JW59" s="40"/>
      <c r="JX59" s="40"/>
      <c r="JY59" s="40"/>
      <c r="JZ59" s="40"/>
      <c r="KA59" s="40"/>
      <c r="KB59" s="40"/>
      <c r="KC59" s="40"/>
      <c r="KD59" s="40"/>
      <c r="KE59" s="40"/>
      <c r="KF59" s="40"/>
      <c r="KG59" s="40"/>
      <c r="KH59" s="40"/>
      <c r="KI59" s="40"/>
      <c r="KJ59" s="40"/>
      <c r="KK59" s="40"/>
      <c r="KL59" s="40"/>
      <c r="KM59" s="40"/>
      <c r="KN59" s="40"/>
      <c r="KO59" s="40"/>
      <c r="KP59" s="2"/>
      <c r="KQ59" s="2"/>
      <c r="KR59" s="40"/>
      <c r="KS59" s="2"/>
      <c r="KT59" s="2"/>
      <c r="KU59" s="2"/>
      <c r="KV59" s="2"/>
      <c r="KW59" s="2"/>
      <c r="KX59" s="2"/>
      <c r="KY59" s="2"/>
      <c r="KZ59" s="89"/>
      <c r="LA59" s="2"/>
      <c r="LB59" s="2"/>
      <c r="LC59" s="2"/>
      <c r="LD59" s="2"/>
      <c r="LE59" s="2"/>
      <c r="LF59" s="2">
        <f t="shared" si="0"/>
        <v>212</v>
      </c>
    </row>
    <row r="60" spans="1:318" s="4" customFormat="1" hidden="1" x14ac:dyDescent="0.3">
      <c r="A60" s="11"/>
      <c r="B60" s="42"/>
      <c r="C60" s="13" t="s">
        <v>177</v>
      </c>
      <c r="D60" s="35" t="s">
        <v>5</v>
      </c>
      <c r="E60" s="3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>
        <v>42</v>
      </c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>
        <v>344</v>
      </c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40"/>
      <c r="IQ60" s="40"/>
      <c r="IR60" s="40"/>
      <c r="IS60" s="40"/>
      <c r="IT60" s="40"/>
      <c r="IU60" s="40"/>
      <c r="IV60" s="40"/>
      <c r="IW60" s="40"/>
      <c r="IX60" s="40"/>
      <c r="IY60" s="40"/>
      <c r="IZ60" s="40"/>
      <c r="JA60" s="40"/>
      <c r="JB60" s="40"/>
      <c r="JC60" s="40"/>
      <c r="JD60" s="40"/>
      <c r="JE60" s="40"/>
      <c r="JF60" s="40"/>
      <c r="JG60" s="40"/>
      <c r="JH60" s="40"/>
      <c r="JI60" s="40"/>
      <c r="JJ60" s="40"/>
      <c r="JK60" s="40"/>
      <c r="JL60" s="40"/>
      <c r="JM60" s="40"/>
      <c r="JN60" s="40"/>
      <c r="JO60" s="40"/>
      <c r="JP60" s="40"/>
      <c r="JQ60" s="40"/>
      <c r="JR60" s="40"/>
      <c r="JS60" s="40"/>
      <c r="JT60" s="40"/>
      <c r="JU60" s="40"/>
      <c r="JV60" s="40"/>
      <c r="JW60" s="40"/>
      <c r="JX60" s="40"/>
      <c r="JY60" s="40"/>
      <c r="JZ60" s="40"/>
      <c r="KA60" s="40"/>
      <c r="KB60" s="40"/>
      <c r="KC60" s="40"/>
      <c r="KD60" s="40"/>
      <c r="KE60" s="40"/>
      <c r="KF60" s="40"/>
      <c r="KG60" s="40"/>
      <c r="KH60" s="40"/>
      <c r="KI60" s="40"/>
      <c r="KJ60" s="40"/>
      <c r="KK60" s="40"/>
      <c r="KL60" s="40"/>
      <c r="KM60" s="40"/>
      <c r="KN60" s="40"/>
      <c r="KO60" s="40"/>
      <c r="KP60" s="2"/>
      <c r="KQ60" s="2"/>
      <c r="KR60" s="40"/>
      <c r="KS60" s="2"/>
      <c r="KT60" s="2"/>
      <c r="KU60" s="2"/>
      <c r="KV60" s="2"/>
      <c r="KW60" s="2"/>
      <c r="KX60" s="2"/>
      <c r="KY60" s="2"/>
      <c r="KZ60" s="89"/>
      <c r="LA60" s="2"/>
      <c r="LB60" s="2"/>
      <c r="LC60" s="2"/>
      <c r="LD60" s="2"/>
      <c r="LE60" s="2"/>
      <c r="LF60" s="2">
        <f t="shared" si="0"/>
        <v>386</v>
      </c>
    </row>
    <row r="61" spans="1:318" hidden="1" x14ac:dyDescent="0.3">
      <c r="B61" s="42">
        <v>550025702</v>
      </c>
      <c r="C61" s="20" t="s">
        <v>129</v>
      </c>
      <c r="D61" s="35" t="s">
        <v>4</v>
      </c>
      <c r="E61" s="3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>
        <v>252</v>
      </c>
      <c r="DM61" s="2"/>
      <c r="DN61" s="2">
        <v>280</v>
      </c>
      <c r="DO61" s="2"/>
      <c r="DP61" s="2">
        <v>224</v>
      </c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>
        <v>480</v>
      </c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>
        <v>560</v>
      </c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>
        <v>1</v>
      </c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40"/>
      <c r="IQ61" s="40"/>
      <c r="IR61" s="40"/>
      <c r="IS61" s="40"/>
      <c r="IT61" s="40"/>
      <c r="IU61" s="40"/>
      <c r="IV61" s="40"/>
      <c r="IW61" s="40"/>
      <c r="IX61" s="40"/>
      <c r="IY61" s="40"/>
      <c r="IZ61" s="40"/>
      <c r="JA61" s="40">
        <v>21</v>
      </c>
      <c r="JB61" s="40"/>
      <c r="JC61" s="40"/>
      <c r="JD61" s="40"/>
      <c r="JE61" s="40"/>
      <c r="JF61" s="40"/>
      <c r="JG61" s="40"/>
      <c r="JH61" s="40"/>
      <c r="JI61" s="40"/>
      <c r="JJ61" s="40"/>
      <c r="JK61" s="40"/>
      <c r="JL61" s="40"/>
      <c r="JM61" s="40"/>
      <c r="JN61" s="40"/>
      <c r="JO61" s="40"/>
      <c r="JP61" s="40"/>
      <c r="JQ61" s="40"/>
      <c r="JR61" s="40"/>
      <c r="JS61" s="40"/>
      <c r="JT61" s="40"/>
      <c r="JU61" s="40"/>
      <c r="JV61" s="40"/>
      <c r="JW61" s="40"/>
      <c r="JX61" s="40"/>
      <c r="JY61" s="40"/>
      <c r="JZ61" s="40"/>
      <c r="KA61" s="40"/>
      <c r="KB61" s="40"/>
      <c r="KC61" s="40"/>
      <c r="KD61" s="40"/>
      <c r="KE61" s="40"/>
      <c r="KF61" s="40"/>
      <c r="KG61" s="40"/>
      <c r="KH61" s="40"/>
      <c r="KI61" s="40"/>
      <c r="KJ61" s="40"/>
      <c r="KK61" s="40"/>
      <c r="KL61" s="40"/>
      <c r="KM61" s="40"/>
      <c r="KN61" s="40"/>
      <c r="KO61" s="40"/>
      <c r="KP61" s="2"/>
      <c r="KQ61" s="2"/>
      <c r="KR61" s="40"/>
      <c r="KS61" s="2"/>
      <c r="KT61" s="2"/>
      <c r="KU61" s="2"/>
      <c r="KV61" s="2"/>
      <c r="KW61" s="2"/>
      <c r="KX61" s="2"/>
      <c r="KY61" s="2"/>
      <c r="KZ61" s="89"/>
      <c r="LA61" s="2"/>
      <c r="LB61" s="2"/>
      <c r="LC61" s="2"/>
      <c r="LD61" s="2"/>
      <c r="LE61" s="2"/>
      <c r="LF61" s="2">
        <f t="shared" si="0"/>
        <v>1818</v>
      </c>
    </row>
    <row r="62" spans="1:318" hidden="1" x14ac:dyDescent="0.3">
      <c r="B62" s="42">
        <v>44245855</v>
      </c>
      <c r="C62" s="20" t="s">
        <v>133</v>
      </c>
      <c r="D62" s="35" t="s">
        <v>4</v>
      </c>
      <c r="E62" s="3"/>
      <c r="F62" s="2"/>
      <c r="G62" s="2">
        <v>530</v>
      </c>
      <c r="H62" s="2">
        <f>840+840</f>
        <v>1680</v>
      </c>
      <c r="I62" s="2">
        <f>840+840</f>
        <v>1680</v>
      </c>
      <c r="J62" s="2">
        <v>840</v>
      </c>
      <c r="K62" s="2"/>
      <c r="L62" s="2">
        <f>1296+1296+1296+1296</f>
        <v>5184</v>
      </c>
      <c r="M62" s="2"/>
      <c r="N62" s="2"/>
      <c r="O62" s="2">
        <f>1296+1296+1296</f>
        <v>3888</v>
      </c>
      <c r="P62" s="2">
        <v>1296</v>
      </c>
      <c r="Q62" s="2">
        <v>1296</v>
      </c>
      <c r="R62" s="2">
        <v>864</v>
      </c>
      <c r="S62" s="2">
        <f>1296+1296+1296+1296+1296+1296</f>
        <v>7776</v>
      </c>
      <c r="T62" s="2">
        <f>1296+1296+1296+1296</f>
        <v>5184</v>
      </c>
      <c r="U62" s="2"/>
      <c r="V62" s="2"/>
      <c r="W62" s="2"/>
      <c r="X62" s="2"/>
      <c r="Y62" s="2">
        <v>864</v>
      </c>
      <c r="Z62" s="2">
        <v>864</v>
      </c>
      <c r="AA62" s="2"/>
      <c r="AB62" s="2"/>
      <c r="AC62" s="2"/>
      <c r="AD62" s="2"/>
      <c r="AE62" s="2"/>
      <c r="AF62" s="2">
        <f>1296+1296+1296</f>
        <v>3888</v>
      </c>
      <c r="AG62" s="2">
        <f>1296+1296</f>
        <v>2592</v>
      </c>
      <c r="AH62" s="2"/>
      <c r="AI62" s="2"/>
      <c r="AJ62" s="2"/>
      <c r="AK62" s="2"/>
      <c r="AL62" s="2"/>
      <c r="AM62" s="2"/>
      <c r="AN62" s="2"/>
      <c r="AO62" s="2">
        <v>360</v>
      </c>
      <c r="AP62" s="2">
        <v>864</v>
      </c>
      <c r="AQ62" s="2">
        <f>864+864</f>
        <v>1728</v>
      </c>
      <c r="AR62" s="2">
        <f>864+864+504</f>
        <v>2232</v>
      </c>
      <c r="AS62" s="2">
        <f>864+864</f>
        <v>1728</v>
      </c>
      <c r="AT62" s="2">
        <f>864+864</f>
        <v>1728</v>
      </c>
      <c r="AU62" s="2"/>
      <c r="AV62" s="2">
        <f>1296+1296+1296+1296</f>
        <v>5184</v>
      </c>
      <c r="AW62" s="2">
        <v>1296</v>
      </c>
      <c r="AX62" s="2"/>
      <c r="AY62" s="2"/>
      <c r="AZ62" s="2"/>
      <c r="BA62" s="2"/>
      <c r="BB62" s="2"/>
      <c r="BC62" s="2"/>
      <c r="BD62" s="2">
        <f>1296+1296</f>
        <v>2592</v>
      </c>
      <c r="BE62" s="2">
        <v>1296</v>
      </c>
      <c r="BF62" s="2"/>
      <c r="BG62" s="2">
        <f>1296+1296+1296+1296+1296</f>
        <v>6480</v>
      </c>
      <c r="BH62" s="2"/>
      <c r="BI62" s="2"/>
      <c r="BJ62" s="2"/>
      <c r="BK62" s="2">
        <f>1296+1296</f>
        <v>2592</v>
      </c>
      <c r="BL62" s="2"/>
      <c r="BM62" s="2"/>
      <c r="BN62" s="2">
        <v>108</v>
      </c>
      <c r="BO62" s="2">
        <f>108+540+396</f>
        <v>1044</v>
      </c>
      <c r="BP62" s="2">
        <f>504+504+1</f>
        <v>1009</v>
      </c>
      <c r="BQ62" s="2">
        <v>504</v>
      </c>
      <c r="BR62" s="2"/>
      <c r="BS62" s="2">
        <f>180+180+180+180</f>
        <v>720</v>
      </c>
      <c r="BT62" s="2">
        <v>180</v>
      </c>
      <c r="BU62" s="2">
        <v>72</v>
      </c>
      <c r="BV62" s="2">
        <f>504+396</f>
        <v>900</v>
      </c>
      <c r="BW62" s="2">
        <f>792+792</f>
        <v>1584</v>
      </c>
      <c r="BX62" s="2">
        <f>792+39+792+792</f>
        <v>2415</v>
      </c>
      <c r="BY62" s="2"/>
      <c r="BZ62" s="9">
        <f>24*36</f>
        <v>864</v>
      </c>
      <c r="CA62" s="2"/>
      <c r="CB62" s="2"/>
      <c r="CC62" s="2">
        <f>792+241</f>
        <v>1033</v>
      </c>
      <c r="CD62" s="2">
        <f>648+648+648+648+648+648</f>
        <v>3888</v>
      </c>
      <c r="CE62" s="2">
        <v>828</v>
      </c>
      <c r="CF62" s="2">
        <f>648+648+1296+1296+1296+1296+1296+1296</f>
        <v>9072</v>
      </c>
      <c r="CG62" s="2">
        <f>1296+1296+648+648+1296+1296</f>
        <v>6480</v>
      </c>
      <c r="CH62" s="2">
        <v>648</v>
      </c>
      <c r="CI62" s="2"/>
      <c r="CJ62" s="2"/>
      <c r="CK62" s="2"/>
      <c r="CL62" s="2">
        <v>1296</v>
      </c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>
        <f>1296+1296+1296+1296+1296+1296+1296</f>
        <v>9072</v>
      </c>
      <c r="DA62" s="2"/>
      <c r="DB62" s="2"/>
      <c r="DC62" s="2"/>
      <c r="DD62" s="2"/>
      <c r="DE62" s="2"/>
      <c r="DF62" s="2"/>
      <c r="DG62" s="2">
        <v>1296</v>
      </c>
      <c r="DH62" s="2">
        <f>648+648+648+648+648</f>
        <v>3240</v>
      </c>
      <c r="DI62" s="2">
        <f>1296+1296+648+1296</f>
        <v>4536</v>
      </c>
      <c r="DJ62" s="2">
        <f>576+1296+648+648+648+648</f>
        <v>4464</v>
      </c>
      <c r="DK62" s="2">
        <f>1296+1296+648+648+1296+1296+1296+1296+1296+1296+1296</f>
        <v>12960</v>
      </c>
      <c r="DL62" s="2"/>
      <c r="DM62" s="2">
        <f>1296+1296</f>
        <v>2592</v>
      </c>
      <c r="DN62" s="2">
        <f>648+648+1296</f>
        <v>2592</v>
      </c>
      <c r="DO62" s="2">
        <f>1296+1296+1296+1296+1296+1296+648+648+648</f>
        <v>9720</v>
      </c>
      <c r="DP62" s="9">
        <f>1296+1296+1296+648+648+648</f>
        <v>5832</v>
      </c>
      <c r="DQ62" s="9">
        <f>648+648+648+648</f>
        <v>2592</v>
      </c>
      <c r="DR62" s="9">
        <f>648+648</f>
        <v>1296</v>
      </c>
      <c r="DS62" s="2"/>
      <c r="DT62" s="2"/>
      <c r="DU62" s="2">
        <f>1296+1296+1296</f>
        <v>3888</v>
      </c>
      <c r="DV62" s="2"/>
      <c r="DW62" s="2"/>
      <c r="DX62" s="2"/>
      <c r="DY62" s="2"/>
      <c r="DZ62" s="2"/>
      <c r="EA62" s="2"/>
      <c r="EB62" s="2"/>
      <c r="EC62" s="2">
        <f>1296+1296+648+648+648</f>
        <v>4536</v>
      </c>
      <c r="ED62" s="2">
        <f>1296+1296+648+648+648</f>
        <v>4536</v>
      </c>
      <c r="EE62" s="2"/>
      <c r="EF62" s="2"/>
      <c r="EG62" s="2"/>
      <c r="EH62" s="9">
        <f>576+1296</f>
        <v>1872</v>
      </c>
      <c r="EI62" s="2">
        <f>648+648+1296+1296+1296</f>
        <v>5184</v>
      </c>
      <c r="EJ62" s="2"/>
      <c r="EK62" s="2"/>
      <c r="EL62" s="2"/>
      <c r="EM62" s="2">
        <f>648+648</f>
        <v>1296</v>
      </c>
      <c r="EN62" s="2">
        <f>72+648+648+648+648+648</f>
        <v>3312</v>
      </c>
      <c r="EO62" s="2">
        <f>648+648+648+648+648</f>
        <v>3240</v>
      </c>
      <c r="EP62" s="2">
        <f>648+648+648+1296+1296</f>
        <v>4536</v>
      </c>
      <c r="EQ62" s="2">
        <f>648+1296</f>
        <v>1944</v>
      </c>
      <c r="ER62" s="2"/>
      <c r="ES62" s="2"/>
      <c r="ET62" s="2"/>
      <c r="EU62" s="2">
        <f>648+648+648+648+648+648</f>
        <v>3888</v>
      </c>
      <c r="EV62" s="2">
        <f>648+648</f>
        <v>1296</v>
      </c>
      <c r="EW62" s="9">
        <f>648+648+648+648</f>
        <v>2592</v>
      </c>
      <c r="EX62" s="2">
        <f>648+648+1296+1296+1296+1296+1296</f>
        <v>7776</v>
      </c>
      <c r="EY62" s="2">
        <v>648</v>
      </c>
      <c r="EZ62" s="2"/>
      <c r="FA62" s="2"/>
      <c r="FB62" s="2">
        <f>648+648+648+1296</f>
        <v>3240</v>
      </c>
      <c r="FC62" s="2">
        <f>648+648+648+1296</f>
        <v>3240</v>
      </c>
      <c r="FD62" s="2">
        <f>648+1296+1296+1296+1296+1296</f>
        <v>7128</v>
      </c>
      <c r="FE62" s="2"/>
      <c r="FF62" s="2"/>
      <c r="FG62" s="2"/>
      <c r="FH62" s="2"/>
      <c r="FI62" s="2">
        <f>648+648+648+648+1296+1296</f>
        <v>5184</v>
      </c>
      <c r="FJ62" s="2"/>
      <c r="FK62" s="2"/>
      <c r="FL62" s="2"/>
      <c r="FM62" s="2"/>
      <c r="FN62" s="2"/>
      <c r="FO62" s="2"/>
      <c r="FP62" s="2">
        <f>648+648+648+1296</f>
        <v>3240</v>
      </c>
      <c r="FQ62" s="2">
        <f>648+1296</f>
        <v>1944</v>
      </c>
      <c r="FR62" s="2"/>
      <c r="FS62" s="2"/>
      <c r="FT62" s="2"/>
      <c r="FU62" s="2">
        <f>1296+648+648+648+648</f>
        <v>3888</v>
      </c>
      <c r="FV62" s="2">
        <f>648+648+648+648+1296</f>
        <v>3888</v>
      </c>
      <c r="FW62" s="2">
        <v>2</v>
      </c>
      <c r="FX62" s="2"/>
      <c r="FY62" s="2"/>
      <c r="FZ62" s="2"/>
      <c r="GA62" s="2"/>
      <c r="GB62" s="2">
        <f>1296+648</f>
        <v>1944</v>
      </c>
      <c r="GC62" s="2"/>
      <c r="GD62" s="2"/>
      <c r="GE62" s="2"/>
      <c r="GF62" s="2">
        <f>1296</f>
        <v>1296</v>
      </c>
      <c r="GG62" s="2"/>
      <c r="GH62" s="2">
        <f>1296+1296+1296+1296+1296+1296+648</f>
        <v>8424</v>
      </c>
      <c r="GI62" s="2">
        <f>1296+1296+1296+1296</f>
        <v>5184</v>
      </c>
      <c r="GJ62" s="2"/>
      <c r="GK62" s="2">
        <f>1296</f>
        <v>1296</v>
      </c>
      <c r="GL62" s="2"/>
      <c r="GM62" s="2"/>
      <c r="GN62" s="2"/>
      <c r="GO62" s="2"/>
      <c r="GP62" s="2"/>
      <c r="GQ62" s="2">
        <f>648+648+648</f>
        <v>1944</v>
      </c>
      <c r="GR62" s="2">
        <f>648</f>
        <v>648</v>
      </c>
      <c r="GS62" s="2">
        <f>648+648</f>
        <v>1296</v>
      </c>
      <c r="GT62" s="2">
        <f>1296+648</f>
        <v>1944</v>
      </c>
      <c r="GU62" s="2"/>
      <c r="GV62" s="2">
        <f>1296+1296+1296+648+648+648+648+648+648</f>
        <v>7776</v>
      </c>
      <c r="GW62" s="2">
        <f>648+648+648+648</f>
        <v>2592</v>
      </c>
      <c r="GX62" s="2"/>
      <c r="GY62" s="2"/>
      <c r="GZ62" s="2"/>
      <c r="HA62" s="2">
        <v>1296</v>
      </c>
      <c r="HB62" s="2">
        <f>648+648+648</f>
        <v>1944</v>
      </c>
      <c r="HC62" s="2"/>
      <c r="HD62" s="2">
        <f>648+648+648+648</f>
        <v>2592</v>
      </c>
      <c r="HE62" s="2">
        <v>1296</v>
      </c>
      <c r="HF62" s="2"/>
      <c r="HG62" s="2"/>
      <c r="HH62" s="2">
        <f>1296+648</f>
        <v>1944</v>
      </c>
      <c r="HI62" s="2">
        <f>1296+648+648+648+648+648</f>
        <v>4536</v>
      </c>
      <c r="HJ62" s="2">
        <f>1296+648</f>
        <v>1944</v>
      </c>
      <c r="HK62" s="2"/>
      <c r="HL62" s="2">
        <f>1296+1296+1296+1296+1296+1296+648</f>
        <v>8424</v>
      </c>
      <c r="HM62" s="2">
        <f>1296+648+648+648+648+648</f>
        <v>4536</v>
      </c>
      <c r="HN62" s="2"/>
      <c r="HO62" s="2">
        <f>648+648+648+1296+1296+1296+1296</f>
        <v>7128</v>
      </c>
      <c r="HP62" s="2">
        <f>648+648+1296+648+648+648+1296</f>
        <v>5832</v>
      </c>
      <c r="HQ62" s="2">
        <f>648+648+648+1296*11</f>
        <v>16200</v>
      </c>
      <c r="HR62" s="2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>
        <f>1296*4</f>
        <v>5184</v>
      </c>
      <c r="IF62" s="40">
        <v>1296</v>
      </c>
      <c r="IG62" s="40">
        <f>1296*6</f>
        <v>7776</v>
      </c>
      <c r="IH62" s="40"/>
      <c r="II62" s="40"/>
      <c r="IJ62" s="40"/>
      <c r="IK62" s="40"/>
      <c r="IL62" s="40"/>
      <c r="IM62" s="40">
        <f>648*4</f>
        <v>2592</v>
      </c>
      <c r="IN62" s="40"/>
      <c r="IO62" s="40"/>
      <c r="IP62" s="40">
        <f>648*3+1296*2+648</f>
        <v>5184</v>
      </c>
      <c r="IQ62" s="40"/>
      <c r="IR62" s="40"/>
      <c r="IS62" s="40"/>
      <c r="IT62" s="40"/>
      <c r="IU62" s="40"/>
      <c r="IV62" s="40"/>
      <c r="IW62" s="40">
        <v>648</v>
      </c>
      <c r="IX62" s="40">
        <v>648</v>
      </c>
      <c r="IY62" s="40">
        <v>1296</v>
      </c>
      <c r="IZ62" s="40">
        <f>648*2</f>
        <v>1296</v>
      </c>
      <c r="JA62" s="40">
        <v>6480</v>
      </c>
      <c r="JB62" s="40"/>
      <c r="JC62" s="40"/>
      <c r="JD62" s="40">
        <f>1296*2</f>
        <v>2592</v>
      </c>
      <c r="JE62" s="40"/>
      <c r="JF62" s="40"/>
      <c r="JG62" s="40"/>
      <c r="JH62" s="40"/>
      <c r="JI62" s="40"/>
      <c r="JJ62" s="40"/>
      <c r="JK62" s="40"/>
      <c r="JL62" s="40"/>
      <c r="JM62" s="40"/>
      <c r="JN62" s="40"/>
      <c r="JO62" s="40"/>
      <c r="JP62" s="40"/>
      <c r="JQ62" s="40"/>
      <c r="JR62" s="40">
        <f>792*2</f>
        <v>1584</v>
      </c>
      <c r="JS62" s="40">
        <f>792*2</f>
        <v>1584</v>
      </c>
      <c r="JT62" s="40"/>
      <c r="JU62" s="40"/>
      <c r="JV62" s="40"/>
      <c r="JW62" s="40"/>
      <c r="JX62" s="40"/>
      <c r="JY62" s="40"/>
      <c r="JZ62" s="40"/>
      <c r="KA62" s="40"/>
      <c r="KB62" s="40"/>
      <c r="KC62" s="40"/>
      <c r="KD62" s="40"/>
      <c r="KE62" s="40">
        <f>792*2</f>
        <v>1584</v>
      </c>
      <c r="KF62" s="40"/>
      <c r="KG62" s="40"/>
      <c r="KH62" s="40">
        <v>792</v>
      </c>
      <c r="KI62" s="40"/>
      <c r="KJ62" s="40"/>
      <c r="KK62" s="40"/>
      <c r="KL62" s="40"/>
      <c r="KM62" s="40"/>
      <c r="KN62" s="40"/>
      <c r="KO62" s="40">
        <v>278</v>
      </c>
      <c r="KP62" s="2"/>
      <c r="KQ62" s="12">
        <f>648+648+1</f>
        <v>1297</v>
      </c>
      <c r="KR62" s="40">
        <f>1296+648*3</f>
        <v>3240</v>
      </c>
      <c r="KS62" s="2">
        <f>1296+1296+648</f>
        <v>3240</v>
      </c>
      <c r="KT62" s="2">
        <f>1296+648</f>
        <v>1944</v>
      </c>
      <c r="KU62" s="2"/>
      <c r="KV62" s="2"/>
      <c r="KW62" s="2"/>
      <c r="KX62" s="2"/>
      <c r="KY62" s="2"/>
      <c r="KZ62" s="89"/>
      <c r="LA62" s="2"/>
      <c r="LB62" s="2"/>
      <c r="LC62" s="2"/>
      <c r="LD62" s="2"/>
      <c r="LE62" s="2"/>
      <c r="LF62" s="2">
        <f>SUM(E62:LE62)</f>
        <v>384192</v>
      </c>
    </row>
    <row r="63" spans="1:318" s="11" customFormat="1" x14ac:dyDescent="0.3">
      <c r="B63" s="42">
        <v>550044601</v>
      </c>
      <c r="C63" s="20" t="s">
        <v>996</v>
      </c>
      <c r="D63" s="35">
        <v>209</v>
      </c>
      <c r="E63" s="3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9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9"/>
      <c r="DQ63" s="9"/>
      <c r="DR63" s="9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9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9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40"/>
      <c r="IQ63" s="40"/>
      <c r="IR63" s="40"/>
      <c r="IS63" s="40"/>
      <c r="IT63" s="40"/>
      <c r="IU63" s="40"/>
      <c r="IV63" s="40"/>
      <c r="IW63" s="40"/>
      <c r="IX63" s="40"/>
      <c r="IY63" s="40"/>
      <c r="IZ63" s="40"/>
      <c r="JA63" s="40"/>
      <c r="JB63" s="40"/>
      <c r="JC63" s="40"/>
      <c r="JD63" s="40"/>
      <c r="JE63" s="40"/>
      <c r="JF63" s="40"/>
      <c r="JG63" s="40"/>
      <c r="JH63" s="40"/>
      <c r="JI63" s="40"/>
      <c r="JJ63" s="40"/>
      <c r="JK63" s="40"/>
      <c r="JL63" s="40"/>
      <c r="JM63" s="40"/>
      <c r="JN63" s="40"/>
      <c r="JO63" s="40">
        <v>96</v>
      </c>
      <c r="JP63" s="40"/>
      <c r="JQ63" s="40"/>
      <c r="JR63" s="40"/>
      <c r="JS63" s="40"/>
      <c r="JT63" s="40"/>
      <c r="JU63" s="40"/>
      <c r="JV63" s="40"/>
      <c r="JW63" s="40"/>
      <c r="JX63" s="40"/>
      <c r="JY63" s="40"/>
      <c r="JZ63" s="40"/>
      <c r="KA63" s="40"/>
      <c r="KB63" s="40">
        <v>92</v>
      </c>
      <c r="KC63" s="40"/>
      <c r="KD63" s="40"/>
      <c r="KE63" s="40"/>
      <c r="KF63" s="40"/>
      <c r="KG63" s="40">
        <f>5*94+20</f>
        <v>490</v>
      </c>
      <c r="KH63" s="40"/>
      <c r="KI63" s="40"/>
      <c r="KJ63" s="40">
        <f>3*94</f>
        <v>282</v>
      </c>
      <c r="KK63" s="87">
        <v>24</v>
      </c>
      <c r="KL63" s="40">
        <f>94*5</f>
        <v>470</v>
      </c>
      <c r="KM63" s="40">
        <v>94</v>
      </c>
      <c r="KN63" s="40"/>
      <c r="KO63" s="40"/>
      <c r="KP63" s="2"/>
      <c r="KQ63" s="2"/>
      <c r="KR63" s="40"/>
      <c r="KS63" s="2"/>
      <c r="KT63" s="2"/>
      <c r="KU63" s="2"/>
      <c r="KV63" s="2"/>
      <c r="KW63" s="2"/>
      <c r="KX63" s="2"/>
      <c r="KY63" s="2"/>
      <c r="KZ63" s="89"/>
      <c r="LA63" s="2"/>
      <c r="LB63" s="2"/>
      <c r="LC63" s="2"/>
      <c r="LD63" s="2"/>
      <c r="LE63" s="2"/>
      <c r="LF63" s="2">
        <f t="shared" si="0"/>
        <v>1548</v>
      </c>
    </row>
    <row r="64" spans="1:318" s="11" customFormat="1" x14ac:dyDescent="0.3">
      <c r="B64" s="42">
        <v>44245809</v>
      </c>
      <c r="C64" s="13" t="s">
        <v>131</v>
      </c>
      <c r="D64" s="35">
        <v>209</v>
      </c>
      <c r="E64" s="3"/>
      <c r="F64" s="2"/>
      <c r="G64" s="2"/>
      <c r="H64" s="2"/>
      <c r="I64" s="2"/>
      <c r="J64" s="2"/>
      <c r="K64" s="2"/>
      <c r="L64" s="2">
        <v>128</v>
      </c>
      <c r="M64" s="2">
        <v>128</v>
      </c>
      <c r="N64" s="2"/>
      <c r="O64" s="2"/>
      <c r="P64" s="2"/>
      <c r="Q64" s="2">
        <v>128</v>
      </c>
      <c r="R64" s="2"/>
      <c r="S64" s="2"/>
      <c r="T64" s="2">
        <v>128</v>
      </c>
      <c r="U64" s="2">
        <f>128+128</f>
        <v>256</v>
      </c>
      <c r="V64" s="2">
        <f>128+128</f>
        <v>256</v>
      </c>
      <c r="W64" s="2"/>
      <c r="X64" s="2"/>
      <c r="Y64" s="2"/>
      <c r="Z64" s="2"/>
      <c r="AA64" s="2"/>
      <c r="AB64" s="2"/>
      <c r="AC64" s="2"/>
      <c r="AD64" s="2"/>
      <c r="AE64" s="2"/>
      <c r="AF64" s="2">
        <f>128+128+128</f>
        <v>384</v>
      </c>
      <c r="AG64" s="2">
        <f>128+128+128+128</f>
        <v>512</v>
      </c>
      <c r="AH64" s="2"/>
      <c r="AI64" s="2"/>
      <c r="AJ64" s="2">
        <v>128</v>
      </c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>
        <f>128+128</f>
        <v>256</v>
      </c>
      <c r="AW64" s="2">
        <f>128+128</f>
        <v>256</v>
      </c>
      <c r="AX64" s="2"/>
      <c r="AY64" s="2"/>
      <c r="AZ64" s="2"/>
      <c r="BA64" s="2"/>
      <c r="BB64" s="2"/>
      <c r="BC64" s="2"/>
      <c r="BD64" s="2"/>
      <c r="BE64" s="2"/>
      <c r="BF64" s="2"/>
      <c r="BG64" s="2">
        <f>128+128</f>
        <v>256</v>
      </c>
      <c r="BH64" s="2"/>
      <c r="BI64" s="2">
        <f>128+128</f>
        <v>256</v>
      </c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>
        <f>64+64+64+64+64+64</f>
        <v>384</v>
      </c>
      <c r="CE64" s="2"/>
      <c r="CF64" s="2">
        <f>64+64</f>
        <v>128</v>
      </c>
      <c r="CG64" s="2">
        <f>64+64</f>
        <v>128</v>
      </c>
      <c r="CH64" s="2"/>
      <c r="CI64" s="2"/>
      <c r="CJ64" s="2"/>
      <c r="CK64" s="2"/>
      <c r="CL64" s="2"/>
      <c r="CM64" s="2"/>
      <c r="CN64" s="2"/>
      <c r="CO64" s="2"/>
      <c r="CP64" s="2">
        <f>128+128</f>
        <v>256</v>
      </c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>
        <f>64+64+64+64+64+64</f>
        <v>384</v>
      </c>
      <c r="DI64" s="2">
        <f>64+64</f>
        <v>128</v>
      </c>
      <c r="DJ64" s="2">
        <f>64+64+64+64</f>
        <v>256</v>
      </c>
      <c r="DK64" s="2">
        <f>64+64</f>
        <v>128</v>
      </c>
      <c r="DL64" s="2"/>
      <c r="DM64" s="2"/>
      <c r="DN64" s="2">
        <f>64+64</f>
        <v>128</v>
      </c>
      <c r="DO64" s="2">
        <f>64+64+64</f>
        <v>192</v>
      </c>
      <c r="DP64" s="2">
        <f>64+64+64</f>
        <v>192</v>
      </c>
      <c r="DQ64" s="2">
        <f>64+64+64+64</f>
        <v>256</v>
      </c>
      <c r="DR64" s="2">
        <f>64+64</f>
        <v>128</v>
      </c>
      <c r="DS64" s="2"/>
      <c r="DT64" s="2">
        <v>1</v>
      </c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9">
        <v>64</v>
      </c>
      <c r="EI64" s="2">
        <f>64+64</f>
        <v>128</v>
      </c>
      <c r="EJ64" s="2"/>
      <c r="EK64" s="2"/>
      <c r="EL64" s="2"/>
      <c r="EM64" s="2">
        <f>64+64</f>
        <v>128</v>
      </c>
      <c r="EN64" s="2">
        <f>64+64+64+64+64</f>
        <v>320</v>
      </c>
      <c r="EO64" s="2"/>
      <c r="EP64" s="2">
        <v>64</v>
      </c>
      <c r="EQ64" s="2">
        <v>64</v>
      </c>
      <c r="ER64" s="2"/>
      <c r="ES64" s="2"/>
      <c r="ET64" s="2"/>
      <c r="EU64" s="2"/>
      <c r="EV64" s="2"/>
      <c r="EW64" s="2">
        <f>64+64+64</f>
        <v>192</v>
      </c>
      <c r="EX64" s="2">
        <f>64+64</f>
        <v>128</v>
      </c>
      <c r="EY64" s="2"/>
      <c r="EZ64" s="2"/>
      <c r="FA64" s="2"/>
      <c r="FB64" s="2">
        <f>64+64+64</f>
        <v>192</v>
      </c>
      <c r="FC64" s="2">
        <f>128+128+64+64+64</f>
        <v>448</v>
      </c>
      <c r="FD64" s="2">
        <v>64</v>
      </c>
      <c r="FE64" s="2"/>
      <c r="FF64" s="2"/>
      <c r="FG64" s="2"/>
      <c r="FH64" s="2"/>
      <c r="FI64" s="2">
        <f>64+64+64+64</f>
        <v>256</v>
      </c>
      <c r="FJ64" s="2"/>
      <c r="FK64" s="2"/>
      <c r="FL64" s="2"/>
      <c r="FM64" s="2"/>
      <c r="FN64" s="2"/>
      <c r="FO64" s="2"/>
      <c r="FP64" s="2">
        <f>64+64+64</f>
        <v>192</v>
      </c>
      <c r="FQ64" s="2">
        <v>64</v>
      </c>
      <c r="FR64" s="2"/>
      <c r="FS64" s="2"/>
      <c r="FT64" s="2"/>
      <c r="FU64" s="2">
        <f>64+64+64+64</f>
        <v>256</v>
      </c>
      <c r="FV64" s="2">
        <f>64+64+64+64</f>
        <v>256</v>
      </c>
      <c r="FW64" s="2"/>
      <c r="FX64" s="2"/>
      <c r="FY64" s="2"/>
      <c r="FZ64" s="2"/>
      <c r="GA64" s="2"/>
      <c r="GB64" s="2">
        <f>128+64</f>
        <v>192</v>
      </c>
      <c r="GC64" s="2"/>
      <c r="GD64" s="2"/>
      <c r="GE64" s="2"/>
      <c r="GF64" s="2"/>
      <c r="GG64" s="2"/>
      <c r="GH64" s="2">
        <f>64+128</f>
        <v>192</v>
      </c>
      <c r="GI64" s="2"/>
      <c r="GJ64" s="2"/>
      <c r="GK64" s="2"/>
      <c r="GL64" s="2"/>
      <c r="GM64" s="2"/>
      <c r="GN64" s="2"/>
      <c r="GO64" s="2"/>
      <c r="GP64" s="2"/>
      <c r="GQ64" s="2">
        <f>64+64+64</f>
        <v>192</v>
      </c>
      <c r="GR64" s="2">
        <f>64</f>
        <v>64</v>
      </c>
      <c r="GS64" s="2">
        <f>64+64</f>
        <v>128</v>
      </c>
      <c r="GT64" s="2">
        <f>64</f>
        <v>64</v>
      </c>
      <c r="GU64" s="2"/>
      <c r="GV64" s="2">
        <f>64+64+64+64+64+64+64</f>
        <v>448</v>
      </c>
      <c r="GW64" s="2">
        <f>64+64+64+64</f>
        <v>256</v>
      </c>
      <c r="GX64" s="2"/>
      <c r="GY64" s="2"/>
      <c r="GZ64" s="2"/>
      <c r="HA64" s="2"/>
      <c r="HB64" s="2">
        <f>64+64+64</f>
        <v>192</v>
      </c>
      <c r="HC64" s="2"/>
      <c r="HD64" s="2">
        <f>64+64+64+64</f>
        <v>256</v>
      </c>
      <c r="HE64" s="2"/>
      <c r="HF64" s="2"/>
      <c r="HG64" s="2"/>
      <c r="HH64" s="2">
        <v>64</v>
      </c>
      <c r="HI64" s="2">
        <f>64+64+64+64+64</f>
        <v>320</v>
      </c>
      <c r="HJ64" s="2">
        <v>64</v>
      </c>
      <c r="HK64" s="2"/>
      <c r="HL64" s="2">
        <v>64</v>
      </c>
      <c r="HM64" s="2">
        <f>64+64+64+64+64</f>
        <v>320</v>
      </c>
      <c r="HN64" s="2"/>
      <c r="HO64" s="2">
        <f>64+64+64</f>
        <v>192</v>
      </c>
      <c r="HP64" s="2">
        <f>64+64+64+64+64+128+128</f>
        <v>576</v>
      </c>
      <c r="HQ64" s="2">
        <f>64+64+64</f>
        <v>192</v>
      </c>
      <c r="HR64" s="2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>
        <f>64*4</f>
        <v>256</v>
      </c>
      <c r="IN64" s="40"/>
      <c r="IO64" s="40"/>
      <c r="IP64" s="40">
        <f>64*3+64</f>
        <v>256</v>
      </c>
      <c r="IQ64" s="40"/>
      <c r="IR64" s="40"/>
      <c r="IS64" s="40"/>
      <c r="IT64" s="40"/>
      <c r="IU64" s="40"/>
      <c r="IV64" s="40"/>
      <c r="IW64" s="40">
        <v>64</v>
      </c>
      <c r="IX64" s="40">
        <v>64</v>
      </c>
      <c r="IY64" s="40"/>
      <c r="IZ64" s="40">
        <f>64*2</f>
        <v>128</v>
      </c>
      <c r="JA64" s="40">
        <v>128</v>
      </c>
      <c r="JB64" s="40"/>
      <c r="JC64" s="40"/>
      <c r="JD64" s="40"/>
      <c r="JE64" s="40"/>
      <c r="JF64" s="40"/>
      <c r="JG64" s="40"/>
      <c r="JH64" s="40"/>
      <c r="JI64" s="40"/>
      <c r="JJ64" s="40"/>
      <c r="JK64" s="40"/>
      <c r="JL64" s="40"/>
      <c r="JM64" s="40">
        <v>64</v>
      </c>
      <c r="JN64" s="40"/>
      <c r="JO64" s="40"/>
      <c r="JP64" s="40"/>
      <c r="JQ64" s="40"/>
      <c r="JR64" s="40"/>
      <c r="JS64" s="40"/>
      <c r="JT64" s="40"/>
      <c r="JU64" s="40"/>
      <c r="JV64" s="40"/>
      <c r="JW64" s="40"/>
      <c r="JX64" s="40"/>
      <c r="JY64" s="40"/>
      <c r="JZ64" s="40"/>
      <c r="KA64" s="40">
        <f>128*4</f>
        <v>512</v>
      </c>
      <c r="KB64" s="2"/>
      <c r="KC64" s="40"/>
      <c r="KD64" s="40"/>
      <c r="KE64" s="40"/>
      <c r="KF64" s="40"/>
      <c r="KG64" s="40"/>
      <c r="KH64" s="40"/>
      <c r="KI64" s="40"/>
      <c r="KJ64" s="40"/>
      <c r="KK64" s="40"/>
      <c r="KL64" s="40"/>
      <c r="KM64" s="40"/>
      <c r="KN64" s="40"/>
      <c r="KO64" s="40"/>
      <c r="KP64" s="2"/>
      <c r="KQ64" s="2">
        <v>128</v>
      </c>
      <c r="KR64" s="40">
        <f>3*64</f>
        <v>192</v>
      </c>
      <c r="KS64" s="2">
        <f>64+128</f>
        <v>192</v>
      </c>
      <c r="KT64" s="2">
        <v>64</v>
      </c>
      <c r="KU64" s="2"/>
      <c r="KV64" s="2"/>
      <c r="KW64" s="2"/>
      <c r="KX64" s="2"/>
      <c r="KY64" s="2"/>
      <c r="KZ64" s="89"/>
      <c r="LA64" s="2"/>
      <c r="LB64" s="2"/>
      <c r="LC64" s="2"/>
      <c r="LD64" s="2"/>
      <c r="LE64" s="2"/>
      <c r="LF64" s="2">
        <f t="shared" si="0"/>
        <v>14401</v>
      </c>
    </row>
    <row r="65" spans="1:318" s="4" customFormat="1" hidden="1" x14ac:dyDescent="0.3">
      <c r="A65" s="11"/>
      <c r="B65" s="42">
        <v>550054282</v>
      </c>
      <c r="C65" s="13" t="s">
        <v>178</v>
      </c>
      <c r="D65" s="35" t="s">
        <v>5</v>
      </c>
      <c r="E65" s="3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9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>
        <v>960</v>
      </c>
      <c r="HL65" s="2"/>
      <c r="HM65" s="2"/>
      <c r="HN65" s="2"/>
      <c r="HO65" s="2"/>
      <c r="HP65" s="2"/>
      <c r="HQ65" s="2"/>
      <c r="HR65" s="2"/>
      <c r="HS65" s="40"/>
      <c r="HT65" s="40"/>
      <c r="HU65" s="40"/>
      <c r="HV65" s="40"/>
      <c r="HW65" s="40"/>
      <c r="HX65" s="40"/>
      <c r="HY65" s="40"/>
      <c r="HZ65" s="40"/>
      <c r="IA65" s="40"/>
      <c r="IB65" s="40">
        <v>96</v>
      </c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40"/>
      <c r="IQ65" s="40"/>
      <c r="IR65" s="40"/>
      <c r="IS65" s="40"/>
      <c r="IT65" s="40"/>
      <c r="IU65" s="40"/>
      <c r="IV65" s="40"/>
      <c r="IW65" s="40"/>
      <c r="IX65" s="40"/>
      <c r="IY65" s="40"/>
      <c r="IZ65" s="40"/>
      <c r="JA65" s="40"/>
      <c r="JB65" s="40"/>
      <c r="JC65" s="40"/>
      <c r="JD65" s="40"/>
      <c r="JE65" s="40"/>
      <c r="JF65" s="40"/>
      <c r="JG65" s="40"/>
      <c r="JH65" s="40"/>
      <c r="JI65" s="40"/>
      <c r="JJ65" s="40"/>
      <c r="JK65" s="40"/>
      <c r="JL65" s="40"/>
      <c r="JM65" s="40"/>
      <c r="JN65" s="40"/>
      <c r="JO65" s="40"/>
      <c r="JP65" s="40"/>
      <c r="JQ65" s="40"/>
      <c r="JR65" s="40"/>
      <c r="JS65" s="40"/>
      <c r="JT65" s="40"/>
      <c r="JU65" s="40"/>
      <c r="JV65" s="40"/>
      <c r="JW65" s="40"/>
      <c r="JX65" s="40"/>
      <c r="JY65" s="40"/>
      <c r="JZ65" s="40"/>
      <c r="KA65" s="40"/>
      <c r="KB65" s="40"/>
      <c r="KC65" s="40"/>
      <c r="KD65" s="40"/>
      <c r="KE65" s="40"/>
      <c r="KF65" s="40"/>
      <c r="KG65" s="40"/>
      <c r="KH65" s="40"/>
      <c r="KI65" s="40"/>
      <c r="KJ65" s="40"/>
      <c r="KK65" s="40"/>
      <c r="KL65" s="40"/>
      <c r="KM65" s="40"/>
      <c r="KN65" s="40"/>
      <c r="KO65" s="40"/>
      <c r="KP65" s="2"/>
      <c r="KQ65" s="2"/>
      <c r="KR65" s="40"/>
      <c r="KS65" s="2"/>
      <c r="KT65" s="2"/>
      <c r="KU65" s="2"/>
      <c r="KV65" s="2"/>
      <c r="KW65" s="2"/>
      <c r="KX65" s="2"/>
      <c r="KY65" s="2"/>
      <c r="KZ65" s="89"/>
      <c r="LA65" s="2"/>
      <c r="LB65" s="2"/>
      <c r="LC65" s="2"/>
      <c r="LD65" s="2"/>
      <c r="LE65" s="2"/>
      <c r="LF65" s="2">
        <f t="shared" si="0"/>
        <v>1056</v>
      </c>
    </row>
    <row r="66" spans="1:318" s="11" customFormat="1" hidden="1" x14ac:dyDescent="0.3">
      <c r="B66" s="42">
        <v>550045436</v>
      </c>
      <c r="C66" s="13" t="s">
        <v>137</v>
      </c>
      <c r="D66" s="35" t="s">
        <v>1</v>
      </c>
      <c r="E66" s="3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16"/>
      <c r="DO66" s="2"/>
      <c r="DP66" s="15"/>
      <c r="DQ66" s="2"/>
      <c r="DR66" s="2"/>
      <c r="DS66" s="2"/>
      <c r="DT66" s="2"/>
      <c r="DU66" s="14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9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>
        <v>1680</v>
      </c>
      <c r="FG66" s="2"/>
      <c r="FH66" s="2"/>
      <c r="FI66" s="2"/>
      <c r="FJ66" s="2"/>
      <c r="FK66" s="2"/>
      <c r="FL66" s="2"/>
      <c r="FM66" s="2"/>
      <c r="FN66" s="2"/>
      <c r="FO66" s="2">
        <f>840+830</f>
        <v>1670</v>
      </c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>
        <v>840</v>
      </c>
      <c r="GJ66" s="2">
        <f>1680</f>
        <v>1680</v>
      </c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40"/>
      <c r="IQ66" s="40"/>
      <c r="IR66" s="40"/>
      <c r="IS66" s="40"/>
      <c r="IT66" s="40"/>
      <c r="IU66" s="40"/>
      <c r="IV66" s="40"/>
      <c r="IW66" s="40"/>
      <c r="IX66" s="40"/>
      <c r="IY66" s="40"/>
      <c r="IZ66" s="40"/>
      <c r="JA66" s="40"/>
      <c r="JB66" s="40"/>
      <c r="JC66" s="40"/>
      <c r="JD66" s="40"/>
      <c r="JE66" s="40"/>
      <c r="JF66" s="40"/>
      <c r="JG66" s="40"/>
      <c r="JH66" s="40"/>
      <c r="JI66" s="40"/>
      <c r="JJ66" s="40"/>
      <c r="JK66" s="40"/>
      <c r="JL66" s="40"/>
      <c r="JM66" s="40"/>
      <c r="JN66" s="40"/>
      <c r="JO66" s="40">
        <v>1680</v>
      </c>
      <c r="JP66" s="40"/>
      <c r="JQ66" s="40"/>
      <c r="JR66" s="40"/>
      <c r="JS66" s="40"/>
      <c r="JT66" s="40">
        <v>160</v>
      </c>
      <c r="JU66" s="40"/>
      <c r="JV66" s="40"/>
      <c r="JW66" s="40"/>
      <c r="JX66" s="40">
        <v>1</v>
      </c>
      <c r="JY66" s="40"/>
      <c r="JZ66" s="40"/>
      <c r="KA66" s="40"/>
      <c r="KB66" s="40"/>
      <c r="KC66" s="40"/>
      <c r="KD66" s="40"/>
      <c r="KE66" s="40"/>
      <c r="KF66" s="40"/>
      <c r="KG66" s="40"/>
      <c r="KH66" s="40"/>
      <c r="KI66" s="40"/>
      <c r="KJ66" s="40"/>
      <c r="KK66" s="40"/>
      <c r="KL66" s="40"/>
      <c r="KM66" s="40"/>
      <c r="KN66" s="40"/>
      <c r="KO66" s="40"/>
      <c r="KP66" s="2"/>
      <c r="KQ66" s="2"/>
      <c r="KR66" s="40"/>
      <c r="KS66" s="2"/>
      <c r="KT66" s="2"/>
      <c r="KU66" s="2"/>
      <c r="KV66" s="2"/>
      <c r="KW66" s="2"/>
      <c r="KX66" s="2"/>
      <c r="KY66" s="2"/>
      <c r="KZ66" s="89"/>
      <c r="LA66" s="2"/>
      <c r="LB66" s="2"/>
      <c r="LC66" s="2"/>
      <c r="LD66" s="2"/>
      <c r="LE66" s="2"/>
      <c r="LF66" s="2">
        <f t="shared" si="0"/>
        <v>7711</v>
      </c>
    </row>
    <row r="67" spans="1:318" s="11" customFormat="1" hidden="1" x14ac:dyDescent="0.3">
      <c r="B67" s="42">
        <v>44243855</v>
      </c>
      <c r="C67" s="13" t="s">
        <v>135</v>
      </c>
      <c r="D67" s="35" t="s">
        <v>4</v>
      </c>
      <c r="E67" s="3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v>1296</v>
      </c>
      <c r="V67" s="2">
        <f>1296+1296</f>
        <v>2592</v>
      </c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>
        <f>1296+1296+1296</f>
        <v>3888</v>
      </c>
      <c r="AV67" s="2">
        <v>1296</v>
      </c>
      <c r="AW67" s="2">
        <f>1296+1296</f>
        <v>2592</v>
      </c>
      <c r="AX67" s="2"/>
      <c r="AY67" s="2"/>
      <c r="AZ67" s="2"/>
      <c r="BA67" s="2"/>
      <c r="BB67" s="2"/>
      <c r="BC67" s="2"/>
      <c r="BD67" s="2">
        <f>1296+1296</f>
        <v>2592</v>
      </c>
      <c r="BE67" s="2">
        <f>1296+1296</f>
        <v>2592</v>
      </c>
      <c r="BF67" s="2"/>
      <c r="BG67" s="2">
        <v>1296</v>
      </c>
      <c r="BH67" s="2"/>
      <c r="BI67" s="2">
        <f>1296+1296+1296</f>
        <v>3888</v>
      </c>
      <c r="BJ67" s="2"/>
      <c r="BK67" s="2">
        <f>1296+1296</f>
        <v>2592</v>
      </c>
      <c r="BL67" s="2"/>
      <c r="BM67" s="2"/>
      <c r="BN67" s="2"/>
      <c r="BO67" s="2">
        <f>108+144</f>
        <v>252</v>
      </c>
      <c r="BP67" s="2"/>
      <c r="BQ67" s="2"/>
      <c r="BR67" s="2"/>
      <c r="BS67" s="2"/>
      <c r="BT67" s="2"/>
      <c r="BU67" s="2"/>
      <c r="BV67" s="2">
        <v>36</v>
      </c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>
        <f>24*36</f>
        <v>864</v>
      </c>
      <c r="CU67" s="2">
        <f>24*36+864</f>
        <v>1728</v>
      </c>
      <c r="CV67" s="2">
        <v>747</v>
      </c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>
        <f>648+648+1296</f>
        <v>2592</v>
      </c>
      <c r="DI67" s="2"/>
      <c r="DJ67" s="2">
        <f>648+720</f>
        <v>1368</v>
      </c>
      <c r="DK67" s="2"/>
      <c r="DL67" s="2"/>
      <c r="DM67" s="2"/>
      <c r="DN67" s="16">
        <f>648+576+1296</f>
        <v>2520</v>
      </c>
      <c r="DO67" s="2"/>
      <c r="DP67" s="15">
        <f>648+1296+1296</f>
        <v>3240</v>
      </c>
      <c r="DQ67" s="2"/>
      <c r="DR67" s="2"/>
      <c r="DS67" s="2"/>
      <c r="DT67" s="2"/>
      <c r="DU67" s="14">
        <f>648+1296</f>
        <v>1944</v>
      </c>
      <c r="DV67" s="2"/>
      <c r="DW67" s="2"/>
      <c r="DX67" s="2"/>
      <c r="DY67" s="2"/>
      <c r="DZ67" s="2"/>
      <c r="EA67" s="2"/>
      <c r="EB67" s="2"/>
      <c r="EC67" s="2">
        <v>648</v>
      </c>
      <c r="ED67" s="2"/>
      <c r="EE67" s="2"/>
      <c r="EF67" s="2"/>
      <c r="EG67" s="2"/>
      <c r="EH67" s="9">
        <f>648+648+72+648+648+648+648+648</f>
        <v>4608</v>
      </c>
      <c r="EI67" s="2"/>
      <c r="EJ67" s="2"/>
      <c r="EK67" s="2"/>
      <c r="EL67" s="2"/>
      <c r="EM67" s="2">
        <f>648+648+648+648</f>
        <v>2592</v>
      </c>
      <c r="EN67" s="2">
        <f>576+648+648+648</f>
        <v>2520</v>
      </c>
      <c r="EO67" s="2">
        <f>648+648+648+648</f>
        <v>2592</v>
      </c>
      <c r="EP67" s="2">
        <f>684+684+648+648+648</f>
        <v>3312</v>
      </c>
      <c r="EQ67" s="2"/>
      <c r="ER67" s="2"/>
      <c r="ES67" s="2"/>
      <c r="ET67" s="2"/>
      <c r="EU67" s="2"/>
      <c r="EV67" s="2"/>
      <c r="EW67" s="2">
        <f>648+648+1296</f>
        <v>2592</v>
      </c>
      <c r="EX67" s="2">
        <v>648</v>
      </c>
      <c r="EY67" s="2">
        <f>648+648+648+648</f>
        <v>2592</v>
      </c>
      <c r="EZ67" s="2"/>
      <c r="FA67" s="2"/>
      <c r="FB67" s="2">
        <f>648+648+648+648</f>
        <v>2592</v>
      </c>
      <c r="FC67" s="2">
        <f>648+648</f>
        <v>1296</v>
      </c>
      <c r="FD67" s="2">
        <f>648+648+648+648</f>
        <v>2592</v>
      </c>
      <c r="FE67" s="2"/>
      <c r="FF67" s="2"/>
      <c r="FG67" s="2"/>
      <c r="FH67" s="2"/>
      <c r="FI67" s="2">
        <v>648</v>
      </c>
      <c r="FJ67" s="2">
        <f>648+648+648+648+648</f>
        <v>3240</v>
      </c>
      <c r="FK67" s="2"/>
      <c r="FL67" s="2"/>
      <c r="FM67" s="2">
        <v>648</v>
      </c>
      <c r="FN67" s="2">
        <v>648</v>
      </c>
      <c r="FO67" s="2"/>
      <c r="FP67" s="2">
        <f>648+648+648+648+648</f>
        <v>3240</v>
      </c>
      <c r="FQ67" s="2"/>
      <c r="FR67" s="2"/>
      <c r="FS67" s="2"/>
      <c r="FT67" s="2"/>
      <c r="FU67" s="2">
        <f>648+648+648+648</f>
        <v>2592</v>
      </c>
      <c r="FV67" s="2">
        <f>648+648+648</f>
        <v>1944</v>
      </c>
      <c r="FW67" s="2">
        <v>648</v>
      </c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>
        <f>648</f>
        <v>648</v>
      </c>
      <c r="GK67" s="2"/>
      <c r="GL67" s="2"/>
      <c r="GM67" s="2"/>
      <c r="GN67" s="2"/>
      <c r="GO67" s="2"/>
      <c r="GP67" s="2"/>
      <c r="GQ67" s="2"/>
      <c r="GR67" s="2">
        <f>648+648+648</f>
        <v>1944</v>
      </c>
      <c r="GS67" s="2">
        <f>648</f>
        <v>648</v>
      </c>
      <c r="GT67" s="2">
        <f>648</f>
        <v>648</v>
      </c>
      <c r="GU67" s="2"/>
      <c r="GV67" s="2">
        <v>648</v>
      </c>
      <c r="GW67" s="2">
        <f>1296</f>
        <v>1296</v>
      </c>
      <c r="GX67" s="2"/>
      <c r="GY67" s="2"/>
      <c r="GZ67" s="2"/>
      <c r="HA67" s="2"/>
      <c r="HB67" s="2">
        <f>648+648+648</f>
        <v>1944</v>
      </c>
      <c r="HC67" s="2"/>
      <c r="HD67" s="2">
        <v>648</v>
      </c>
      <c r="HE67" s="2">
        <v>1296</v>
      </c>
      <c r="HF67" s="2"/>
      <c r="HG67" s="2"/>
      <c r="HH67" s="2">
        <f>648+648</f>
        <v>1296</v>
      </c>
      <c r="HI67" s="2">
        <f>648+648+648</f>
        <v>1944</v>
      </c>
      <c r="HJ67" s="2">
        <f>648+648</f>
        <v>1296</v>
      </c>
      <c r="HK67" s="2"/>
      <c r="HL67" s="2">
        <v>648</v>
      </c>
      <c r="HM67" s="2"/>
      <c r="HN67" s="2"/>
      <c r="HO67" s="2"/>
      <c r="HP67" s="2">
        <f>648+648+648</f>
        <v>1944</v>
      </c>
      <c r="HQ67" s="2">
        <v>1296</v>
      </c>
      <c r="HR67" s="2"/>
      <c r="HS67" s="40"/>
      <c r="HT67" s="40"/>
      <c r="HU67" s="40"/>
      <c r="HV67" s="40"/>
      <c r="HW67" s="40"/>
      <c r="HX67" s="50"/>
      <c r="HY67" s="50">
        <v>648</v>
      </c>
      <c r="HZ67" s="40"/>
      <c r="IA67" s="40"/>
      <c r="IB67" s="40">
        <v>-96</v>
      </c>
      <c r="IC67" s="40"/>
      <c r="ID67" s="40"/>
      <c r="IE67" s="40"/>
      <c r="IF67" s="40"/>
      <c r="IG67" s="40"/>
      <c r="IH67" s="40"/>
      <c r="II67" s="40"/>
      <c r="IJ67" s="40">
        <v>1296</v>
      </c>
      <c r="IK67" s="40"/>
      <c r="IL67" s="40"/>
      <c r="IM67" s="40">
        <f>1296*3+648*2</f>
        <v>5184</v>
      </c>
      <c r="IN67" s="40"/>
      <c r="IO67" s="40"/>
      <c r="IP67" s="40"/>
      <c r="IQ67" s="40"/>
      <c r="IR67" s="40"/>
      <c r="IS67" s="40"/>
      <c r="IT67" s="40"/>
      <c r="IU67" s="40">
        <v>5832</v>
      </c>
      <c r="IV67" s="40"/>
      <c r="IW67" s="40"/>
      <c r="IX67" s="40">
        <f>1296*2</f>
        <v>2592</v>
      </c>
      <c r="IY67" s="40"/>
      <c r="IZ67" s="40"/>
      <c r="JA67" s="40">
        <v>2592</v>
      </c>
      <c r="JB67" s="40">
        <v>648</v>
      </c>
      <c r="JC67" s="40"/>
      <c r="JD67" s="40"/>
      <c r="JE67" s="40">
        <f>1296+648+648+648</f>
        <v>3240</v>
      </c>
      <c r="JF67" s="40"/>
      <c r="JG67" s="40"/>
      <c r="JH67" s="40"/>
      <c r="JI67" s="40"/>
      <c r="JJ67" s="40"/>
      <c r="JK67" s="40">
        <f>1296+1296</f>
        <v>2592</v>
      </c>
      <c r="JL67" s="40">
        <f>1296+1296</f>
        <v>2592</v>
      </c>
      <c r="JM67" s="40"/>
      <c r="JN67" s="40"/>
      <c r="JO67" s="40"/>
      <c r="JP67" s="40"/>
      <c r="JQ67" s="40"/>
      <c r="JR67" s="40"/>
      <c r="JS67" s="40"/>
      <c r="JT67" s="40"/>
      <c r="JU67" s="40"/>
      <c r="JV67" s="40"/>
      <c r="JW67" s="40"/>
      <c r="JX67" s="40"/>
      <c r="JY67" s="40"/>
      <c r="JZ67" s="40"/>
      <c r="KA67" s="40"/>
      <c r="KB67" s="40"/>
      <c r="KC67" s="40">
        <f>1296*4</f>
        <v>5184</v>
      </c>
      <c r="KD67" s="40"/>
      <c r="KE67" s="40"/>
      <c r="KF67" s="40">
        <f>1296*2</f>
        <v>2592</v>
      </c>
      <c r="KG67" s="40"/>
      <c r="KH67" s="40"/>
      <c r="KI67" s="40"/>
      <c r="KJ67" s="40"/>
      <c r="KK67" s="40"/>
      <c r="KL67" s="40"/>
      <c r="KM67" s="40"/>
      <c r="KN67" s="40">
        <f>1296*2+648*2</f>
        <v>3888</v>
      </c>
      <c r="KO67" s="40"/>
      <c r="KP67" s="2"/>
      <c r="KQ67" s="2">
        <f>648+648</f>
        <v>1296</v>
      </c>
      <c r="KR67" s="40">
        <f>648*2</f>
        <v>1296</v>
      </c>
      <c r="KS67" s="2"/>
      <c r="KT67" s="2"/>
      <c r="KU67" s="2"/>
      <c r="KV67" s="2"/>
      <c r="KW67" s="2"/>
      <c r="KX67" s="2"/>
      <c r="KY67" s="2"/>
      <c r="KZ67" s="89"/>
      <c r="LA67" s="2"/>
      <c r="LB67" s="2"/>
      <c r="LC67" s="2"/>
      <c r="LD67" s="2"/>
      <c r="LE67" s="2"/>
      <c r="LF67" s="2">
        <f t="shared" si="0"/>
        <v>141627</v>
      </c>
    </row>
    <row r="68" spans="1:318" s="11" customFormat="1" hidden="1" x14ac:dyDescent="0.3">
      <c r="B68" s="42">
        <v>44243809</v>
      </c>
      <c r="C68" s="18" t="s">
        <v>139</v>
      </c>
      <c r="D68" s="35">
        <v>209</v>
      </c>
      <c r="E68" s="3">
        <f>64+128+128+128</f>
        <v>448</v>
      </c>
      <c r="F68" s="2"/>
      <c r="G68" s="2"/>
      <c r="H68" s="2">
        <v>256</v>
      </c>
      <c r="I68" s="2"/>
      <c r="J68" s="2"/>
      <c r="K68" s="2"/>
      <c r="L68" s="2">
        <f>128+128+128</f>
        <v>384</v>
      </c>
      <c r="M68" s="2"/>
      <c r="N68" s="2"/>
      <c r="O68" s="2"/>
      <c r="P68" s="2"/>
      <c r="Q68" s="2">
        <v>128</v>
      </c>
      <c r="R68" s="2"/>
      <c r="S68" s="2">
        <f>128+128</f>
        <v>256</v>
      </c>
      <c r="T68" s="2">
        <v>128</v>
      </c>
      <c r="U68" s="2">
        <f>128+128+128</f>
        <v>384</v>
      </c>
      <c r="V68" s="2"/>
      <c r="W68" s="2"/>
      <c r="X68" s="2"/>
      <c r="Y68" s="2"/>
      <c r="Z68" s="2"/>
      <c r="AA68" s="2"/>
      <c r="AB68" s="2"/>
      <c r="AC68" s="2"/>
      <c r="AD68" s="2"/>
      <c r="AE68" s="2">
        <f>128+128</f>
        <v>256</v>
      </c>
      <c r="AF68" s="2">
        <v>128</v>
      </c>
      <c r="AG68" s="2">
        <v>128</v>
      </c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>
        <v>128</v>
      </c>
      <c r="AX68" s="2">
        <v>128</v>
      </c>
      <c r="AY68" s="2"/>
      <c r="AZ68" s="2"/>
      <c r="BA68" s="2">
        <v>48</v>
      </c>
      <c r="BB68" s="2"/>
      <c r="BC68" s="2"/>
      <c r="BD68" s="2"/>
      <c r="BE68" s="2"/>
      <c r="BF68" s="2"/>
      <c r="BG68" s="2"/>
      <c r="BH68" s="2"/>
      <c r="BI68" s="2"/>
      <c r="BJ68" s="2"/>
      <c r="BK68" s="2">
        <v>128</v>
      </c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>
        <v>48</v>
      </c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>
        <f>64+64</f>
        <v>128</v>
      </c>
      <c r="DI68" s="2"/>
      <c r="DJ68" s="2">
        <f>64+56</f>
        <v>120</v>
      </c>
      <c r="DK68" s="2"/>
      <c r="DL68" s="2"/>
      <c r="DM68" s="2"/>
      <c r="DN68" s="2">
        <f>64+72</f>
        <v>136</v>
      </c>
      <c r="DO68" s="2"/>
      <c r="DP68" s="2">
        <v>44</v>
      </c>
      <c r="DQ68" s="2"/>
      <c r="DR68" s="2"/>
      <c r="DS68" s="2"/>
      <c r="DT68" s="2"/>
      <c r="DU68" s="2">
        <v>64</v>
      </c>
      <c r="DV68" s="2"/>
      <c r="DW68" s="2"/>
      <c r="DX68" s="2"/>
      <c r="DY68" s="2"/>
      <c r="DZ68" s="2"/>
      <c r="EA68" s="2"/>
      <c r="EB68" s="2"/>
      <c r="EC68" s="2">
        <v>64</v>
      </c>
      <c r="ED68" s="2"/>
      <c r="EE68" s="2"/>
      <c r="EF68" s="2"/>
      <c r="EG68" s="2"/>
      <c r="EH68" s="9">
        <f>64+64+64+64+64+64+64</f>
        <v>448</v>
      </c>
      <c r="EI68" s="2"/>
      <c r="EJ68" s="2"/>
      <c r="EK68" s="2"/>
      <c r="EL68" s="2"/>
      <c r="EM68" s="2">
        <f>64+64+64+64</f>
        <v>256</v>
      </c>
      <c r="EN68" s="2">
        <f>64+64+64+64</f>
        <v>256</v>
      </c>
      <c r="EO68" s="2">
        <f>64+64+64+64</f>
        <v>256</v>
      </c>
      <c r="EP68" s="2">
        <f>64+64+64</f>
        <v>192</v>
      </c>
      <c r="EQ68" s="2"/>
      <c r="ER68" s="2"/>
      <c r="ES68" s="2"/>
      <c r="ET68" s="2"/>
      <c r="EU68" s="2"/>
      <c r="EV68" s="2"/>
      <c r="EW68" s="2">
        <f>64+64</f>
        <v>128</v>
      </c>
      <c r="EX68" s="2">
        <v>64</v>
      </c>
      <c r="EY68" s="2">
        <f>64+64+64+64</f>
        <v>256</v>
      </c>
      <c r="EZ68" s="2"/>
      <c r="FA68" s="2"/>
      <c r="FB68" s="2">
        <f>64+64+64+64</f>
        <v>256</v>
      </c>
      <c r="FC68" s="2">
        <f>64+64</f>
        <v>128</v>
      </c>
      <c r="FD68" s="2">
        <f>64+64+64+64</f>
        <v>256</v>
      </c>
      <c r="FE68" s="2"/>
      <c r="FF68" s="2"/>
      <c r="FG68" s="2"/>
      <c r="FH68" s="2"/>
      <c r="FI68" s="2">
        <f>64+64+64+64</f>
        <v>256</v>
      </c>
      <c r="FJ68" s="2">
        <f>64+64+64+64+64</f>
        <v>320</v>
      </c>
      <c r="FK68" s="2"/>
      <c r="FL68" s="2"/>
      <c r="FM68" s="2">
        <v>64</v>
      </c>
      <c r="FN68" s="2">
        <v>64</v>
      </c>
      <c r="FO68" s="2"/>
      <c r="FP68" s="2">
        <f>64+64+64</f>
        <v>192</v>
      </c>
      <c r="FQ68" s="2"/>
      <c r="FR68" s="2"/>
      <c r="FS68" s="2"/>
      <c r="FT68" s="2"/>
      <c r="FU68" s="2">
        <f>64+64+64+64</f>
        <v>256</v>
      </c>
      <c r="FV68" s="2">
        <f>64+64+64</f>
        <v>192</v>
      </c>
      <c r="FW68" s="2">
        <v>64</v>
      </c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>
        <f>64</f>
        <v>64</v>
      </c>
      <c r="GK68" s="2"/>
      <c r="GL68" s="2"/>
      <c r="GM68" s="2"/>
      <c r="GN68" s="2"/>
      <c r="GO68" s="2"/>
      <c r="GP68" s="2"/>
      <c r="GQ68" s="2"/>
      <c r="GR68" s="2">
        <f>64+64+64</f>
        <v>192</v>
      </c>
      <c r="GS68" s="2">
        <f>64</f>
        <v>64</v>
      </c>
      <c r="GT68" s="2">
        <f>64</f>
        <v>64</v>
      </c>
      <c r="GU68" s="2"/>
      <c r="GV68" s="2">
        <f>64</f>
        <v>64</v>
      </c>
      <c r="GW68" s="2"/>
      <c r="GX68" s="2"/>
      <c r="GY68" s="2"/>
      <c r="GZ68" s="2"/>
      <c r="HA68" s="2"/>
      <c r="HB68" s="2">
        <f>64+64+64</f>
        <v>192</v>
      </c>
      <c r="HC68" s="2"/>
      <c r="HD68" s="2">
        <v>64</v>
      </c>
      <c r="HE68" s="2"/>
      <c r="HF68" s="2"/>
      <c r="HG68" s="2"/>
      <c r="HH68" s="2"/>
      <c r="HI68" s="2">
        <f>64+64+64+64+64</f>
        <v>320</v>
      </c>
      <c r="HJ68" s="2">
        <f>64+64</f>
        <v>128</v>
      </c>
      <c r="HK68" s="2"/>
      <c r="HL68" s="2">
        <v>64</v>
      </c>
      <c r="HM68" s="2"/>
      <c r="HN68" s="2"/>
      <c r="HO68" s="2"/>
      <c r="HP68" s="2">
        <f>64+64+64</f>
        <v>192</v>
      </c>
      <c r="HQ68" s="2"/>
      <c r="HR68" s="2"/>
      <c r="HS68" s="40"/>
      <c r="HT68" s="40"/>
      <c r="HU68" s="40"/>
      <c r="HV68" s="40"/>
      <c r="HW68" s="40"/>
      <c r="HX68" s="50"/>
      <c r="HY68" s="50">
        <v>64</v>
      </c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>
        <f>64*2</f>
        <v>128</v>
      </c>
      <c r="IN68" s="40"/>
      <c r="IO68" s="40"/>
      <c r="IP68" s="40"/>
      <c r="IQ68" s="40"/>
      <c r="IR68" s="40"/>
      <c r="IS68" s="40"/>
      <c r="IT68" s="40"/>
      <c r="IU68" s="40">
        <v>192</v>
      </c>
      <c r="IV68" s="40"/>
      <c r="IW68" s="40"/>
      <c r="IX68" s="40"/>
      <c r="IY68" s="40"/>
      <c r="IZ68" s="40"/>
      <c r="JA68" s="40">
        <v>128</v>
      </c>
      <c r="JB68" s="40">
        <v>64</v>
      </c>
      <c r="JC68" s="40"/>
      <c r="JD68" s="40"/>
      <c r="JE68" s="40">
        <f>64*3+128</f>
        <v>320</v>
      </c>
      <c r="JF68" s="40"/>
      <c r="JG68" s="40">
        <f>96*4</f>
        <v>384</v>
      </c>
      <c r="JH68" s="40">
        <f>80+74</f>
        <v>154</v>
      </c>
      <c r="JI68" s="40"/>
      <c r="JJ68" s="40"/>
      <c r="JK68" s="40">
        <f>84+128</f>
        <v>212</v>
      </c>
      <c r="JL68" s="40">
        <v>128</v>
      </c>
      <c r="JM68" s="40"/>
      <c r="JN68" s="40"/>
      <c r="JO68" s="40"/>
      <c r="JP68" s="40"/>
      <c r="JQ68" s="40">
        <f>128*6</f>
        <v>768</v>
      </c>
      <c r="JR68" s="40"/>
      <c r="JS68" s="40"/>
      <c r="JT68" s="40"/>
      <c r="JU68" s="40"/>
      <c r="JV68" s="40"/>
      <c r="JW68" s="40">
        <v>12</v>
      </c>
      <c r="JX68" s="40"/>
      <c r="JY68" s="40"/>
      <c r="JZ68" s="40"/>
      <c r="KA68" s="40"/>
      <c r="KB68" s="40"/>
      <c r="KC68" s="40"/>
      <c r="KD68" s="40"/>
      <c r="KE68" s="40"/>
      <c r="KF68" s="40">
        <f>128*2</f>
        <v>256</v>
      </c>
      <c r="KG68" s="40">
        <v>128</v>
      </c>
      <c r="KH68" s="40"/>
      <c r="KI68" s="40"/>
      <c r="KJ68" s="40"/>
      <c r="KK68" s="40"/>
      <c r="KL68" s="40"/>
      <c r="KM68" s="40"/>
      <c r="KN68" s="40">
        <f>64*2</f>
        <v>128</v>
      </c>
      <c r="KO68" s="40"/>
      <c r="KP68" s="2"/>
      <c r="KQ68" s="2">
        <f>64+64</f>
        <v>128</v>
      </c>
      <c r="KR68" s="40">
        <f>64*2</f>
        <v>128</v>
      </c>
      <c r="KS68" s="2"/>
      <c r="KT68" s="2"/>
      <c r="KU68" s="2"/>
      <c r="KV68" s="2"/>
      <c r="KW68" s="2"/>
      <c r="KX68" s="2"/>
      <c r="KY68" s="2"/>
      <c r="KZ68" s="89"/>
      <c r="LA68" s="2"/>
      <c r="LB68" s="2"/>
      <c r="LC68" s="2"/>
      <c r="LD68" s="2"/>
      <c r="LE68" s="2"/>
      <c r="LF68" s="2">
        <f t="shared" si="0"/>
        <v>12166</v>
      </c>
    </row>
    <row r="69" spans="1:318" s="11" customFormat="1" hidden="1" x14ac:dyDescent="0.3">
      <c r="B69" s="42">
        <v>550038020</v>
      </c>
      <c r="C69" s="20" t="s">
        <v>139</v>
      </c>
      <c r="D69" s="35" t="s">
        <v>905</v>
      </c>
      <c r="E69" s="3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9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40"/>
      <c r="HT69" s="40"/>
      <c r="HU69" s="40"/>
      <c r="HV69" s="40"/>
      <c r="HW69" s="40"/>
      <c r="HX69" s="50"/>
      <c r="HY69" s="5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40"/>
      <c r="IQ69" s="40"/>
      <c r="IR69" s="40"/>
      <c r="IS69" s="40"/>
      <c r="IT69" s="40"/>
      <c r="IU69" s="40"/>
      <c r="IV69" s="40"/>
      <c r="IW69" s="40"/>
      <c r="IX69" s="40"/>
      <c r="IY69" s="40"/>
      <c r="IZ69" s="40"/>
      <c r="JA69" s="40"/>
      <c r="JB69" s="40"/>
      <c r="JC69" s="40"/>
      <c r="JD69" s="40"/>
      <c r="JE69" s="40"/>
      <c r="JF69" s="40"/>
      <c r="JG69" s="40"/>
      <c r="JH69" s="40"/>
      <c r="JI69" s="40"/>
      <c r="JJ69" s="40"/>
      <c r="JK69" s="40"/>
      <c r="JL69" s="40"/>
      <c r="JM69" s="40"/>
      <c r="JN69" s="40"/>
      <c r="JO69" s="40"/>
      <c r="JP69" s="40"/>
      <c r="JQ69" s="40"/>
      <c r="JR69" s="40"/>
      <c r="JS69" s="40"/>
      <c r="JT69" s="40"/>
      <c r="JU69" s="40"/>
      <c r="JV69" s="40"/>
      <c r="JW69" s="40"/>
      <c r="JX69" s="40"/>
      <c r="JY69" s="40"/>
      <c r="JZ69" s="40"/>
      <c r="KA69" s="40"/>
      <c r="KB69" s="40"/>
      <c r="KC69" s="40"/>
      <c r="KD69" s="40"/>
      <c r="KE69" s="40"/>
      <c r="KF69" s="40"/>
      <c r="KG69" s="40"/>
      <c r="KH69" s="40"/>
      <c r="KI69" s="40"/>
      <c r="KJ69" s="40"/>
      <c r="KK69" s="40"/>
      <c r="KL69" s="40"/>
      <c r="KM69" s="40"/>
      <c r="KN69" s="40"/>
      <c r="KO69" s="40"/>
      <c r="KP69" s="9">
        <v>16</v>
      </c>
      <c r="KQ69" s="9">
        <f>88*2</f>
        <v>176</v>
      </c>
      <c r="KR69" s="40"/>
      <c r="KS69" s="12">
        <f>88+64</f>
        <v>152</v>
      </c>
      <c r="KT69" s="12">
        <v>5</v>
      </c>
      <c r="KU69" s="2"/>
      <c r="KV69" s="2"/>
      <c r="KW69" s="2"/>
      <c r="KX69" s="2"/>
      <c r="KY69" s="2"/>
      <c r="KZ69" s="89"/>
      <c r="LA69" s="2"/>
      <c r="LB69" s="2"/>
      <c r="LC69" s="2"/>
      <c r="LD69" s="2"/>
      <c r="LE69" s="2"/>
      <c r="LF69" s="2">
        <f t="shared" si="0"/>
        <v>349</v>
      </c>
    </row>
    <row r="70" spans="1:318" s="11" customFormat="1" hidden="1" x14ac:dyDescent="0.3">
      <c r="B70" s="42">
        <v>550045438</v>
      </c>
      <c r="C70" s="18" t="s">
        <v>141</v>
      </c>
      <c r="D70" s="35" t="s">
        <v>1</v>
      </c>
      <c r="E70" s="3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16"/>
      <c r="DO70" s="2"/>
      <c r="DP70" s="15"/>
      <c r="DQ70" s="2"/>
      <c r="DR70" s="2"/>
      <c r="DS70" s="2"/>
      <c r="DT70" s="2"/>
      <c r="DU70" s="14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9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>
        <f>850+840</f>
        <v>1690</v>
      </c>
      <c r="FP70" s="2"/>
      <c r="FQ70" s="2">
        <v>800</v>
      </c>
      <c r="FR70" s="2"/>
      <c r="FS70" s="2"/>
      <c r="FT70" s="2">
        <v>880</v>
      </c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>
        <v>840</v>
      </c>
      <c r="GJ70" s="2"/>
      <c r="GK70" s="2"/>
      <c r="GL70" s="2">
        <v>800</v>
      </c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40"/>
      <c r="IQ70" s="40"/>
      <c r="IR70" s="40"/>
      <c r="IS70" s="40"/>
      <c r="IT70" s="40"/>
      <c r="IU70" s="40"/>
      <c r="IV70" s="40"/>
      <c r="IW70" s="40"/>
      <c r="IX70" s="40"/>
      <c r="IY70" s="40"/>
      <c r="IZ70" s="40"/>
      <c r="JA70" s="40"/>
      <c r="JB70" s="40"/>
      <c r="JC70" s="40"/>
      <c r="JD70" s="40"/>
      <c r="JE70" s="40"/>
      <c r="JF70" s="40"/>
      <c r="JG70" s="40"/>
      <c r="JH70" s="40"/>
      <c r="JI70" s="40"/>
      <c r="JJ70" s="40"/>
      <c r="JK70" s="40"/>
      <c r="JL70" s="40"/>
      <c r="JM70" s="40"/>
      <c r="JN70" s="40"/>
      <c r="JO70" s="40"/>
      <c r="JP70" s="40"/>
      <c r="JQ70" s="40"/>
      <c r="JR70" s="40"/>
      <c r="JS70" s="40"/>
      <c r="JT70" s="40"/>
      <c r="JU70" s="40"/>
      <c r="JV70" s="40"/>
      <c r="JW70" s="40"/>
      <c r="JX70" s="40">
        <v>1</v>
      </c>
      <c r="JY70" s="40"/>
      <c r="JZ70" s="40"/>
      <c r="KA70" s="40"/>
      <c r="KB70" s="40"/>
      <c r="KC70" s="40"/>
      <c r="KD70" s="40"/>
      <c r="KE70" s="40"/>
      <c r="KF70" s="40"/>
      <c r="KG70" s="40"/>
      <c r="KH70" s="40"/>
      <c r="KI70" s="40"/>
      <c r="KJ70" s="40"/>
      <c r="KK70" s="40"/>
      <c r="KL70" s="40"/>
      <c r="KM70" s="40"/>
      <c r="KN70" s="40"/>
      <c r="KO70" s="40"/>
      <c r="KP70" s="2"/>
      <c r="KQ70" s="12">
        <v>1</v>
      </c>
      <c r="KR70" s="40"/>
      <c r="KS70" s="2"/>
      <c r="KT70" s="2"/>
      <c r="KU70" s="2"/>
      <c r="KV70" s="2"/>
      <c r="KW70" s="2"/>
      <c r="KX70" s="2"/>
      <c r="KY70" s="2"/>
      <c r="KZ70" s="89"/>
      <c r="LA70" s="2"/>
      <c r="LB70" s="2"/>
      <c r="LC70" s="2"/>
      <c r="LD70" s="2"/>
      <c r="LE70" s="2"/>
      <c r="LF70" s="2">
        <f t="shared" ref="LF70:LF97" si="1">SUM(E70:LE70)</f>
        <v>5012</v>
      </c>
    </row>
    <row r="71" spans="1:318" s="11" customFormat="1" hidden="1" x14ac:dyDescent="0.3">
      <c r="B71" s="42">
        <v>44414855</v>
      </c>
      <c r="C71" s="13" t="s">
        <v>143</v>
      </c>
      <c r="D71" s="10" t="s">
        <v>4</v>
      </c>
      <c r="E71" s="3">
        <v>1296</v>
      </c>
      <c r="F71" s="2">
        <v>1152</v>
      </c>
      <c r="G71" s="2">
        <v>503</v>
      </c>
      <c r="H71" s="2"/>
      <c r="I71" s="2"/>
      <c r="J71" s="2"/>
      <c r="K71" s="2"/>
      <c r="L71" s="2"/>
      <c r="M71" s="2"/>
      <c r="N71" s="2"/>
      <c r="O71" s="2"/>
      <c r="P71" s="2"/>
      <c r="Q71" s="2">
        <v>648</v>
      </c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9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40"/>
      <c r="IQ71" s="40"/>
      <c r="IR71" s="40"/>
      <c r="IS71" s="40"/>
      <c r="IT71" s="40"/>
      <c r="IU71" s="40"/>
      <c r="IV71" s="40"/>
      <c r="IW71" s="40"/>
      <c r="IX71" s="40"/>
      <c r="IY71" s="40"/>
      <c r="IZ71" s="40"/>
      <c r="JA71" s="40"/>
      <c r="JB71" s="40"/>
      <c r="JC71" s="40"/>
      <c r="JD71" s="40"/>
      <c r="JE71" s="40"/>
      <c r="JF71" s="40"/>
      <c r="JG71" s="40"/>
      <c r="JH71" s="40"/>
      <c r="JI71" s="40"/>
      <c r="JJ71" s="40"/>
      <c r="JK71" s="40"/>
      <c r="JL71" s="40"/>
      <c r="JM71" s="40"/>
      <c r="JN71" s="40"/>
      <c r="JO71" s="40"/>
      <c r="JP71" s="40"/>
      <c r="JQ71" s="40"/>
      <c r="JR71" s="40"/>
      <c r="JS71" s="40"/>
      <c r="JT71" s="40"/>
      <c r="JU71" s="40"/>
      <c r="JV71" s="40"/>
      <c r="JW71" s="40"/>
      <c r="JX71" s="40"/>
      <c r="JY71" s="40"/>
      <c r="JZ71" s="40"/>
      <c r="KA71" s="40"/>
      <c r="KB71" s="40"/>
      <c r="KC71" s="40"/>
      <c r="KD71" s="40"/>
      <c r="KE71" s="40"/>
      <c r="KF71" s="40"/>
      <c r="KG71" s="40"/>
      <c r="KH71" s="40"/>
      <c r="KI71" s="40"/>
      <c r="KJ71" s="40"/>
      <c r="KK71" s="40"/>
      <c r="KL71" s="40"/>
      <c r="KM71" s="40"/>
      <c r="KN71" s="40"/>
      <c r="KO71" s="40"/>
      <c r="KP71" s="2"/>
      <c r="KQ71" s="2"/>
      <c r="KR71" s="40"/>
      <c r="KS71" s="2"/>
      <c r="KT71" s="2"/>
      <c r="KU71" s="2"/>
      <c r="KV71" s="2"/>
      <c r="KW71" s="2"/>
      <c r="KX71" s="2"/>
      <c r="KY71" s="2"/>
      <c r="KZ71" s="89"/>
      <c r="LA71" s="2"/>
      <c r="LB71" s="2"/>
      <c r="LC71" s="2"/>
      <c r="LD71" s="2"/>
      <c r="LE71" s="2"/>
      <c r="LF71" s="2">
        <f t="shared" si="1"/>
        <v>3599</v>
      </c>
    </row>
    <row r="72" spans="1:318" hidden="1" x14ac:dyDescent="0.3">
      <c r="B72" s="42">
        <v>550032121</v>
      </c>
      <c r="C72" s="13" t="s">
        <v>145</v>
      </c>
      <c r="D72" s="35" t="s">
        <v>18</v>
      </c>
      <c r="E72" s="3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16"/>
      <c r="DO72" s="2"/>
      <c r="DP72" s="15"/>
      <c r="DQ72" s="2"/>
      <c r="DR72" s="2"/>
      <c r="DS72" s="2"/>
      <c r="DT72" s="2"/>
      <c r="DU72" s="14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9"/>
      <c r="EI72" s="2"/>
      <c r="EJ72" s="2">
        <v>48</v>
      </c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40"/>
      <c r="IQ72" s="40"/>
      <c r="IR72" s="40"/>
      <c r="IS72" s="40"/>
      <c r="IT72" s="40"/>
      <c r="IU72" s="40"/>
      <c r="IV72" s="40"/>
      <c r="IW72" s="40"/>
      <c r="IX72" s="40"/>
      <c r="IY72" s="40"/>
      <c r="IZ72" s="40"/>
      <c r="JA72" s="40"/>
      <c r="JB72" s="40"/>
      <c r="JC72" s="40"/>
      <c r="JD72" s="40"/>
      <c r="JE72" s="40"/>
      <c r="JF72" s="40"/>
      <c r="JG72" s="40"/>
      <c r="JH72" s="40"/>
      <c r="JI72" s="40"/>
      <c r="JJ72" s="40"/>
      <c r="JK72" s="40"/>
      <c r="JL72" s="40"/>
      <c r="JM72" s="40"/>
      <c r="JN72" s="40"/>
      <c r="JO72" s="40"/>
      <c r="JP72" s="40"/>
      <c r="JQ72" s="40"/>
      <c r="JR72" s="40"/>
      <c r="JS72" s="40"/>
      <c r="JT72" s="40"/>
      <c r="JU72" s="40"/>
      <c r="JV72" s="40"/>
      <c r="JW72" s="40"/>
      <c r="JX72" s="40"/>
      <c r="JY72" s="40"/>
      <c r="JZ72" s="40"/>
      <c r="KA72" s="40"/>
      <c r="KB72" s="40"/>
      <c r="KC72" s="40"/>
      <c r="KD72" s="40"/>
      <c r="KE72" s="40"/>
      <c r="KF72" s="40"/>
      <c r="KG72" s="40"/>
      <c r="KH72" s="40"/>
      <c r="KI72" s="40"/>
      <c r="KJ72" s="40"/>
      <c r="KK72" s="40"/>
      <c r="KL72" s="40"/>
      <c r="KM72" s="40"/>
      <c r="KN72" s="40"/>
      <c r="KO72" s="40"/>
      <c r="KP72" s="2"/>
      <c r="KQ72" s="2"/>
      <c r="KR72" s="40"/>
      <c r="KS72" s="2"/>
      <c r="KT72" s="2"/>
      <c r="KU72" s="2"/>
      <c r="KV72" s="2"/>
      <c r="KW72" s="2"/>
      <c r="KX72" s="2"/>
      <c r="KY72" s="2"/>
      <c r="KZ72" s="89"/>
      <c r="LA72" s="2"/>
      <c r="LB72" s="2"/>
      <c r="LC72" s="2"/>
      <c r="LD72" s="2"/>
      <c r="LE72" s="2"/>
      <c r="LF72" s="2">
        <f t="shared" si="1"/>
        <v>48</v>
      </c>
    </row>
    <row r="73" spans="1:318" s="11" customFormat="1" hidden="1" x14ac:dyDescent="0.3">
      <c r="B73" s="42">
        <v>45387905</v>
      </c>
      <c r="C73" s="13" t="s">
        <v>147</v>
      </c>
      <c r="D73" s="35" t="s">
        <v>3</v>
      </c>
      <c r="E73" s="3"/>
      <c r="F73" s="2"/>
      <c r="G73" s="2"/>
      <c r="H73" s="2"/>
      <c r="I73" s="2"/>
      <c r="J73" s="2"/>
      <c r="K73" s="2"/>
      <c r="L73" s="2"/>
      <c r="M73" s="2"/>
      <c r="N73" s="2">
        <v>1760</v>
      </c>
      <c r="O73" s="2"/>
      <c r="P73" s="2"/>
      <c r="Q73" s="2"/>
      <c r="R73" s="2"/>
      <c r="S73" s="2"/>
      <c r="T73" s="2"/>
      <c r="U73" s="2"/>
      <c r="V73" s="2">
        <v>880</v>
      </c>
      <c r="W73" s="2"/>
      <c r="X73" s="2"/>
      <c r="Y73" s="2"/>
      <c r="Z73" s="2"/>
      <c r="AA73" s="2"/>
      <c r="AB73" s="2"/>
      <c r="AC73" s="2">
        <v>880</v>
      </c>
      <c r="AD73" s="2"/>
      <c r="AE73" s="2"/>
      <c r="AF73" s="2">
        <f>880+880</f>
        <v>1760</v>
      </c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>
        <v>880</v>
      </c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>
        <v>880</v>
      </c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>
        <v>440</v>
      </c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>
        <f>440</f>
        <v>440</v>
      </c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>
        <v>88</v>
      </c>
      <c r="HK73" s="2"/>
      <c r="HL73" s="2"/>
      <c r="HM73" s="2"/>
      <c r="HN73" s="2"/>
      <c r="HO73" s="2"/>
      <c r="HP73" s="2"/>
      <c r="HQ73" s="2"/>
      <c r="HR73" s="2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>
        <v>880</v>
      </c>
      <c r="IN73" s="40"/>
      <c r="IO73" s="40"/>
      <c r="IP73" s="40"/>
      <c r="IQ73" s="40"/>
      <c r="IR73" s="40"/>
      <c r="IS73" s="40"/>
      <c r="IT73" s="40"/>
      <c r="IU73" s="40"/>
      <c r="IV73" s="40"/>
      <c r="IW73" s="40"/>
      <c r="IX73" s="40"/>
      <c r="IY73" s="40">
        <v>1320</v>
      </c>
      <c r="IZ73" s="40"/>
      <c r="JA73" s="40"/>
      <c r="JB73" s="40"/>
      <c r="JC73" s="40"/>
      <c r="JD73" s="40"/>
      <c r="JE73" s="40"/>
      <c r="JF73" s="40"/>
      <c r="JG73" s="40"/>
      <c r="JH73" s="40"/>
      <c r="JI73" s="40"/>
      <c r="JJ73" s="40"/>
      <c r="JK73" s="40"/>
      <c r="JL73" s="40"/>
      <c r="JM73" s="40"/>
      <c r="JN73" s="40"/>
      <c r="JO73" s="40"/>
      <c r="JP73" s="40"/>
      <c r="JQ73" s="40"/>
      <c r="JR73" s="40"/>
      <c r="JS73" s="40"/>
      <c r="JT73" s="40"/>
      <c r="JU73" s="40"/>
      <c r="JV73" s="40"/>
      <c r="JW73" s="40"/>
      <c r="JX73" s="40"/>
      <c r="JY73" s="40"/>
      <c r="JZ73" s="40"/>
      <c r="KA73" s="40"/>
      <c r="KB73" s="40"/>
      <c r="KC73" s="40"/>
      <c r="KD73" s="40"/>
      <c r="KE73" s="40"/>
      <c r="KF73" s="40"/>
      <c r="KG73" s="40"/>
      <c r="KH73" s="40"/>
      <c r="KI73" s="40"/>
      <c r="KJ73" s="40"/>
      <c r="KK73" s="40"/>
      <c r="KL73" s="40"/>
      <c r="KM73" s="40"/>
      <c r="KN73" s="40"/>
      <c r="KO73" s="40"/>
      <c r="KP73" s="2"/>
      <c r="KQ73" s="2"/>
      <c r="KR73" s="40"/>
      <c r="KS73" s="2"/>
      <c r="KT73" s="2"/>
      <c r="KU73" s="2"/>
      <c r="KV73" s="2"/>
      <c r="KW73" s="2"/>
      <c r="KX73" s="2"/>
      <c r="KY73" s="2"/>
      <c r="KZ73" s="89"/>
      <c r="LA73" s="2"/>
      <c r="LB73" s="2"/>
      <c r="LC73" s="2"/>
      <c r="LD73" s="2"/>
      <c r="LE73" s="2"/>
      <c r="LF73" s="2">
        <f t="shared" si="1"/>
        <v>10208</v>
      </c>
    </row>
    <row r="74" spans="1:318" s="4" customFormat="1" hidden="1" x14ac:dyDescent="0.3">
      <c r="A74" s="11"/>
      <c r="B74" s="42"/>
      <c r="C74" s="20" t="s">
        <v>988</v>
      </c>
      <c r="D74" s="35">
        <v>209</v>
      </c>
      <c r="E74" s="3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16"/>
      <c r="DO74" s="2"/>
      <c r="DP74" s="15"/>
      <c r="DQ74" s="2"/>
      <c r="DR74" s="2"/>
      <c r="DS74" s="2"/>
      <c r="DT74" s="2"/>
      <c r="DU74" s="14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9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40"/>
      <c r="IQ74" s="40"/>
      <c r="IR74" s="40"/>
      <c r="IS74" s="40"/>
      <c r="IT74" s="40"/>
      <c r="IU74" s="40"/>
      <c r="IV74" s="40"/>
      <c r="IW74" s="40"/>
      <c r="IX74" s="40"/>
      <c r="IY74" s="40"/>
      <c r="IZ74" s="40"/>
      <c r="JA74" s="40"/>
      <c r="JB74" s="40"/>
      <c r="JC74" s="40"/>
      <c r="JD74" s="40"/>
      <c r="JE74" s="40"/>
      <c r="JF74" s="40"/>
      <c r="JG74" s="40"/>
      <c r="JH74" s="40">
        <f>17*4+2</f>
        <v>70</v>
      </c>
      <c r="JI74" s="40"/>
      <c r="JJ74" s="40"/>
      <c r="JK74" s="40"/>
      <c r="JL74" s="40"/>
      <c r="JM74" s="40"/>
      <c r="JN74" s="40"/>
      <c r="JO74" s="40"/>
      <c r="JP74" s="40"/>
      <c r="JQ74" s="40"/>
      <c r="JR74" s="40"/>
      <c r="JS74" s="40"/>
      <c r="JT74" s="40"/>
      <c r="JU74" s="40"/>
      <c r="JV74" s="40"/>
      <c r="JW74" s="40"/>
      <c r="JX74" s="40"/>
      <c r="JY74" s="40"/>
      <c r="JZ74" s="40"/>
      <c r="KA74" s="40"/>
      <c r="KB74" s="40"/>
      <c r="KC74" s="40"/>
      <c r="KD74" s="40"/>
      <c r="KE74" s="40"/>
      <c r="KF74" s="40"/>
      <c r="KG74" s="40"/>
      <c r="KH74" s="40"/>
      <c r="KI74" s="40"/>
      <c r="KJ74" s="40"/>
      <c r="KK74" s="40"/>
      <c r="KL74" s="40"/>
      <c r="KM74" s="40"/>
      <c r="KN74" s="40"/>
      <c r="KO74" s="40"/>
      <c r="KP74" s="2"/>
      <c r="KQ74" s="2"/>
      <c r="KR74" s="40"/>
      <c r="KS74" s="2"/>
      <c r="KT74" s="2"/>
      <c r="KU74" s="2"/>
      <c r="KV74" s="2"/>
      <c r="KW74" s="2"/>
      <c r="KX74" s="2"/>
      <c r="KY74" s="2"/>
      <c r="KZ74" s="89"/>
      <c r="LA74" s="2"/>
      <c r="LB74" s="2"/>
      <c r="LC74" s="2"/>
      <c r="LD74" s="2"/>
      <c r="LE74" s="2"/>
      <c r="LF74" s="2">
        <f t="shared" si="1"/>
        <v>70</v>
      </c>
    </row>
    <row r="75" spans="1:318" s="11" customFormat="1" hidden="1" x14ac:dyDescent="0.3">
      <c r="B75" s="42">
        <v>550029925</v>
      </c>
      <c r="C75" s="13" t="s">
        <v>149</v>
      </c>
      <c r="D75" s="35" t="s">
        <v>18</v>
      </c>
      <c r="E75" s="3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>
        <v>96</v>
      </c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>
        <f>64</f>
        <v>64</v>
      </c>
      <c r="GK75" s="2"/>
      <c r="GL75" s="2"/>
      <c r="GM75" s="2"/>
      <c r="GN75" s="2"/>
      <c r="GO75" s="2"/>
      <c r="GP75" s="2"/>
      <c r="GQ75" s="2"/>
      <c r="GR75" s="2"/>
      <c r="GS75" s="2">
        <f>64</f>
        <v>64</v>
      </c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40"/>
      <c r="IQ75" s="40"/>
      <c r="IR75" s="40"/>
      <c r="IS75" s="40"/>
      <c r="IT75" s="40"/>
      <c r="IU75" s="40"/>
      <c r="IV75" s="40"/>
      <c r="IW75" s="40"/>
      <c r="IX75" s="40"/>
      <c r="IY75" s="40"/>
      <c r="IZ75" s="40"/>
      <c r="JA75" s="40"/>
      <c r="JB75" s="40"/>
      <c r="JC75" s="40"/>
      <c r="JD75" s="40"/>
      <c r="JE75" s="40"/>
      <c r="JF75" s="40"/>
      <c r="JG75" s="40"/>
      <c r="JH75" s="40"/>
      <c r="JI75" s="40"/>
      <c r="JJ75" s="40"/>
      <c r="JK75" s="40"/>
      <c r="JL75" s="40"/>
      <c r="JM75" s="40"/>
      <c r="JN75" s="40"/>
      <c r="JO75" s="40"/>
      <c r="JP75" s="40"/>
      <c r="JQ75" s="40"/>
      <c r="JR75" s="40"/>
      <c r="JS75" s="40"/>
      <c r="JT75" s="40"/>
      <c r="JU75" s="40"/>
      <c r="JV75" s="40"/>
      <c r="JW75" s="40"/>
      <c r="JX75" s="40"/>
      <c r="JY75" s="40"/>
      <c r="JZ75" s="40"/>
      <c r="KA75" s="40"/>
      <c r="KB75" s="40"/>
      <c r="KC75" s="40"/>
      <c r="KD75" s="40"/>
      <c r="KE75" s="40"/>
      <c r="KF75" s="40"/>
      <c r="KG75" s="40"/>
      <c r="KH75" s="40"/>
      <c r="KI75" s="40"/>
      <c r="KJ75" s="40"/>
      <c r="KK75" s="40"/>
      <c r="KL75" s="40"/>
      <c r="KM75" s="40"/>
      <c r="KN75" s="40"/>
      <c r="KO75" s="40"/>
      <c r="KP75" s="2"/>
      <c r="KQ75" s="2"/>
      <c r="KR75" s="40"/>
      <c r="KS75" s="2"/>
      <c r="KT75" s="2"/>
      <c r="KU75" s="2"/>
      <c r="KV75" s="2"/>
      <c r="KW75" s="2"/>
      <c r="KX75" s="2"/>
      <c r="KY75" s="2"/>
      <c r="KZ75" s="89"/>
      <c r="LA75" s="2"/>
      <c r="LB75" s="2"/>
      <c r="LC75" s="2"/>
      <c r="LD75" s="2"/>
      <c r="LE75" s="2"/>
      <c r="LF75" s="2">
        <f t="shared" si="1"/>
        <v>224</v>
      </c>
    </row>
    <row r="76" spans="1:318" hidden="1" x14ac:dyDescent="0.3">
      <c r="B76" s="42">
        <v>550049811</v>
      </c>
      <c r="C76" s="20" t="s">
        <v>975</v>
      </c>
      <c r="D76" s="35" t="s">
        <v>2</v>
      </c>
      <c r="E76" s="3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16"/>
      <c r="DO76" s="2"/>
      <c r="DP76" s="15"/>
      <c r="DQ76" s="2"/>
      <c r="DR76" s="2"/>
      <c r="DS76" s="2"/>
      <c r="DT76" s="2"/>
      <c r="DU76" s="14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9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40"/>
      <c r="IQ76" s="40"/>
      <c r="IR76" s="40"/>
      <c r="IS76" s="40"/>
      <c r="IT76" s="40"/>
      <c r="IU76" s="40"/>
      <c r="IV76" s="40"/>
      <c r="IW76" s="40"/>
      <c r="IX76" s="40"/>
      <c r="IY76" s="40"/>
      <c r="IZ76" s="40"/>
      <c r="JA76" s="40"/>
      <c r="JB76" s="40"/>
      <c r="JC76" s="40"/>
      <c r="JD76" s="40"/>
      <c r="JE76" s="40"/>
      <c r="JF76" s="40"/>
      <c r="JG76" s="40"/>
      <c r="JH76" s="40"/>
      <c r="JI76" s="40"/>
      <c r="JJ76" s="40"/>
      <c r="JK76" s="40">
        <v>1575</v>
      </c>
      <c r="JL76" s="40"/>
      <c r="JM76" s="40"/>
      <c r="JN76" s="40"/>
      <c r="JO76" s="40"/>
      <c r="JP76" s="40"/>
      <c r="JQ76" s="40"/>
      <c r="JR76" s="40"/>
      <c r="JS76" s="40"/>
      <c r="JT76" s="40"/>
      <c r="JU76" s="40"/>
      <c r="JV76" s="40"/>
      <c r="JW76" s="40"/>
      <c r="JX76" s="40"/>
      <c r="JY76" s="40"/>
      <c r="JZ76" s="40"/>
      <c r="KA76" s="40"/>
      <c r="KB76" s="40"/>
      <c r="KC76" s="40"/>
      <c r="KD76" s="40"/>
      <c r="KE76" s="40"/>
      <c r="KF76" s="40"/>
      <c r="KG76" s="40"/>
      <c r="KH76" s="40">
        <v>1575</v>
      </c>
      <c r="KI76" s="40"/>
      <c r="KJ76" s="40"/>
      <c r="KK76" s="40"/>
      <c r="KL76" s="40"/>
      <c r="KM76" s="40"/>
      <c r="KN76" s="40"/>
      <c r="KO76" s="40"/>
      <c r="KP76" s="2"/>
      <c r="KQ76" s="2"/>
      <c r="KR76" s="40"/>
      <c r="KS76" s="2"/>
      <c r="KT76" s="2"/>
      <c r="KU76" s="2"/>
      <c r="KV76" s="2"/>
      <c r="KW76" s="2"/>
      <c r="KX76" s="2"/>
      <c r="KY76" s="2"/>
      <c r="KZ76" s="89"/>
      <c r="LA76" s="2"/>
      <c r="LB76" s="2"/>
      <c r="LC76" s="2"/>
      <c r="LD76" s="2"/>
      <c r="LE76" s="2"/>
      <c r="LF76" s="2">
        <f t="shared" si="1"/>
        <v>3150</v>
      </c>
    </row>
    <row r="77" spans="1:318" s="11" customFormat="1" hidden="1" x14ac:dyDescent="0.3">
      <c r="B77" s="42">
        <v>45372905</v>
      </c>
      <c r="C77" s="13" t="s">
        <v>151</v>
      </c>
      <c r="D77" s="35" t="s">
        <v>3</v>
      </c>
      <c r="E77" s="3"/>
      <c r="F77" s="2"/>
      <c r="G77" s="2"/>
      <c r="H77" s="2"/>
      <c r="I77" s="2"/>
      <c r="J77" s="2"/>
      <c r="K77" s="2"/>
      <c r="L77" s="2"/>
      <c r="M77" s="2"/>
      <c r="N77" s="2">
        <v>1760</v>
      </c>
      <c r="O77" s="2"/>
      <c r="P77" s="2"/>
      <c r="Q77" s="2"/>
      <c r="R77" s="2"/>
      <c r="S77" s="2"/>
      <c r="T77" s="2"/>
      <c r="U77" s="2"/>
      <c r="V77" s="2">
        <v>880</v>
      </c>
      <c r="W77" s="2"/>
      <c r="X77" s="2"/>
      <c r="Y77" s="2"/>
      <c r="Z77" s="2"/>
      <c r="AA77" s="2"/>
      <c r="AB77" s="2"/>
      <c r="AC77" s="2">
        <v>880</v>
      </c>
      <c r="AD77" s="2"/>
      <c r="AE77" s="2"/>
      <c r="AF77" s="2">
        <f>880+880</f>
        <v>1760</v>
      </c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>
        <v>880</v>
      </c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>
        <v>880</v>
      </c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>
        <f>440</f>
        <v>440</v>
      </c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>
        <v>44</v>
      </c>
      <c r="HK77" s="2"/>
      <c r="HL77" s="2"/>
      <c r="HM77" s="2"/>
      <c r="HN77" s="2"/>
      <c r="HO77" s="2"/>
      <c r="HP77" s="2"/>
      <c r="HQ77" s="2"/>
      <c r="HR77" s="2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>
        <v>880</v>
      </c>
      <c r="IN77" s="40"/>
      <c r="IO77" s="40"/>
      <c r="IP77" s="40"/>
      <c r="IQ77" s="40"/>
      <c r="IR77" s="40"/>
      <c r="IS77" s="40"/>
      <c r="IT77" s="40"/>
      <c r="IU77" s="40"/>
      <c r="IV77" s="40"/>
      <c r="IW77" s="40"/>
      <c r="IX77" s="40"/>
      <c r="IY77" s="40">
        <v>440</v>
      </c>
      <c r="IZ77" s="40"/>
      <c r="JA77" s="40"/>
      <c r="JB77" s="40"/>
      <c r="JC77" s="40"/>
      <c r="JD77" s="40"/>
      <c r="JE77" s="40"/>
      <c r="JF77" s="40"/>
      <c r="JG77" s="40"/>
      <c r="JH77" s="40"/>
      <c r="JI77" s="40"/>
      <c r="JJ77" s="40"/>
      <c r="JK77" s="40"/>
      <c r="JL77" s="40"/>
      <c r="JM77" s="40"/>
      <c r="JN77" s="40"/>
      <c r="JO77" s="40"/>
      <c r="JP77" s="40"/>
      <c r="JQ77" s="40"/>
      <c r="JR77" s="40"/>
      <c r="JS77" s="40"/>
      <c r="JT77" s="40"/>
      <c r="JU77" s="40"/>
      <c r="JV77" s="40"/>
      <c r="JW77" s="40"/>
      <c r="JX77" s="40"/>
      <c r="JY77" s="40"/>
      <c r="JZ77" s="40"/>
      <c r="KA77" s="40"/>
      <c r="KB77" s="40"/>
      <c r="KC77" s="40"/>
      <c r="KD77" s="40"/>
      <c r="KE77" s="40"/>
      <c r="KF77" s="40"/>
      <c r="KG77" s="40"/>
      <c r="KH77" s="40"/>
      <c r="KI77" s="40"/>
      <c r="KJ77" s="40"/>
      <c r="KK77" s="40"/>
      <c r="KL77" s="40"/>
      <c r="KM77" s="40"/>
      <c r="KN77" s="40"/>
      <c r="KO77" s="40"/>
      <c r="KP77" s="2"/>
      <c r="KQ77" s="2"/>
      <c r="KR77" s="40"/>
      <c r="KS77" s="2"/>
      <c r="KT77" s="2"/>
      <c r="KU77" s="2"/>
      <c r="KV77" s="2"/>
      <c r="KW77" s="2"/>
      <c r="KX77" s="2"/>
      <c r="KY77" s="2"/>
      <c r="KZ77" s="89"/>
      <c r="LA77" s="2"/>
      <c r="LB77" s="2"/>
      <c r="LC77" s="2"/>
      <c r="LD77" s="2"/>
      <c r="LE77" s="2"/>
      <c r="LF77" s="2">
        <f t="shared" si="1"/>
        <v>8844</v>
      </c>
    </row>
    <row r="78" spans="1:318" hidden="1" x14ac:dyDescent="0.3">
      <c r="B78" s="42">
        <v>45372855</v>
      </c>
      <c r="C78" s="13" t="s">
        <v>153</v>
      </c>
      <c r="D78" s="35" t="s">
        <v>4</v>
      </c>
      <c r="E78" s="3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>
        <v>648</v>
      </c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>
        <v>648</v>
      </c>
      <c r="FC78" s="2"/>
      <c r="FD78" s="2"/>
      <c r="FE78" s="2"/>
      <c r="FF78" s="2"/>
      <c r="FG78" s="2"/>
      <c r="FH78" s="2"/>
      <c r="FI78" s="2">
        <v>648</v>
      </c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>
        <f>288</f>
        <v>288</v>
      </c>
      <c r="GS78" s="2"/>
      <c r="GT78" s="2"/>
      <c r="GU78" s="2"/>
      <c r="GV78" s="2"/>
      <c r="GW78" s="2">
        <f>648</f>
        <v>648</v>
      </c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>
        <v>252</v>
      </c>
      <c r="HK78" s="2"/>
      <c r="HL78" s="2"/>
      <c r="HM78" s="2"/>
      <c r="HN78" s="2"/>
      <c r="HO78" s="2"/>
      <c r="HP78" s="2"/>
      <c r="HQ78" s="2"/>
      <c r="HR78" s="2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40"/>
      <c r="IQ78" s="40"/>
      <c r="IR78" s="40"/>
      <c r="IS78" s="40"/>
      <c r="IT78" s="40"/>
      <c r="IU78" s="40"/>
      <c r="IV78" s="40"/>
      <c r="IW78" s="40"/>
      <c r="IX78" s="40"/>
      <c r="IY78" s="40"/>
      <c r="IZ78" s="40"/>
      <c r="JA78" s="40"/>
      <c r="JB78" s="40"/>
      <c r="JC78" s="40"/>
      <c r="JD78" s="40"/>
      <c r="JE78" s="40"/>
      <c r="JF78" s="40"/>
      <c r="JG78" s="40"/>
      <c r="JH78" s="40"/>
      <c r="JI78" s="40"/>
      <c r="JJ78" s="40"/>
      <c r="JK78" s="40"/>
      <c r="JL78" s="40"/>
      <c r="JM78" s="40"/>
      <c r="JN78" s="40"/>
      <c r="JO78" s="40"/>
      <c r="JP78" s="40"/>
      <c r="JQ78" s="40"/>
      <c r="JR78" s="40"/>
      <c r="JS78" s="40"/>
      <c r="JT78" s="40"/>
      <c r="JU78" s="40"/>
      <c r="JV78" s="40"/>
      <c r="JW78" s="40"/>
      <c r="JX78" s="40"/>
      <c r="JY78" s="40"/>
      <c r="JZ78" s="40"/>
      <c r="KA78" s="40"/>
      <c r="KB78" s="40"/>
      <c r="KC78" s="40"/>
      <c r="KD78" s="40"/>
      <c r="KE78" s="40"/>
      <c r="KF78" s="40"/>
      <c r="KG78" s="40"/>
      <c r="KH78" s="40"/>
      <c r="KI78" s="40"/>
      <c r="KJ78" s="40"/>
      <c r="KK78" s="40"/>
      <c r="KL78" s="40"/>
      <c r="KM78" s="40"/>
      <c r="KN78" s="40"/>
      <c r="KO78" s="40"/>
      <c r="KP78" s="2"/>
      <c r="KQ78" s="2"/>
      <c r="KR78" s="40"/>
      <c r="KS78" s="2"/>
      <c r="KT78" s="2"/>
      <c r="KU78" s="2"/>
      <c r="KV78" s="2"/>
      <c r="KW78" s="2"/>
      <c r="KX78" s="2"/>
      <c r="KY78" s="2"/>
      <c r="KZ78" s="89"/>
      <c r="LA78" s="2"/>
      <c r="LB78" s="2"/>
      <c r="LC78" s="2"/>
      <c r="LD78" s="2"/>
      <c r="LE78" s="2"/>
      <c r="LF78" s="2">
        <f t="shared" si="1"/>
        <v>3132</v>
      </c>
    </row>
    <row r="79" spans="1:318" hidden="1" x14ac:dyDescent="0.3">
      <c r="B79" s="42">
        <v>550049812</v>
      </c>
      <c r="C79" s="20" t="s">
        <v>976</v>
      </c>
      <c r="D79" s="35" t="s">
        <v>2</v>
      </c>
      <c r="E79" s="3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40"/>
      <c r="IQ79" s="40"/>
      <c r="IR79" s="40"/>
      <c r="IS79" s="40"/>
      <c r="IT79" s="40"/>
      <c r="IU79" s="40"/>
      <c r="IV79" s="40"/>
      <c r="IW79" s="40"/>
      <c r="IX79" s="40"/>
      <c r="IY79" s="40"/>
      <c r="IZ79" s="40"/>
      <c r="JA79" s="40"/>
      <c r="JB79" s="40"/>
      <c r="JC79" s="40"/>
      <c r="JD79" s="40"/>
      <c r="JE79" s="40"/>
      <c r="JF79" s="40"/>
      <c r="JG79" s="40"/>
      <c r="JH79" s="40"/>
      <c r="JI79" s="40"/>
      <c r="JJ79" s="40"/>
      <c r="JK79" s="40">
        <v>1750</v>
      </c>
      <c r="JL79" s="40"/>
      <c r="JM79" s="40"/>
      <c r="JN79" s="40"/>
      <c r="JO79" s="40"/>
      <c r="JP79" s="40"/>
      <c r="JQ79" s="40"/>
      <c r="JR79" s="40"/>
      <c r="JS79" s="40"/>
      <c r="JT79" s="40"/>
      <c r="JU79" s="40"/>
      <c r="JV79" s="40"/>
      <c r="JW79" s="40"/>
      <c r="JX79" s="40"/>
      <c r="JY79" s="40"/>
      <c r="JZ79" s="40"/>
      <c r="KA79" s="40"/>
      <c r="KB79" s="40"/>
      <c r="KC79" s="40"/>
      <c r="KD79" s="40"/>
      <c r="KE79" s="40"/>
      <c r="KF79" s="40"/>
      <c r="KG79" s="40"/>
      <c r="KH79" s="40">
        <v>1575</v>
      </c>
      <c r="KI79" s="40"/>
      <c r="KJ79" s="40"/>
      <c r="KK79" s="40"/>
      <c r="KL79" s="40"/>
      <c r="KM79" s="40"/>
      <c r="KN79" s="40"/>
      <c r="KO79" s="40"/>
      <c r="KP79" s="2"/>
      <c r="KQ79" s="12">
        <v>1</v>
      </c>
      <c r="KR79" s="40"/>
      <c r="KS79" s="2"/>
      <c r="KT79" s="2"/>
      <c r="KU79" s="2"/>
      <c r="KV79" s="2"/>
      <c r="KW79" s="2"/>
      <c r="KX79" s="2"/>
      <c r="KY79" s="2"/>
      <c r="KZ79" s="89"/>
      <c r="LA79" s="2"/>
      <c r="LB79" s="2"/>
      <c r="LC79" s="2"/>
      <c r="LD79" s="2"/>
      <c r="LE79" s="2"/>
      <c r="LF79" s="2">
        <f t="shared" si="1"/>
        <v>3326</v>
      </c>
    </row>
    <row r="80" spans="1:318" s="11" customFormat="1" hidden="1" x14ac:dyDescent="0.3">
      <c r="B80" s="42">
        <v>45372809</v>
      </c>
      <c r="C80" s="13" t="s">
        <v>155</v>
      </c>
      <c r="D80" s="35">
        <v>209</v>
      </c>
      <c r="E80" s="3"/>
      <c r="F80" s="2"/>
      <c r="G80" s="2"/>
      <c r="H80" s="2"/>
      <c r="I80" s="2"/>
      <c r="J80" s="2"/>
      <c r="K80" s="2"/>
      <c r="L80" s="2"/>
      <c r="M80" s="2"/>
      <c r="N80" s="2"/>
      <c r="O80" s="2"/>
      <c r="P80" s="2">
        <v>64</v>
      </c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>
        <v>28</v>
      </c>
      <c r="AJ80" s="2">
        <v>60</v>
      </c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>
        <f>64+48</f>
        <v>112</v>
      </c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>
        <v>64</v>
      </c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>
        <f>64</f>
        <v>64</v>
      </c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40"/>
      <c r="IQ80" s="40"/>
      <c r="IR80" s="40"/>
      <c r="IS80" s="40"/>
      <c r="IT80" s="40"/>
      <c r="IU80" s="40"/>
      <c r="IV80" s="40"/>
      <c r="IW80" s="40"/>
      <c r="IX80" s="40"/>
      <c r="IY80" s="40"/>
      <c r="IZ80" s="40"/>
      <c r="JA80" s="40"/>
      <c r="JB80" s="40"/>
      <c r="JC80" s="40"/>
      <c r="JD80" s="40"/>
      <c r="JE80" s="40"/>
      <c r="JF80" s="40"/>
      <c r="JG80" s="40"/>
      <c r="JH80" s="40">
        <v>79</v>
      </c>
      <c r="JI80" s="40"/>
      <c r="JJ80" s="40"/>
      <c r="JK80" s="40"/>
      <c r="JL80" s="40"/>
      <c r="JM80" s="40"/>
      <c r="JN80" s="40"/>
      <c r="JO80" s="40"/>
      <c r="JP80" s="40"/>
      <c r="JQ80" s="40"/>
      <c r="JR80" s="40"/>
      <c r="JS80" s="40"/>
      <c r="JT80" s="40"/>
      <c r="JU80" s="40"/>
      <c r="JV80" s="40"/>
      <c r="JW80" s="40"/>
      <c r="JX80" s="40"/>
      <c r="JY80" s="40"/>
      <c r="JZ80" s="40"/>
      <c r="KA80" s="40"/>
      <c r="KB80" s="40"/>
      <c r="KC80" s="40"/>
      <c r="KD80" s="40"/>
      <c r="KE80" s="40"/>
      <c r="KF80" s="40"/>
      <c r="KG80" s="40"/>
      <c r="KH80" s="40"/>
      <c r="KI80" s="40"/>
      <c r="KJ80" s="40"/>
      <c r="KK80" s="40"/>
      <c r="KL80" s="40"/>
      <c r="KM80" s="40"/>
      <c r="KN80" s="40"/>
      <c r="KO80" s="40"/>
      <c r="KP80" s="2"/>
      <c r="KQ80" s="2"/>
      <c r="KR80" s="40"/>
      <c r="KS80" s="2"/>
      <c r="KT80" s="2"/>
      <c r="KU80" s="2"/>
      <c r="KV80" s="2"/>
      <c r="KW80" s="2"/>
      <c r="KX80" s="2"/>
      <c r="KY80" s="2"/>
      <c r="KZ80" s="89"/>
      <c r="LA80" s="2"/>
      <c r="LB80" s="2"/>
      <c r="LC80" s="2"/>
      <c r="LD80" s="2"/>
      <c r="LE80" s="2"/>
      <c r="LF80" s="2">
        <f t="shared" si="1"/>
        <v>471</v>
      </c>
    </row>
    <row r="81" spans="1:318" s="11" customFormat="1" hidden="1" x14ac:dyDescent="0.3">
      <c r="B81" s="42">
        <v>43592855</v>
      </c>
      <c r="C81" s="89" t="s">
        <v>157</v>
      </c>
      <c r="D81" s="35" t="s">
        <v>4</v>
      </c>
      <c r="E81" s="3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>
        <v>648</v>
      </c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>
        <v>648</v>
      </c>
      <c r="FC81" s="2"/>
      <c r="FD81" s="2"/>
      <c r="FE81" s="2"/>
      <c r="FF81" s="2"/>
      <c r="FG81" s="2"/>
      <c r="FH81" s="2"/>
      <c r="FI81" s="2">
        <v>648</v>
      </c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>
        <v>468</v>
      </c>
      <c r="HK81" s="2"/>
      <c r="HL81" s="2"/>
      <c r="HM81" s="2"/>
      <c r="HN81" s="2"/>
      <c r="HO81" s="2"/>
      <c r="HP81" s="2"/>
      <c r="HQ81" s="2"/>
      <c r="HR81" s="2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40"/>
      <c r="IQ81" s="40"/>
      <c r="IR81" s="40"/>
      <c r="IS81" s="40"/>
      <c r="IT81" s="40"/>
      <c r="IU81" s="40"/>
      <c r="IV81" s="40"/>
      <c r="IW81" s="40"/>
      <c r="IX81" s="40"/>
      <c r="IY81" s="40"/>
      <c r="IZ81" s="40"/>
      <c r="JA81" s="40"/>
      <c r="JB81" s="40"/>
      <c r="JC81" s="40"/>
      <c r="JD81" s="40"/>
      <c r="JE81" s="40"/>
      <c r="JF81" s="40"/>
      <c r="JG81" s="40"/>
      <c r="JH81" s="40"/>
      <c r="JI81" s="40"/>
      <c r="JJ81" s="40"/>
      <c r="JK81" s="40"/>
      <c r="JL81" s="40"/>
      <c r="JM81" s="40"/>
      <c r="JN81" s="40"/>
      <c r="JO81" s="40"/>
      <c r="JP81" s="40"/>
      <c r="JQ81" s="40"/>
      <c r="JR81" s="40"/>
      <c r="JS81" s="40"/>
      <c r="JT81" s="40"/>
      <c r="JU81" s="40"/>
      <c r="JV81" s="40"/>
      <c r="JW81" s="40"/>
      <c r="JX81" s="40"/>
      <c r="JY81" s="40"/>
      <c r="JZ81" s="40"/>
      <c r="KA81" s="40"/>
      <c r="KB81" s="40"/>
      <c r="KC81" s="40"/>
      <c r="KD81" s="40"/>
      <c r="KE81" s="40"/>
      <c r="KF81" s="40"/>
      <c r="KG81" s="40"/>
      <c r="KH81" s="40"/>
      <c r="KI81" s="40"/>
      <c r="KJ81" s="40"/>
      <c r="KK81" s="40"/>
      <c r="KL81" s="40"/>
      <c r="KM81" s="40"/>
      <c r="KN81" s="40"/>
      <c r="KO81" s="40"/>
      <c r="KP81" s="2"/>
      <c r="KQ81" s="2"/>
      <c r="KR81" s="40"/>
      <c r="KS81" s="2"/>
      <c r="KT81" s="2"/>
      <c r="KU81" s="2"/>
      <c r="KV81" s="2"/>
      <c r="KW81" s="2"/>
      <c r="KX81" s="2"/>
      <c r="KY81" s="2"/>
      <c r="KZ81" s="89"/>
      <c r="LA81" s="2"/>
      <c r="LB81" s="2"/>
      <c r="LC81" s="2"/>
      <c r="LD81" s="2"/>
      <c r="LE81" s="2"/>
      <c r="LF81" s="2">
        <f t="shared" si="1"/>
        <v>2412</v>
      </c>
    </row>
    <row r="82" spans="1:318" s="11" customFormat="1" hidden="1" x14ac:dyDescent="0.3">
      <c r="B82" s="42">
        <v>550026919</v>
      </c>
      <c r="C82" s="13" t="s">
        <v>973</v>
      </c>
      <c r="D82" s="35" t="s">
        <v>18</v>
      </c>
      <c r="E82" s="3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40"/>
      <c r="IQ82" s="40"/>
      <c r="IR82" s="40"/>
      <c r="IS82" s="40"/>
      <c r="IT82" s="40"/>
      <c r="IU82" s="40"/>
      <c r="IV82" s="40"/>
      <c r="IW82" s="40"/>
      <c r="IX82" s="40"/>
      <c r="IY82" s="40"/>
      <c r="IZ82" s="40"/>
      <c r="JA82" s="40"/>
      <c r="JB82" s="40"/>
      <c r="JC82" s="40"/>
      <c r="JD82" s="40"/>
      <c r="JE82" s="40"/>
      <c r="JF82" s="40"/>
      <c r="JG82" s="40"/>
      <c r="JH82" s="40">
        <v>1</v>
      </c>
      <c r="JI82" s="40"/>
      <c r="JJ82" s="40"/>
      <c r="JK82" s="40"/>
      <c r="JL82" s="40"/>
      <c r="JM82" s="40"/>
      <c r="JN82" s="40"/>
      <c r="JO82" s="40"/>
      <c r="JP82" s="40"/>
      <c r="JQ82" s="40"/>
      <c r="JR82" s="40"/>
      <c r="JS82" s="40"/>
      <c r="JT82" s="40"/>
      <c r="JU82" s="40"/>
      <c r="JV82" s="40"/>
      <c r="JW82" s="40"/>
      <c r="JX82" s="40"/>
      <c r="JY82" s="40"/>
      <c r="JZ82" s="40"/>
      <c r="KA82" s="40"/>
      <c r="KB82" s="40"/>
      <c r="KC82" s="40"/>
      <c r="KD82" s="40"/>
      <c r="KE82" s="40"/>
      <c r="KF82" s="40"/>
      <c r="KG82" s="40"/>
      <c r="KH82" s="40"/>
      <c r="KI82" s="40"/>
      <c r="KJ82" s="40"/>
      <c r="KK82" s="40"/>
      <c r="KL82" s="40"/>
      <c r="KM82" s="40"/>
      <c r="KN82" s="40"/>
      <c r="KO82" s="40"/>
      <c r="KP82" s="2"/>
      <c r="KQ82" s="2"/>
      <c r="KR82" s="40"/>
      <c r="KS82" s="2"/>
      <c r="KT82" s="2"/>
      <c r="KU82" s="2"/>
      <c r="KV82" s="2"/>
      <c r="KW82" s="2"/>
      <c r="KX82" s="2"/>
      <c r="KY82" s="2"/>
      <c r="KZ82" s="89"/>
      <c r="LA82" s="2"/>
      <c r="LB82" s="2"/>
      <c r="LC82" s="2"/>
      <c r="LD82" s="2"/>
      <c r="LE82" s="2"/>
      <c r="LF82" s="2">
        <f t="shared" si="1"/>
        <v>1</v>
      </c>
    </row>
    <row r="83" spans="1:318" s="11" customFormat="1" hidden="1" x14ac:dyDescent="0.3">
      <c r="B83" s="42">
        <v>550049814</v>
      </c>
      <c r="C83" s="13" t="s">
        <v>159</v>
      </c>
      <c r="D83" s="35" t="s">
        <v>2</v>
      </c>
      <c r="E83" s="3"/>
      <c r="F83" s="2"/>
      <c r="G83" s="2"/>
      <c r="H83" s="2"/>
      <c r="I83" s="2"/>
      <c r="J83" s="2"/>
      <c r="K83" s="2">
        <v>3422</v>
      </c>
      <c r="L83" s="2"/>
      <c r="M83" s="2"/>
      <c r="N83" s="2"/>
      <c r="O83" s="2"/>
      <c r="P83" s="2"/>
      <c r="Q83" s="2"/>
      <c r="R83" s="2"/>
      <c r="S83" s="2"/>
      <c r="T83" s="2"/>
      <c r="U83" s="2"/>
      <c r="V83" s="2">
        <v>3500</v>
      </c>
      <c r="W83" s="2"/>
      <c r="X83" s="2"/>
      <c r="Y83" s="2"/>
      <c r="Z83" s="2"/>
      <c r="AA83" s="2"/>
      <c r="AB83" s="2">
        <v>3500</v>
      </c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>
        <v>3500</v>
      </c>
      <c r="AZ83" s="2"/>
      <c r="BA83" s="2"/>
      <c r="BB83" s="2"/>
      <c r="BC83" s="2"/>
      <c r="BD83" s="2"/>
      <c r="BE83" s="2"/>
      <c r="BF83" s="2"/>
      <c r="BG83" s="2"/>
      <c r="BH83" s="2">
        <v>3500</v>
      </c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>
        <v>1</v>
      </c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40"/>
      <c r="IQ83" s="40">
        <v>1750</v>
      </c>
      <c r="IR83" s="40"/>
      <c r="IS83" s="40"/>
      <c r="IT83" s="40"/>
      <c r="IU83" s="40"/>
      <c r="IV83" s="40"/>
      <c r="IW83" s="40"/>
      <c r="IX83" s="40"/>
      <c r="IY83" s="40"/>
      <c r="IZ83" s="40"/>
      <c r="JA83" s="40"/>
      <c r="JB83" s="40"/>
      <c r="JC83" s="40"/>
      <c r="JD83" s="40"/>
      <c r="JE83" s="40"/>
      <c r="JF83" s="40"/>
      <c r="JG83" s="40"/>
      <c r="JH83" s="40"/>
      <c r="JI83" s="40"/>
      <c r="JJ83" s="40"/>
      <c r="JK83" s="40">
        <v>3500</v>
      </c>
      <c r="JL83" s="40"/>
      <c r="JM83" s="40"/>
      <c r="JN83" s="40"/>
      <c r="JO83" s="40"/>
      <c r="JP83" s="40"/>
      <c r="JQ83" s="40"/>
      <c r="JR83" s="40"/>
      <c r="JS83" s="40"/>
      <c r="JT83" s="40">
        <v>700</v>
      </c>
      <c r="JU83" s="40"/>
      <c r="JV83" s="40"/>
      <c r="JW83" s="40"/>
      <c r="JX83" s="40"/>
      <c r="JY83" s="40"/>
      <c r="JZ83" s="40"/>
      <c r="KA83" s="40"/>
      <c r="KB83" s="40"/>
      <c r="KC83" s="40"/>
      <c r="KD83" s="40"/>
      <c r="KE83" s="40"/>
      <c r="KF83" s="40"/>
      <c r="KG83" s="40"/>
      <c r="KH83" s="40"/>
      <c r="KI83" s="40"/>
      <c r="KJ83" s="40"/>
      <c r="KK83" s="40"/>
      <c r="KL83" s="40"/>
      <c r="KM83" s="40"/>
      <c r="KN83" s="40"/>
      <c r="KO83" s="40"/>
      <c r="KP83" s="2"/>
      <c r="KQ83" s="2"/>
      <c r="KR83" s="40"/>
      <c r="KS83" s="2"/>
      <c r="KT83" s="2"/>
      <c r="KU83" s="2"/>
      <c r="KV83" s="2"/>
      <c r="KW83" s="2"/>
      <c r="KX83" s="2"/>
      <c r="KY83" s="2"/>
      <c r="KZ83" s="89"/>
      <c r="LA83" s="2"/>
      <c r="LB83" s="2"/>
      <c r="LC83" s="2"/>
      <c r="LD83" s="2"/>
      <c r="LE83" s="2"/>
      <c r="LF83" s="2">
        <f t="shared" si="1"/>
        <v>23373</v>
      </c>
    </row>
    <row r="84" spans="1:318" s="4" customFormat="1" hidden="1" x14ac:dyDescent="0.3">
      <c r="A84" s="11"/>
      <c r="B84" s="66"/>
      <c r="C84" s="90" t="s">
        <v>984</v>
      </c>
      <c r="D84" s="67" t="s">
        <v>905</v>
      </c>
      <c r="E84" s="47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  <c r="BB84" s="48"/>
      <c r="BC84" s="48"/>
      <c r="BD84" s="48"/>
      <c r="BE84" s="48"/>
      <c r="BF84" s="48"/>
      <c r="BG84" s="48"/>
      <c r="BH84" s="48"/>
      <c r="BI84" s="48"/>
      <c r="BJ84" s="48"/>
      <c r="BK84" s="48"/>
      <c r="BL84" s="48"/>
      <c r="BM84" s="48"/>
      <c r="BN84" s="48"/>
      <c r="BO84" s="48"/>
      <c r="BP84" s="48"/>
      <c r="BQ84" s="48"/>
      <c r="BR84" s="48"/>
      <c r="BS84" s="48"/>
      <c r="BT84" s="48"/>
      <c r="BU84" s="48"/>
      <c r="BV84" s="48"/>
      <c r="BW84" s="48"/>
      <c r="BX84" s="48"/>
      <c r="BY84" s="48"/>
      <c r="BZ84" s="48"/>
      <c r="CA84" s="48"/>
      <c r="CB84" s="48"/>
      <c r="CC84" s="48"/>
      <c r="CD84" s="48"/>
      <c r="CE84" s="48"/>
      <c r="CF84" s="48"/>
      <c r="CG84" s="48"/>
      <c r="CH84" s="48"/>
      <c r="CI84" s="48"/>
      <c r="CJ84" s="48"/>
      <c r="CK84" s="48"/>
      <c r="CL84" s="48"/>
      <c r="CM84" s="48"/>
      <c r="CN84" s="48"/>
      <c r="CO84" s="48"/>
      <c r="CP84" s="48"/>
      <c r="CQ84" s="48"/>
      <c r="CR84" s="48"/>
      <c r="CS84" s="48"/>
      <c r="CT84" s="48"/>
      <c r="CU84" s="48"/>
      <c r="CV84" s="48"/>
      <c r="CW84" s="48"/>
      <c r="CX84" s="48"/>
      <c r="CY84" s="48"/>
      <c r="CZ84" s="48"/>
      <c r="DA84" s="48"/>
      <c r="DB84" s="48"/>
      <c r="DC84" s="48"/>
      <c r="DD84" s="48"/>
      <c r="DE84" s="48"/>
      <c r="DF84" s="48"/>
      <c r="DG84" s="48"/>
      <c r="DH84" s="48"/>
      <c r="DI84" s="48"/>
      <c r="DJ84" s="48"/>
      <c r="DK84" s="48"/>
      <c r="DL84" s="48"/>
      <c r="DM84" s="48"/>
      <c r="DN84" s="48"/>
      <c r="DO84" s="48"/>
      <c r="DP84" s="48"/>
      <c r="DQ84" s="48"/>
      <c r="DR84" s="48"/>
      <c r="DS84" s="48"/>
      <c r="DT84" s="48"/>
      <c r="DU84" s="48"/>
      <c r="DV84" s="48"/>
      <c r="DW84" s="48"/>
      <c r="DX84" s="48"/>
      <c r="DY84" s="48"/>
      <c r="DZ84" s="48"/>
      <c r="EA84" s="48"/>
      <c r="EB84" s="48"/>
      <c r="EC84" s="48"/>
      <c r="ED84" s="48"/>
      <c r="EE84" s="48"/>
      <c r="EF84" s="48"/>
      <c r="EG84" s="48"/>
      <c r="EH84" s="48"/>
      <c r="EI84" s="48"/>
      <c r="EJ84" s="48"/>
      <c r="EK84" s="48"/>
      <c r="EL84" s="48"/>
      <c r="EM84" s="48"/>
      <c r="EN84" s="48"/>
      <c r="EO84" s="48"/>
      <c r="EP84" s="48"/>
      <c r="EQ84" s="48"/>
      <c r="ER84" s="48"/>
      <c r="ES84" s="48"/>
      <c r="ET84" s="48"/>
      <c r="EU84" s="48"/>
      <c r="EV84" s="48"/>
      <c r="EW84" s="48"/>
      <c r="EX84" s="48"/>
      <c r="EY84" s="48"/>
      <c r="EZ84" s="48"/>
      <c r="FA84" s="48"/>
      <c r="FB84" s="48"/>
      <c r="FC84" s="48"/>
      <c r="FD84" s="48"/>
      <c r="FE84" s="48"/>
      <c r="FF84" s="48"/>
      <c r="FG84" s="48"/>
      <c r="FH84" s="48"/>
      <c r="FI84" s="48"/>
      <c r="FJ84" s="48"/>
      <c r="FK84" s="48"/>
      <c r="FL84" s="48"/>
      <c r="FM84" s="48"/>
      <c r="FN84" s="48"/>
      <c r="FO84" s="48"/>
      <c r="FP84" s="48"/>
      <c r="FQ84" s="48"/>
      <c r="FR84" s="48"/>
      <c r="FS84" s="48"/>
      <c r="FT84" s="48"/>
      <c r="FU84" s="48"/>
      <c r="FV84" s="48"/>
      <c r="FW84" s="48"/>
      <c r="FX84" s="48"/>
      <c r="FY84" s="48"/>
      <c r="FZ84" s="48"/>
      <c r="GA84" s="48"/>
      <c r="GB84" s="48"/>
      <c r="GC84" s="48"/>
      <c r="GD84" s="48"/>
      <c r="GE84" s="48"/>
      <c r="GF84" s="48"/>
      <c r="GG84" s="48"/>
      <c r="GH84" s="48"/>
      <c r="GI84" s="48"/>
      <c r="GJ84" s="48"/>
      <c r="GK84" s="48"/>
      <c r="GL84" s="48"/>
      <c r="GM84" s="48"/>
      <c r="GN84" s="48"/>
      <c r="GO84" s="48"/>
      <c r="GP84" s="48"/>
      <c r="GQ84" s="48"/>
      <c r="GR84" s="48"/>
      <c r="GS84" s="48"/>
      <c r="GT84" s="48"/>
      <c r="GU84" s="48"/>
      <c r="GV84" s="48"/>
      <c r="GW84" s="48"/>
      <c r="GX84" s="48"/>
      <c r="GY84" s="48"/>
      <c r="GZ84" s="48"/>
      <c r="HA84" s="48"/>
      <c r="HB84" s="48"/>
      <c r="HC84" s="48"/>
      <c r="HD84" s="48"/>
      <c r="HE84" s="48"/>
      <c r="HF84" s="48"/>
      <c r="HG84" s="48"/>
      <c r="HH84" s="48"/>
      <c r="HI84" s="48"/>
      <c r="HJ84" s="48"/>
      <c r="HK84" s="48"/>
      <c r="HL84" s="48"/>
      <c r="HM84" s="48"/>
      <c r="HN84" s="48"/>
      <c r="HO84" s="48"/>
      <c r="HP84" s="48"/>
      <c r="HQ84" s="48"/>
      <c r="HR84" s="48"/>
      <c r="HS84" s="45"/>
      <c r="HT84" s="45"/>
      <c r="HU84" s="45"/>
      <c r="HV84" s="45"/>
      <c r="HW84" s="45"/>
      <c r="HX84" s="45"/>
      <c r="HY84" s="45"/>
      <c r="HZ84" s="45"/>
      <c r="IA84" s="45"/>
      <c r="IB84" s="45"/>
      <c r="IC84" s="45"/>
      <c r="ID84" s="45"/>
      <c r="IE84" s="45"/>
      <c r="IF84" s="45"/>
      <c r="IG84" s="45"/>
      <c r="IH84" s="45"/>
      <c r="II84" s="45"/>
      <c r="IJ84" s="45"/>
      <c r="IK84" s="45"/>
      <c r="IL84" s="45"/>
      <c r="IM84" s="45"/>
      <c r="IN84" s="45"/>
      <c r="IO84" s="45"/>
      <c r="IP84" s="45"/>
      <c r="IQ84" s="45"/>
      <c r="IR84" s="45"/>
      <c r="IS84" s="45"/>
      <c r="IT84" s="45"/>
      <c r="IU84" s="45"/>
      <c r="IV84" s="45"/>
      <c r="IW84" s="45"/>
      <c r="IX84" s="45"/>
      <c r="IY84" s="45"/>
      <c r="IZ84" s="45"/>
      <c r="JA84" s="45"/>
      <c r="JB84" s="45"/>
      <c r="JC84" s="45"/>
      <c r="JD84" s="45"/>
      <c r="JE84" s="45"/>
      <c r="JF84" s="45"/>
      <c r="JG84" s="45"/>
      <c r="JH84" s="45">
        <v>8</v>
      </c>
      <c r="JI84" s="45"/>
      <c r="JJ84" s="45"/>
      <c r="JK84" s="45"/>
      <c r="JL84" s="45"/>
      <c r="JM84" s="45"/>
      <c r="JN84" s="45"/>
      <c r="JO84" s="45"/>
      <c r="JP84" s="45"/>
      <c r="JQ84" s="45"/>
      <c r="JR84" s="45"/>
      <c r="JS84" s="45"/>
      <c r="JT84" s="45"/>
      <c r="JU84" s="45"/>
      <c r="JV84" s="45"/>
      <c r="JW84" s="45"/>
      <c r="JX84" s="45"/>
      <c r="JY84" s="45"/>
      <c r="JZ84" s="45"/>
      <c r="KA84" s="45"/>
      <c r="KB84" s="45"/>
      <c r="KC84" s="45"/>
      <c r="KD84" s="45"/>
      <c r="KE84" s="45"/>
      <c r="KF84" s="45"/>
      <c r="KG84" s="45"/>
      <c r="KH84" s="45"/>
      <c r="KI84" s="45"/>
      <c r="KJ84" s="45"/>
      <c r="KK84" s="45"/>
      <c r="KL84" s="45"/>
      <c r="KM84" s="45"/>
      <c r="KN84" s="45"/>
      <c r="KO84" s="45"/>
      <c r="KP84" s="2"/>
      <c r="KQ84" s="2"/>
      <c r="KR84" s="40"/>
      <c r="KS84" s="2"/>
      <c r="KT84" s="2"/>
      <c r="KU84" s="2"/>
      <c r="KV84" s="2"/>
      <c r="KW84" s="2"/>
      <c r="KX84" s="2"/>
      <c r="KY84" s="2"/>
      <c r="KZ84" s="108"/>
      <c r="LA84" s="2"/>
      <c r="LB84" s="2"/>
      <c r="LC84" s="2"/>
      <c r="LD84" s="2"/>
      <c r="LE84" s="2"/>
      <c r="LF84" s="2">
        <f t="shared" si="1"/>
        <v>8</v>
      </c>
    </row>
    <row r="85" spans="1:318" s="4" customFormat="1" hidden="1" x14ac:dyDescent="0.3">
      <c r="A85" s="11"/>
      <c r="B85" s="79">
        <v>550026900</v>
      </c>
      <c r="C85" s="2" t="s">
        <v>161</v>
      </c>
      <c r="D85" s="71" t="s">
        <v>18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>
        <v>48</v>
      </c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>
        <v>48</v>
      </c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40"/>
      <c r="KS85" s="2"/>
      <c r="KT85" s="2"/>
      <c r="KU85" s="2"/>
      <c r="KV85" s="2"/>
      <c r="KW85" s="2"/>
      <c r="KX85" s="2"/>
      <c r="KY85" s="2"/>
      <c r="KZ85" s="89"/>
      <c r="LA85" s="2"/>
      <c r="LB85" s="2"/>
      <c r="LC85" s="2"/>
      <c r="LD85" s="2"/>
      <c r="LE85" s="2"/>
      <c r="LF85" s="2">
        <f t="shared" si="1"/>
        <v>96</v>
      </c>
    </row>
    <row r="86" spans="1:318" hidden="1" x14ac:dyDescent="0.3">
      <c r="B86" s="73">
        <v>550026907</v>
      </c>
      <c r="C86" s="74" t="s">
        <v>163</v>
      </c>
      <c r="D86" s="75" t="s">
        <v>18</v>
      </c>
      <c r="E86" s="76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  <c r="BF86" s="77"/>
      <c r="BG86" s="77"/>
      <c r="BH86" s="77"/>
      <c r="BI86" s="77"/>
      <c r="BJ86" s="77"/>
      <c r="BK86" s="77"/>
      <c r="BL86" s="77"/>
      <c r="BM86" s="77"/>
      <c r="BN86" s="77"/>
      <c r="BO86" s="77"/>
      <c r="BP86" s="77"/>
      <c r="BQ86" s="77"/>
      <c r="BR86" s="77"/>
      <c r="BS86" s="77"/>
      <c r="BT86" s="77"/>
      <c r="BU86" s="77"/>
      <c r="BV86" s="77"/>
      <c r="BW86" s="77"/>
      <c r="BX86" s="77"/>
      <c r="BY86" s="77"/>
      <c r="BZ86" s="77"/>
      <c r="CA86" s="77"/>
      <c r="CB86" s="77"/>
      <c r="CC86" s="77"/>
      <c r="CD86" s="77"/>
      <c r="CE86" s="77"/>
      <c r="CF86" s="77"/>
      <c r="CG86" s="77"/>
      <c r="CH86" s="77"/>
      <c r="CI86" s="77"/>
      <c r="CJ86" s="77"/>
      <c r="CK86" s="77"/>
      <c r="CL86" s="77"/>
      <c r="CM86" s="77"/>
      <c r="CN86" s="77"/>
      <c r="CO86" s="77"/>
      <c r="CP86" s="77"/>
      <c r="CQ86" s="77"/>
      <c r="CR86" s="77"/>
      <c r="CS86" s="77"/>
      <c r="CT86" s="77"/>
      <c r="CU86" s="77"/>
      <c r="CV86" s="77"/>
      <c r="CW86" s="77"/>
      <c r="CX86" s="77"/>
      <c r="CY86" s="77"/>
      <c r="CZ86" s="77"/>
      <c r="DA86" s="77"/>
      <c r="DB86" s="77"/>
      <c r="DC86" s="77"/>
      <c r="DD86" s="77"/>
      <c r="DE86" s="77"/>
      <c r="DF86" s="77"/>
      <c r="DG86" s="77"/>
      <c r="DH86" s="77"/>
      <c r="DI86" s="77"/>
      <c r="DJ86" s="77"/>
      <c r="DK86" s="77"/>
      <c r="DL86" s="77"/>
      <c r="DM86" s="77"/>
      <c r="DN86" s="77"/>
      <c r="DO86" s="77"/>
      <c r="DP86" s="77"/>
      <c r="DQ86" s="77"/>
      <c r="DR86" s="77"/>
      <c r="DS86" s="77"/>
      <c r="DT86" s="77"/>
      <c r="DU86" s="77"/>
      <c r="DV86" s="77"/>
      <c r="DW86" s="77"/>
      <c r="DX86" s="77"/>
      <c r="DY86" s="77"/>
      <c r="DZ86" s="77"/>
      <c r="EA86" s="77"/>
      <c r="EB86" s="77"/>
      <c r="EC86" s="77"/>
      <c r="ED86" s="77"/>
      <c r="EE86" s="77"/>
      <c r="EF86" s="77"/>
      <c r="EG86" s="77"/>
      <c r="EH86" s="77"/>
      <c r="EI86" s="77"/>
      <c r="EJ86" s="77"/>
      <c r="EK86" s="77"/>
      <c r="EL86" s="77"/>
      <c r="EM86" s="77"/>
      <c r="EN86" s="77"/>
      <c r="EO86" s="77"/>
      <c r="EP86" s="77"/>
      <c r="EQ86" s="77"/>
      <c r="ER86" s="77"/>
      <c r="ES86" s="77"/>
      <c r="ET86" s="77"/>
      <c r="EU86" s="77"/>
      <c r="EV86" s="77"/>
      <c r="EW86" s="77"/>
      <c r="EX86" s="77"/>
      <c r="EY86" s="77"/>
      <c r="EZ86" s="77"/>
      <c r="FA86" s="77"/>
      <c r="FB86" s="77"/>
      <c r="FC86" s="77"/>
      <c r="FD86" s="77"/>
      <c r="FE86" s="77"/>
      <c r="FF86" s="77"/>
      <c r="FG86" s="77"/>
      <c r="FH86" s="77"/>
      <c r="FI86" s="77"/>
      <c r="FJ86" s="77"/>
      <c r="FK86" s="77"/>
      <c r="FL86" s="77">
        <v>48</v>
      </c>
      <c r="FM86" s="77"/>
      <c r="FN86" s="77"/>
      <c r="FO86" s="77"/>
      <c r="FP86" s="77"/>
      <c r="FQ86" s="77"/>
      <c r="FR86" s="77"/>
      <c r="FS86" s="77"/>
      <c r="FT86" s="77"/>
      <c r="FU86" s="77"/>
      <c r="FV86" s="77"/>
      <c r="FW86" s="77"/>
      <c r="FX86" s="77"/>
      <c r="FY86" s="77"/>
      <c r="FZ86" s="77"/>
      <c r="GA86" s="77"/>
      <c r="GB86" s="77"/>
      <c r="GC86" s="77"/>
      <c r="GD86" s="77"/>
      <c r="GE86" s="77"/>
      <c r="GF86" s="77"/>
      <c r="GG86" s="77"/>
      <c r="GH86" s="77"/>
      <c r="GI86" s="77"/>
      <c r="GJ86" s="77"/>
      <c r="GK86" s="77"/>
      <c r="GL86" s="77"/>
      <c r="GM86" s="77"/>
      <c r="GN86" s="77"/>
      <c r="GO86" s="77"/>
      <c r="GP86" s="77"/>
      <c r="GQ86" s="77"/>
      <c r="GR86" s="77"/>
      <c r="GS86" s="77"/>
      <c r="GT86" s="77"/>
      <c r="GU86" s="77"/>
      <c r="GV86" s="77"/>
      <c r="GW86" s="77"/>
      <c r="GX86" s="77"/>
      <c r="GY86" s="77"/>
      <c r="GZ86" s="77"/>
      <c r="HA86" s="77"/>
      <c r="HB86" s="77"/>
      <c r="HC86" s="77"/>
      <c r="HD86" s="77"/>
      <c r="HE86" s="77"/>
      <c r="HF86" s="77"/>
      <c r="HG86" s="77"/>
      <c r="HH86" s="77"/>
      <c r="HI86" s="77"/>
      <c r="HJ86" s="77"/>
      <c r="HK86" s="77"/>
      <c r="HL86" s="77"/>
      <c r="HM86" s="77"/>
      <c r="HN86" s="77"/>
      <c r="HO86" s="77"/>
      <c r="HP86" s="77"/>
      <c r="HQ86" s="77"/>
      <c r="HR86" s="77"/>
      <c r="HS86" s="78"/>
      <c r="HT86" s="78"/>
      <c r="HU86" s="78"/>
      <c r="HV86" s="78"/>
      <c r="HW86" s="78"/>
      <c r="HX86" s="78"/>
      <c r="HY86" s="78"/>
      <c r="HZ86" s="78"/>
      <c r="IA86" s="78"/>
      <c r="IB86" s="78"/>
      <c r="IC86" s="78"/>
      <c r="ID86" s="78"/>
      <c r="IE86" s="78"/>
      <c r="IF86" s="78"/>
      <c r="IG86" s="78"/>
      <c r="IH86" s="78"/>
      <c r="II86" s="78"/>
      <c r="IJ86" s="78"/>
      <c r="IK86" s="78"/>
      <c r="IL86" s="78"/>
      <c r="IM86" s="78"/>
      <c r="IN86" s="78"/>
      <c r="IO86" s="78"/>
      <c r="IP86" s="78"/>
      <c r="IQ86" s="78"/>
      <c r="IR86" s="78"/>
      <c r="IS86" s="78">
        <v>48</v>
      </c>
      <c r="IT86" s="78"/>
      <c r="IU86" s="78"/>
      <c r="IV86" s="78"/>
      <c r="IW86" s="78"/>
      <c r="IX86" s="78"/>
      <c r="IY86" s="78"/>
      <c r="IZ86" s="78"/>
      <c r="JA86" s="78"/>
      <c r="JB86" s="78"/>
      <c r="JC86" s="78"/>
      <c r="JD86" s="78"/>
      <c r="JE86" s="78"/>
      <c r="JF86" s="78"/>
      <c r="JG86" s="78"/>
      <c r="JH86" s="78"/>
      <c r="JI86" s="78"/>
      <c r="JJ86" s="78"/>
      <c r="JK86" s="78"/>
      <c r="JL86" s="78"/>
      <c r="JM86" s="78"/>
      <c r="JN86" s="78"/>
      <c r="JO86" s="78"/>
      <c r="JP86" s="78"/>
      <c r="JQ86" s="78"/>
      <c r="JR86" s="78"/>
      <c r="JS86" s="78"/>
      <c r="JT86" s="78"/>
      <c r="JU86" s="78"/>
      <c r="JV86" s="78"/>
      <c r="JW86" s="78"/>
      <c r="JX86" s="78"/>
      <c r="JY86" s="78"/>
      <c r="JZ86" s="78"/>
      <c r="KA86" s="78"/>
      <c r="KB86" s="78"/>
      <c r="KC86" s="78"/>
      <c r="KD86" s="78"/>
      <c r="KE86" s="78"/>
      <c r="KF86" s="78"/>
      <c r="KG86" s="78"/>
      <c r="KH86" s="78"/>
      <c r="KI86" s="78"/>
      <c r="KJ86" s="78"/>
      <c r="KK86" s="78"/>
      <c r="KL86" s="78"/>
      <c r="KM86" s="78"/>
      <c r="KN86" s="78"/>
      <c r="KO86" s="78"/>
      <c r="KP86" s="2"/>
      <c r="KQ86" s="2"/>
      <c r="KR86" s="40"/>
      <c r="KS86" s="2"/>
      <c r="KT86" s="2"/>
      <c r="KU86" s="2"/>
      <c r="KV86" s="2"/>
      <c r="KW86" s="2"/>
      <c r="KX86" s="2"/>
      <c r="KY86" s="2"/>
      <c r="KZ86" s="107"/>
      <c r="LA86" s="2"/>
      <c r="LB86" s="2"/>
      <c r="LC86" s="2"/>
      <c r="LD86" s="2"/>
      <c r="LE86" s="2"/>
      <c r="LF86" s="2">
        <f t="shared" si="1"/>
        <v>96</v>
      </c>
    </row>
    <row r="87" spans="1:318" s="11" customFormat="1" hidden="1" x14ac:dyDescent="0.3">
      <c r="B87" s="42">
        <v>550026902</v>
      </c>
      <c r="C87" s="13" t="s">
        <v>995</v>
      </c>
      <c r="D87" s="35" t="s">
        <v>18</v>
      </c>
      <c r="E87" s="3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40"/>
      <c r="HT87" s="40"/>
      <c r="HU87" s="40"/>
      <c r="HV87" s="40"/>
      <c r="HW87" s="40"/>
      <c r="HX87" s="40"/>
      <c r="HY87" s="40"/>
      <c r="HZ87" s="40"/>
      <c r="IA87" s="40"/>
      <c r="IB87" s="40"/>
      <c r="IC87" s="40"/>
      <c r="ID87" s="40"/>
      <c r="IE87" s="40"/>
      <c r="IF87" s="40"/>
      <c r="IG87" s="40"/>
      <c r="IH87" s="40"/>
      <c r="II87" s="40"/>
      <c r="IJ87" s="40"/>
      <c r="IK87" s="40"/>
      <c r="IL87" s="40"/>
      <c r="IM87" s="40"/>
      <c r="IN87" s="40"/>
      <c r="IO87" s="40"/>
      <c r="IP87" s="40"/>
      <c r="IQ87" s="40"/>
      <c r="IR87" s="40"/>
      <c r="IS87" s="40"/>
      <c r="IT87" s="40"/>
      <c r="IU87" s="40"/>
      <c r="IV87" s="40"/>
      <c r="IW87" s="40"/>
      <c r="IX87" s="40"/>
      <c r="IY87" s="40"/>
      <c r="IZ87" s="40"/>
      <c r="JA87" s="40"/>
      <c r="JB87" s="40"/>
      <c r="JC87" s="40"/>
      <c r="JD87" s="40"/>
      <c r="JE87" s="40"/>
      <c r="JF87" s="40"/>
      <c r="JG87" s="40"/>
      <c r="JH87" s="40"/>
      <c r="JI87" s="40"/>
      <c r="JJ87" s="40"/>
      <c r="JK87" s="40"/>
      <c r="JL87" s="40"/>
      <c r="JM87" s="40"/>
      <c r="JN87" s="40"/>
      <c r="JO87" s="40"/>
      <c r="JP87" s="40"/>
      <c r="JQ87" s="40"/>
      <c r="JR87" s="40">
        <v>96</v>
      </c>
      <c r="JS87" s="40"/>
      <c r="JT87" s="40"/>
      <c r="JU87" s="40"/>
      <c r="JV87" s="40"/>
      <c r="JW87" s="40"/>
      <c r="JX87" s="40"/>
      <c r="JY87" s="40"/>
      <c r="JZ87" s="40"/>
      <c r="KA87" s="40"/>
      <c r="KB87" s="40"/>
      <c r="KC87" s="40"/>
      <c r="KD87" s="40"/>
      <c r="KE87" s="40"/>
      <c r="KF87" s="40"/>
      <c r="KG87" s="40"/>
      <c r="KH87" s="40"/>
      <c r="KI87" s="40"/>
      <c r="KJ87" s="40"/>
      <c r="KK87" s="40"/>
      <c r="KL87" s="40"/>
      <c r="KM87" s="40"/>
      <c r="KN87" s="40"/>
      <c r="KO87" s="40"/>
      <c r="KP87" s="2"/>
      <c r="KQ87" s="2"/>
      <c r="KR87" s="40"/>
      <c r="KS87" s="2"/>
      <c r="KT87" s="2"/>
      <c r="KU87" s="2"/>
      <c r="KV87" s="2"/>
      <c r="KW87" s="2"/>
      <c r="KX87" s="2"/>
      <c r="KY87" s="2"/>
      <c r="KZ87" s="89"/>
      <c r="LA87" s="2"/>
      <c r="LB87" s="2"/>
      <c r="LC87" s="2"/>
      <c r="LD87" s="2"/>
      <c r="LE87" s="2"/>
      <c r="LF87" s="2">
        <f t="shared" si="1"/>
        <v>96</v>
      </c>
    </row>
    <row r="88" spans="1:318" s="11" customFormat="1" hidden="1" x14ac:dyDescent="0.3">
      <c r="B88" s="42">
        <v>550026891</v>
      </c>
      <c r="C88" s="13" t="s">
        <v>165</v>
      </c>
      <c r="D88" s="35" t="s">
        <v>5</v>
      </c>
      <c r="E88" s="3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>
        <v>244</v>
      </c>
      <c r="BG88" s="2"/>
      <c r="BH88" s="2">
        <v>840</v>
      </c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>
        <f>336</f>
        <v>336</v>
      </c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>
        <f>840</f>
        <v>840</v>
      </c>
      <c r="GT88" s="2"/>
      <c r="GU88" s="2"/>
      <c r="GV88" s="2"/>
      <c r="GW88" s="2"/>
      <c r="GX88" s="2"/>
      <c r="GY88" s="2">
        <v>420</v>
      </c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40"/>
      <c r="HT88" s="40"/>
      <c r="HU88" s="40"/>
      <c r="HV88" s="40"/>
      <c r="HW88" s="40"/>
      <c r="HX88" s="40"/>
      <c r="HY88" s="40"/>
      <c r="HZ88" s="40"/>
      <c r="IA88" s="40"/>
      <c r="IB88" s="40"/>
      <c r="IC88" s="40"/>
      <c r="ID88" s="40"/>
      <c r="IE88" s="40"/>
      <c r="IF88" s="40"/>
      <c r="IG88" s="40"/>
      <c r="IH88" s="40"/>
      <c r="II88" s="40"/>
      <c r="IJ88" s="40"/>
      <c r="IK88" s="40"/>
      <c r="IL88" s="40"/>
      <c r="IM88" s="40"/>
      <c r="IN88" s="40"/>
      <c r="IO88" s="40"/>
      <c r="IP88" s="40"/>
      <c r="IQ88" s="40">
        <v>210</v>
      </c>
      <c r="IR88" s="40"/>
      <c r="IS88" s="40"/>
      <c r="IT88" s="40"/>
      <c r="IU88" s="40"/>
      <c r="IV88" s="40"/>
      <c r="IW88" s="40"/>
      <c r="IX88" s="40"/>
      <c r="IY88" s="40"/>
      <c r="IZ88" s="40"/>
      <c r="JA88" s="40"/>
      <c r="JB88" s="40"/>
      <c r="JC88" s="40"/>
      <c r="JD88" s="40"/>
      <c r="JE88" s="40"/>
      <c r="JF88" s="40"/>
      <c r="JG88" s="40"/>
      <c r="JH88" s="40"/>
      <c r="JI88" s="40"/>
      <c r="JJ88" s="40"/>
      <c r="JK88" s="40"/>
      <c r="JL88" s="40"/>
      <c r="JM88" s="40"/>
      <c r="JN88" s="40"/>
      <c r="JO88" s="40"/>
      <c r="JP88" s="40"/>
      <c r="JQ88" s="40"/>
      <c r="JR88" s="40"/>
      <c r="JS88" s="40"/>
      <c r="JT88" s="40">
        <v>420</v>
      </c>
      <c r="JU88" s="40"/>
      <c r="JV88" s="40"/>
      <c r="JW88" s="40"/>
      <c r="JX88" s="40"/>
      <c r="JY88" s="40"/>
      <c r="JZ88" s="40"/>
      <c r="KA88" s="40"/>
      <c r="KB88" s="40"/>
      <c r="KC88" s="40"/>
      <c r="KD88" s="40"/>
      <c r="KE88" s="40"/>
      <c r="KF88" s="40"/>
      <c r="KG88" s="40"/>
      <c r="KH88" s="40"/>
      <c r="KI88" s="40"/>
      <c r="KJ88" s="40"/>
      <c r="KK88" s="40"/>
      <c r="KL88" s="40"/>
      <c r="KM88" s="40"/>
      <c r="KN88" s="40"/>
      <c r="KO88" s="40"/>
      <c r="KP88" s="2"/>
      <c r="KQ88" s="2"/>
      <c r="KR88" s="40"/>
      <c r="KS88" s="2">
        <v>252</v>
      </c>
      <c r="KT88" s="2"/>
      <c r="KU88" s="2"/>
      <c r="KV88" s="2"/>
      <c r="KW88" s="2"/>
      <c r="KX88" s="2"/>
      <c r="KY88" s="2"/>
      <c r="KZ88" s="89"/>
      <c r="LA88" s="2"/>
      <c r="LB88" s="2"/>
      <c r="LC88" s="2"/>
      <c r="LD88" s="2"/>
      <c r="LE88" s="2"/>
      <c r="LF88" s="2">
        <f t="shared" si="1"/>
        <v>3562</v>
      </c>
    </row>
    <row r="89" spans="1:318" s="11" customFormat="1" hidden="1" x14ac:dyDescent="0.3">
      <c r="B89" s="42">
        <v>550056833</v>
      </c>
      <c r="C89" s="13" t="s">
        <v>1015</v>
      </c>
      <c r="D89" s="35" t="s">
        <v>3</v>
      </c>
      <c r="E89" s="3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40"/>
      <c r="HT89" s="40"/>
      <c r="HU89" s="40"/>
      <c r="HV89" s="40"/>
      <c r="HW89" s="40"/>
      <c r="HX89" s="40"/>
      <c r="HY89" s="40"/>
      <c r="HZ89" s="40"/>
      <c r="IA89" s="40"/>
      <c r="IB89" s="40"/>
      <c r="IC89" s="40"/>
      <c r="ID89" s="40"/>
      <c r="IE89" s="40"/>
      <c r="IF89" s="40"/>
      <c r="IG89" s="40"/>
      <c r="IH89" s="40"/>
      <c r="II89" s="40"/>
      <c r="IJ89" s="40"/>
      <c r="IK89" s="40"/>
      <c r="IL89" s="40"/>
      <c r="IM89" s="40"/>
      <c r="IN89" s="40"/>
      <c r="IO89" s="40"/>
      <c r="IP89" s="40"/>
      <c r="IQ89" s="40"/>
      <c r="IR89" s="40"/>
      <c r="IS89" s="40"/>
      <c r="IT89" s="40"/>
      <c r="IU89" s="40"/>
      <c r="IV89" s="40"/>
      <c r="IW89" s="40"/>
      <c r="IX89" s="40"/>
      <c r="IY89" s="40"/>
      <c r="IZ89" s="40"/>
      <c r="JA89" s="40"/>
      <c r="JB89" s="40"/>
      <c r="JC89" s="40"/>
      <c r="JD89" s="40"/>
      <c r="JE89" s="40"/>
      <c r="JF89" s="40"/>
      <c r="JG89" s="40"/>
      <c r="JH89" s="40"/>
      <c r="JI89" s="40"/>
      <c r="JJ89" s="40"/>
      <c r="JK89" s="40"/>
      <c r="JL89" s="40"/>
      <c r="JM89" s="40"/>
      <c r="JN89" s="40"/>
      <c r="JO89" s="40"/>
      <c r="JP89" s="40"/>
      <c r="JQ89" s="40"/>
      <c r="JR89" s="40"/>
      <c r="JS89" s="40"/>
      <c r="JT89" s="40">
        <v>960</v>
      </c>
      <c r="JU89" s="40"/>
      <c r="JV89" s="40"/>
      <c r="JW89" s="40"/>
      <c r="JX89" s="40"/>
      <c r="JY89" s="40">
        <v>2</v>
      </c>
      <c r="JZ89" s="40"/>
      <c r="KA89" s="40"/>
      <c r="KB89" s="40"/>
      <c r="KC89" s="40"/>
      <c r="KD89" s="40"/>
      <c r="KE89" s="40"/>
      <c r="KF89" s="40"/>
      <c r="KG89" s="40"/>
      <c r="KH89" s="40"/>
      <c r="KI89" s="40"/>
      <c r="KJ89" s="40"/>
      <c r="KK89" s="40"/>
      <c r="KL89" s="40"/>
      <c r="KM89" s="40">
        <v>1248</v>
      </c>
      <c r="KN89" s="40"/>
      <c r="KO89" s="40"/>
      <c r="KP89" s="2"/>
      <c r="KQ89" s="12">
        <v>1</v>
      </c>
      <c r="KR89" s="40"/>
      <c r="KS89" s="2"/>
      <c r="KT89" s="2"/>
      <c r="KU89" s="2"/>
      <c r="KV89" s="2"/>
      <c r="KW89" s="2"/>
      <c r="KX89" s="2"/>
      <c r="KY89" s="2"/>
      <c r="KZ89" s="89"/>
      <c r="LA89" s="2"/>
      <c r="LB89" s="2"/>
      <c r="LC89" s="2"/>
      <c r="LD89" s="2"/>
      <c r="LE89" s="2"/>
      <c r="LF89" s="2">
        <f t="shared" si="1"/>
        <v>2211</v>
      </c>
    </row>
    <row r="90" spans="1:318" s="11" customFormat="1" hidden="1" x14ac:dyDescent="0.3">
      <c r="B90" s="42">
        <v>550050052</v>
      </c>
      <c r="C90" s="89" t="s">
        <v>167</v>
      </c>
      <c r="D90" s="10" t="s">
        <v>2</v>
      </c>
      <c r="E90" s="47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48"/>
      <c r="BB90" s="48"/>
      <c r="BC90" s="48"/>
      <c r="BD90" s="48"/>
      <c r="BE90" s="48"/>
      <c r="BF90" s="48"/>
      <c r="BG90" s="48"/>
      <c r="BH90" s="48">
        <v>3500</v>
      </c>
      <c r="BI90" s="48"/>
      <c r="BJ90" s="48">
        <v>3500</v>
      </c>
      <c r="BK90" s="48"/>
      <c r="BL90" s="48"/>
      <c r="BM90" s="48"/>
      <c r="BN90" s="48"/>
      <c r="BO90" s="48"/>
      <c r="BP90" s="48"/>
      <c r="BQ90" s="48"/>
      <c r="BR90" s="48"/>
      <c r="BS90" s="48"/>
      <c r="BT90" s="48"/>
      <c r="BU90" s="48"/>
      <c r="BV90" s="48"/>
      <c r="BW90" s="48"/>
      <c r="BX90" s="48"/>
      <c r="BY90" s="48"/>
      <c r="BZ90" s="48"/>
      <c r="CA90" s="48"/>
      <c r="CB90" s="48"/>
      <c r="CC90" s="48"/>
      <c r="CD90" s="48"/>
      <c r="CE90" s="48"/>
      <c r="CF90" s="48"/>
      <c r="CG90" s="48"/>
      <c r="CH90" s="48"/>
      <c r="CI90" s="48"/>
      <c r="CJ90" s="48"/>
      <c r="CK90" s="48"/>
      <c r="CL90" s="48"/>
      <c r="CM90" s="48"/>
      <c r="CN90" s="48"/>
      <c r="CO90" s="48"/>
      <c r="CP90" s="48"/>
      <c r="CQ90" s="48"/>
      <c r="CR90" s="48"/>
      <c r="CS90" s="48"/>
      <c r="CT90" s="48"/>
      <c r="CU90" s="48"/>
      <c r="CV90" s="48"/>
      <c r="CW90" s="48"/>
      <c r="CX90" s="48"/>
      <c r="CY90" s="48"/>
      <c r="CZ90" s="48"/>
      <c r="DA90" s="48"/>
      <c r="DB90" s="48"/>
      <c r="DC90" s="48"/>
      <c r="DD90" s="48"/>
      <c r="DE90" s="48"/>
      <c r="DF90" s="48"/>
      <c r="DG90" s="48"/>
      <c r="DH90" s="48"/>
      <c r="DI90" s="48"/>
      <c r="DJ90" s="48"/>
      <c r="DK90" s="48"/>
      <c r="DL90" s="48"/>
      <c r="DM90" s="48"/>
      <c r="DN90" s="48"/>
      <c r="DO90" s="48"/>
      <c r="DP90" s="48"/>
      <c r="DQ90" s="48"/>
      <c r="DR90" s="48"/>
      <c r="DS90" s="48"/>
      <c r="DT90" s="48"/>
      <c r="DU90" s="48"/>
      <c r="DV90" s="48"/>
      <c r="DW90" s="48"/>
      <c r="DX90" s="48"/>
      <c r="DY90" s="48"/>
      <c r="DZ90" s="48"/>
      <c r="EA90" s="48"/>
      <c r="EB90" s="48"/>
      <c r="EC90" s="48"/>
      <c r="ED90" s="48"/>
      <c r="EE90" s="48"/>
      <c r="EF90" s="48"/>
      <c r="EG90" s="48">
        <v>175</v>
      </c>
      <c r="EH90" s="48"/>
      <c r="EI90" s="48"/>
      <c r="EJ90" s="48"/>
      <c r="EK90" s="48"/>
      <c r="EL90" s="48"/>
      <c r="EM90" s="48"/>
      <c r="EN90" s="48"/>
      <c r="EO90" s="48"/>
      <c r="EP90" s="48"/>
      <c r="EQ90" s="48"/>
      <c r="ER90" s="48"/>
      <c r="ES90" s="48"/>
      <c r="ET90" s="48"/>
      <c r="EU90" s="48"/>
      <c r="EV90" s="48"/>
      <c r="EW90" s="48"/>
      <c r="EX90" s="48"/>
      <c r="EY90" s="48"/>
      <c r="EZ90" s="48"/>
      <c r="FA90" s="48"/>
      <c r="FB90" s="48"/>
      <c r="FC90" s="48"/>
      <c r="FD90" s="48"/>
      <c r="FE90" s="48"/>
      <c r="FF90" s="48"/>
      <c r="FG90" s="48"/>
      <c r="FH90" s="48"/>
      <c r="FI90" s="48"/>
      <c r="FJ90" s="48"/>
      <c r="FK90" s="48"/>
      <c r="FL90" s="48"/>
      <c r="FM90" s="48"/>
      <c r="FN90" s="48"/>
      <c r="FO90" s="48"/>
      <c r="FP90" s="48"/>
      <c r="FQ90" s="48"/>
      <c r="FR90" s="48"/>
      <c r="FS90" s="48"/>
      <c r="FT90" s="48"/>
      <c r="FU90" s="48"/>
      <c r="FV90" s="48"/>
      <c r="FW90" s="48"/>
      <c r="FX90" s="48"/>
      <c r="FY90" s="48"/>
      <c r="FZ90" s="48"/>
      <c r="GA90" s="48"/>
      <c r="GB90" s="48"/>
      <c r="GC90" s="48"/>
      <c r="GD90" s="48"/>
      <c r="GE90" s="48"/>
      <c r="GF90" s="48"/>
      <c r="GG90" s="48"/>
      <c r="GH90" s="48"/>
      <c r="GI90" s="48"/>
      <c r="GJ90" s="48"/>
      <c r="GK90" s="48"/>
      <c r="GL90" s="48"/>
      <c r="GM90" s="48"/>
      <c r="GN90" s="48"/>
      <c r="GO90" s="48"/>
      <c r="GP90" s="48"/>
      <c r="GQ90" s="48"/>
      <c r="GR90" s="48"/>
      <c r="GS90" s="48"/>
      <c r="GT90" s="48"/>
      <c r="GU90" s="48"/>
      <c r="GV90" s="48"/>
      <c r="GW90" s="48"/>
      <c r="GX90" s="48"/>
      <c r="GY90" s="48"/>
      <c r="GZ90" s="48"/>
      <c r="HA90" s="48"/>
      <c r="HB90" s="48"/>
      <c r="HC90" s="48"/>
      <c r="HD90" s="48"/>
      <c r="HE90" s="48"/>
      <c r="HF90" s="48"/>
      <c r="HG90" s="48"/>
      <c r="HH90" s="48"/>
      <c r="HI90" s="48"/>
      <c r="HJ90" s="48"/>
      <c r="HK90" s="48"/>
      <c r="HL90" s="48"/>
      <c r="HM90" s="48"/>
      <c r="HN90" s="48"/>
      <c r="HO90" s="48"/>
      <c r="HP90" s="48"/>
      <c r="HQ90" s="48"/>
      <c r="HR90" s="48"/>
      <c r="HS90" s="45">
        <v>3325</v>
      </c>
      <c r="HT90" s="45"/>
      <c r="HU90" s="45"/>
      <c r="HV90" s="45"/>
      <c r="HW90" s="45"/>
      <c r="HX90" s="45"/>
      <c r="HY90" s="45"/>
      <c r="HZ90" s="45"/>
      <c r="IA90" s="45"/>
      <c r="IB90" s="45"/>
      <c r="IC90" s="45"/>
      <c r="ID90" s="45"/>
      <c r="IE90" s="45"/>
      <c r="IF90" s="45"/>
      <c r="IG90" s="45"/>
      <c r="IH90" s="45"/>
      <c r="II90" s="45"/>
      <c r="IJ90" s="45"/>
      <c r="IK90" s="45"/>
      <c r="IL90" s="45"/>
      <c r="IM90" s="45"/>
      <c r="IN90" s="45"/>
      <c r="IO90" s="45"/>
      <c r="IP90" s="45"/>
      <c r="IQ90" s="45">
        <v>1750</v>
      </c>
      <c r="IR90" s="45"/>
      <c r="IS90" s="45"/>
      <c r="IT90" s="45"/>
      <c r="IU90" s="45"/>
      <c r="IV90" s="45"/>
      <c r="IW90" s="45"/>
      <c r="IX90" s="45"/>
      <c r="IY90" s="45"/>
      <c r="IZ90" s="45"/>
      <c r="JA90" s="45"/>
      <c r="JB90" s="45"/>
      <c r="JC90" s="45"/>
      <c r="JD90" s="45"/>
      <c r="JE90" s="45"/>
      <c r="JF90" s="45"/>
      <c r="JG90" s="45"/>
      <c r="JH90" s="45"/>
      <c r="JI90" s="45"/>
      <c r="JJ90" s="45"/>
      <c r="JK90" s="45"/>
      <c r="JL90" s="45"/>
      <c r="JM90" s="45"/>
      <c r="JN90" s="45"/>
      <c r="JO90" s="45"/>
      <c r="JP90" s="45"/>
      <c r="JQ90" s="45"/>
      <c r="JR90" s="45"/>
      <c r="JS90" s="45"/>
      <c r="JT90" s="45"/>
      <c r="JU90" s="45"/>
      <c r="JV90" s="45"/>
      <c r="JW90" s="45"/>
      <c r="JX90" s="45"/>
      <c r="JY90" s="45"/>
      <c r="JZ90" s="45"/>
      <c r="KA90" s="45"/>
      <c r="KB90" s="45"/>
      <c r="KC90" s="45"/>
      <c r="KD90" s="45"/>
      <c r="KE90" s="45"/>
      <c r="KF90" s="45"/>
      <c r="KG90" s="45"/>
      <c r="KH90" s="45"/>
      <c r="KI90" s="45"/>
      <c r="KJ90" s="45"/>
      <c r="KK90" s="45"/>
      <c r="KL90" s="45"/>
      <c r="KM90" s="45"/>
      <c r="KN90" s="45"/>
      <c r="KO90" s="45"/>
      <c r="KP90" s="2"/>
      <c r="KQ90" s="12">
        <v>1</v>
      </c>
      <c r="KR90" s="40"/>
      <c r="KS90" s="2"/>
      <c r="KT90" s="2"/>
      <c r="KU90" s="2"/>
      <c r="KV90" s="2"/>
      <c r="KW90" s="2"/>
      <c r="KX90" s="2"/>
      <c r="KY90" s="2"/>
      <c r="KZ90" s="108"/>
      <c r="LA90" s="2"/>
      <c r="LB90" s="2"/>
      <c r="LC90" s="2"/>
      <c r="LD90" s="2"/>
      <c r="LE90" s="2"/>
      <c r="LF90" s="2">
        <f t="shared" si="1"/>
        <v>12251</v>
      </c>
    </row>
    <row r="91" spans="1:318" s="11" customFormat="1" hidden="1" x14ac:dyDescent="0.3">
      <c r="B91" s="42">
        <v>550045415</v>
      </c>
      <c r="C91" s="13" t="s">
        <v>169</v>
      </c>
      <c r="D91" s="35" t="s">
        <v>5</v>
      </c>
      <c r="E91" s="47"/>
      <c r="F91" s="48"/>
      <c r="G91" s="48"/>
      <c r="H91" s="48"/>
      <c r="I91" s="48"/>
      <c r="J91" s="48"/>
      <c r="K91" s="48">
        <v>840</v>
      </c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>
        <v>420</v>
      </c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>
        <v>840</v>
      </c>
      <c r="AY91" s="48"/>
      <c r="AZ91" s="48"/>
      <c r="BA91" s="48"/>
      <c r="BB91" s="48"/>
      <c r="BC91" s="48"/>
      <c r="BD91" s="48"/>
      <c r="BE91" s="48"/>
      <c r="BF91" s="48"/>
      <c r="BG91" s="48"/>
      <c r="BH91" s="48"/>
      <c r="BI91" s="48"/>
      <c r="BJ91" s="48"/>
      <c r="BK91" s="48"/>
      <c r="BL91" s="48"/>
      <c r="BM91" s="48"/>
      <c r="BN91" s="48"/>
      <c r="BO91" s="48"/>
      <c r="BP91" s="48"/>
      <c r="BQ91" s="48"/>
      <c r="BR91" s="48"/>
      <c r="BS91" s="48"/>
      <c r="BT91" s="48"/>
      <c r="BU91" s="48"/>
      <c r="BV91" s="48"/>
      <c r="BW91" s="48"/>
      <c r="BX91" s="48"/>
      <c r="BY91" s="48"/>
      <c r="BZ91" s="48"/>
      <c r="CA91" s="48"/>
      <c r="CB91" s="48"/>
      <c r="CC91" s="48"/>
      <c r="CD91" s="48"/>
      <c r="CE91" s="48"/>
      <c r="CF91" s="48"/>
      <c r="CG91" s="48"/>
      <c r="CH91" s="48"/>
      <c r="CI91" s="48"/>
      <c r="CJ91" s="48"/>
      <c r="CK91" s="48"/>
      <c r="CL91" s="48"/>
      <c r="CM91" s="48"/>
      <c r="CN91" s="48"/>
      <c r="CO91" s="48"/>
      <c r="CP91" s="48">
        <v>252</v>
      </c>
      <c r="CQ91" s="48"/>
      <c r="CR91" s="48"/>
      <c r="CS91" s="48"/>
      <c r="CT91" s="48"/>
      <c r="CU91" s="48"/>
      <c r="CV91" s="48"/>
      <c r="CW91" s="48"/>
      <c r="CX91" s="48"/>
      <c r="CY91" s="48"/>
      <c r="CZ91" s="48"/>
      <c r="DA91" s="48"/>
      <c r="DB91" s="48"/>
      <c r="DC91" s="48">
        <v>420</v>
      </c>
      <c r="DD91" s="48"/>
      <c r="DE91" s="48"/>
      <c r="DF91" s="48"/>
      <c r="DG91" s="48"/>
      <c r="DH91" s="48"/>
      <c r="DI91" s="48"/>
      <c r="DJ91" s="48"/>
      <c r="DK91" s="48"/>
      <c r="DL91" s="48"/>
      <c r="DM91" s="48"/>
      <c r="DN91" s="48"/>
      <c r="DO91" s="48"/>
      <c r="DP91" s="48"/>
      <c r="DQ91" s="48"/>
      <c r="DR91" s="48"/>
      <c r="DS91" s="48"/>
      <c r="DT91" s="48"/>
      <c r="DU91" s="48"/>
      <c r="DV91" s="48"/>
      <c r="DW91" s="48"/>
      <c r="DX91" s="48"/>
      <c r="DY91" s="48">
        <v>420</v>
      </c>
      <c r="DZ91" s="48"/>
      <c r="EA91" s="48"/>
      <c r="EB91" s="48"/>
      <c r="EC91" s="48"/>
      <c r="ED91" s="48"/>
      <c r="EE91" s="48"/>
      <c r="EF91" s="48"/>
      <c r="EG91" s="48"/>
      <c r="EH91" s="48"/>
      <c r="EI91" s="48">
        <v>210</v>
      </c>
      <c r="EJ91" s="48"/>
      <c r="EK91" s="48"/>
      <c r="EL91" s="48"/>
      <c r="EM91" s="48"/>
      <c r="EN91" s="48"/>
      <c r="EO91" s="48"/>
      <c r="EP91" s="48"/>
      <c r="EQ91" s="48"/>
      <c r="ER91" s="48"/>
      <c r="ES91" s="48"/>
      <c r="ET91" s="48"/>
      <c r="EU91" s="48"/>
      <c r="EV91" s="48"/>
      <c r="EW91" s="48"/>
      <c r="EX91" s="48"/>
      <c r="EY91" s="48"/>
      <c r="EZ91" s="48"/>
      <c r="FA91" s="48"/>
      <c r="FB91" s="48">
        <v>210</v>
      </c>
      <c r="FC91" s="48"/>
      <c r="FD91" s="48"/>
      <c r="FE91" s="48"/>
      <c r="FF91" s="48"/>
      <c r="FG91" s="48"/>
      <c r="FH91" s="48"/>
      <c r="FI91" s="48"/>
      <c r="FJ91" s="48"/>
      <c r="FK91" s="48"/>
      <c r="FL91" s="48"/>
      <c r="FM91" s="48"/>
      <c r="FN91" s="48"/>
      <c r="FO91" s="48"/>
      <c r="FP91" s="48"/>
      <c r="FQ91" s="48"/>
      <c r="FR91" s="48"/>
      <c r="FS91" s="48"/>
      <c r="FT91" s="48"/>
      <c r="FU91" s="48"/>
      <c r="FV91" s="48"/>
      <c r="FW91" s="48"/>
      <c r="FX91" s="48"/>
      <c r="FY91" s="48"/>
      <c r="FZ91" s="48"/>
      <c r="GA91" s="48"/>
      <c r="GB91" s="48"/>
      <c r="GC91" s="48"/>
      <c r="GD91" s="48"/>
      <c r="GE91" s="48"/>
      <c r="GF91" s="48"/>
      <c r="GG91" s="48"/>
      <c r="GH91" s="48"/>
      <c r="GI91" s="48"/>
      <c r="GJ91" s="48"/>
      <c r="GK91" s="48"/>
      <c r="GL91" s="48"/>
      <c r="GM91" s="48"/>
      <c r="GN91" s="48"/>
      <c r="GO91" s="48"/>
      <c r="GP91" s="48"/>
      <c r="GQ91" s="48"/>
      <c r="GR91" s="48"/>
      <c r="GS91" s="48"/>
      <c r="GT91" s="48"/>
      <c r="GU91" s="48"/>
      <c r="GV91" s="48"/>
      <c r="GW91" s="48"/>
      <c r="GX91" s="48"/>
      <c r="GY91" s="48"/>
      <c r="GZ91" s="48"/>
      <c r="HA91" s="48"/>
      <c r="HB91" s="48"/>
      <c r="HC91" s="48"/>
      <c r="HD91" s="48"/>
      <c r="HE91" s="48"/>
      <c r="HF91" s="48"/>
      <c r="HG91" s="48"/>
      <c r="HH91" s="48"/>
      <c r="HI91" s="48"/>
      <c r="HJ91" s="48"/>
      <c r="HK91" s="48"/>
      <c r="HL91" s="48"/>
      <c r="HM91" s="48"/>
      <c r="HN91" s="48"/>
      <c r="HO91" s="48"/>
      <c r="HP91" s="48"/>
      <c r="HQ91" s="48"/>
      <c r="HR91" s="48"/>
      <c r="HS91" s="45"/>
      <c r="HT91" s="45"/>
      <c r="HU91" s="45"/>
      <c r="HV91" s="45"/>
      <c r="HW91" s="45"/>
      <c r="HX91" s="45"/>
      <c r="HY91" s="45"/>
      <c r="HZ91" s="45"/>
      <c r="IA91" s="45"/>
      <c r="IB91" s="45"/>
      <c r="IC91" s="45"/>
      <c r="ID91" s="45"/>
      <c r="IE91" s="45"/>
      <c r="IF91" s="45"/>
      <c r="IG91" s="45"/>
      <c r="IH91" s="45"/>
      <c r="II91" s="45"/>
      <c r="IJ91" s="45"/>
      <c r="IK91" s="45"/>
      <c r="IL91" s="45"/>
      <c r="IM91" s="45"/>
      <c r="IN91" s="45"/>
      <c r="IO91" s="45"/>
      <c r="IP91" s="45"/>
      <c r="IQ91" s="45"/>
      <c r="IR91" s="45"/>
      <c r="IS91" s="45"/>
      <c r="IT91" s="45"/>
      <c r="IU91" s="45"/>
      <c r="IV91" s="45"/>
      <c r="IW91" s="45"/>
      <c r="IX91" s="45"/>
      <c r="IY91" s="45"/>
      <c r="IZ91" s="45"/>
      <c r="JA91" s="45"/>
      <c r="JB91" s="45"/>
      <c r="JC91" s="45"/>
      <c r="JD91" s="45"/>
      <c r="JE91" s="45"/>
      <c r="JF91" s="45"/>
      <c r="JG91" s="45"/>
      <c r="JH91" s="45">
        <v>142</v>
      </c>
      <c r="JI91" s="45"/>
      <c r="JJ91" s="45"/>
      <c r="JK91" s="45"/>
      <c r="JL91" s="45"/>
      <c r="JM91" s="45"/>
      <c r="JN91" s="45"/>
      <c r="JO91" s="45"/>
      <c r="JP91" s="45"/>
      <c r="JQ91" s="45"/>
      <c r="JR91" s="45"/>
      <c r="JS91" s="45"/>
      <c r="JT91" s="45">
        <v>420</v>
      </c>
      <c r="JU91" s="45"/>
      <c r="JV91" s="45"/>
      <c r="JW91" s="45"/>
      <c r="JX91" s="45"/>
      <c r="JY91" s="45"/>
      <c r="JZ91" s="45"/>
      <c r="KA91" s="45"/>
      <c r="KB91" s="45"/>
      <c r="KC91" s="45"/>
      <c r="KD91" s="45"/>
      <c r="KE91" s="45"/>
      <c r="KF91" s="45"/>
      <c r="KG91" s="45"/>
      <c r="KH91" s="45"/>
      <c r="KI91" s="45"/>
      <c r="KJ91" s="45"/>
      <c r="KK91" s="45"/>
      <c r="KL91" s="45"/>
      <c r="KM91" s="45"/>
      <c r="KN91" s="45"/>
      <c r="KO91" s="45"/>
      <c r="KP91" s="2"/>
      <c r="KQ91" s="2"/>
      <c r="KR91" s="40"/>
      <c r="KS91" s="2"/>
      <c r="KT91" s="2"/>
      <c r="KU91" s="2"/>
      <c r="KV91" s="2"/>
      <c r="KW91" s="2"/>
      <c r="KX91" s="2"/>
      <c r="KY91" s="2"/>
      <c r="KZ91" s="108"/>
      <c r="LA91" s="2"/>
      <c r="LB91" s="2"/>
      <c r="LC91" s="2"/>
      <c r="LD91" s="2"/>
      <c r="LE91" s="2"/>
      <c r="LF91" s="2">
        <f t="shared" si="1"/>
        <v>4174</v>
      </c>
    </row>
    <row r="92" spans="1:318" s="11" customFormat="1" hidden="1" x14ac:dyDescent="0.3">
      <c r="B92" s="42">
        <v>6560200055</v>
      </c>
      <c r="C92" s="89" t="s">
        <v>171</v>
      </c>
      <c r="D92" s="10" t="s">
        <v>18</v>
      </c>
      <c r="E92" s="47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  <c r="BB92" s="48"/>
      <c r="BC92" s="48"/>
      <c r="BD92" s="48"/>
      <c r="BE92" s="48"/>
      <c r="BF92" s="48"/>
      <c r="BG92" s="48"/>
      <c r="BH92" s="48"/>
      <c r="BI92" s="48"/>
      <c r="BJ92" s="48"/>
      <c r="BK92" s="48"/>
      <c r="BL92" s="48"/>
      <c r="BM92" s="48"/>
      <c r="BN92" s="48"/>
      <c r="BO92" s="48"/>
      <c r="BP92" s="48"/>
      <c r="BQ92" s="48"/>
      <c r="BR92" s="48"/>
      <c r="BS92" s="48"/>
      <c r="BT92" s="48"/>
      <c r="BU92" s="48"/>
      <c r="BV92" s="48"/>
      <c r="BW92" s="48"/>
      <c r="BX92" s="48"/>
      <c r="BY92" s="48"/>
      <c r="BZ92" s="48"/>
      <c r="CA92" s="48"/>
      <c r="CB92" s="48"/>
      <c r="CC92" s="48"/>
      <c r="CD92" s="48"/>
      <c r="CE92" s="48"/>
      <c r="CF92" s="48"/>
      <c r="CG92" s="48"/>
      <c r="CH92" s="48"/>
      <c r="CI92" s="48"/>
      <c r="CJ92" s="48"/>
      <c r="CK92" s="48"/>
      <c r="CL92" s="48"/>
      <c r="CM92" s="48"/>
      <c r="CN92" s="48"/>
      <c r="CO92" s="48"/>
      <c r="CP92" s="48"/>
      <c r="CQ92" s="48"/>
      <c r="CR92" s="48"/>
      <c r="CS92" s="48"/>
      <c r="CT92" s="48"/>
      <c r="CU92" s="48"/>
      <c r="CV92" s="48"/>
      <c r="CW92" s="48"/>
      <c r="CX92" s="48"/>
      <c r="CY92" s="48"/>
      <c r="CZ92" s="48"/>
      <c r="DA92" s="48"/>
      <c r="DB92" s="48"/>
      <c r="DC92" s="48"/>
      <c r="DD92" s="48"/>
      <c r="DE92" s="48"/>
      <c r="DF92" s="48"/>
      <c r="DG92" s="48"/>
      <c r="DH92" s="48"/>
      <c r="DI92" s="48"/>
      <c r="DJ92" s="48"/>
      <c r="DK92" s="48"/>
      <c r="DL92" s="48"/>
      <c r="DM92" s="48"/>
      <c r="DN92" s="48"/>
      <c r="DO92" s="48"/>
      <c r="DP92" s="48"/>
      <c r="DQ92" s="48"/>
      <c r="DR92" s="48"/>
      <c r="DS92" s="48"/>
      <c r="DT92" s="48"/>
      <c r="DU92" s="48"/>
      <c r="DV92" s="48"/>
      <c r="DW92" s="48"/>
      <c r="DX92" s="48"/>
      <c r="DY92" s="48"/>
      <c r="DZ92" s="48"/>
      <c r="EA92" s="48"/>
      <c r="EB92" s="48"/>
      <c r="EC92" s="48"/>
      <c r="ED92" s="48"/>
      <c r="EE92" s="48"/>
      <c r="EF92" s="48"/>
      <c r="EG92" s="48"/>
      <c r="EH92" s="48"/>
      <c r="EI92" s="48"/>
      <c r="EJ92" s="48"/>
      <c r="EK92" s="48"/>
      <c r="EL92" s="48"/>
      <c r="EM92" s="48"/>
      <c r="EN92" s="48"/>
      <c r="EO92" s="48"/>
      <c r="EP92" s="48"/>
      <c r="EQ92" s="48"/>
      <c r="ER92" s="48"/>
      <c r="ES92" s="48"/>
      <c r="ET92" s="48"/>
      <c r="EU92" s="48"/>
      <c r="EV92" s="48"/>
      <c r="EW92" s="48"/>
      <c r="EX92" s="48"/>
      <c r="EY92" s="48"/>
      <c r="EZ92" s="48"/>
      <c r="FA92" s="48"/>
      <c r="FB92" s="48"/>
      <c r="FC92" s="48"/>
      <c r="FD92" s="48"/>
      <c r="FE92" s="48"/>
      <c r="FF92" s="48">
        <v>60</v>
      </c>
      <c r="FG92" s="48"/>
      <c r="FH92" s="48"/>
      <c r="FI92" s="48"/>
      <c r="FJ92" s="48">
        <v>92</v>
      </c>
      <c r="FK92" s="48"/>
      <c r="FL92" s="48"/>
      <c r="FM92" s="48"/>
      <c r="FN92" s="48"/>
      <c r="FO92" s="48"/>
      <c r="FP92" s="48"/>
      <c r="FQ92" s="48"/>
      <c r="FR92" s="48"/>
      <c r="FS92" s="48"/>
      <c r="FT92" s="48"/>
      <c r="FU92" s="48"/>
      <c r="FV92" s="48"/>
      <c r="FW92" s="48"/>
      <c r="FX92" s="48"/>
      <c r="FY92" s="48">
        <v>96</v>
      </c>
      <c r="FZ92" s="48"/>
      <c r="GA92" s="48"/>
      <c r="GB92" s="48"/>
      <c r="GC92" s="48">
        <f>48</f>
        <v>48</v>
      </c>
      <c r="GD92" s="48"/>
      <c r="GE92" s="48"/>
      <c r="GF92" s="48"/>
      <c r="GG92" s="48">
        <f>48+48</f>
        <v>96</v>
      </c>
      <c r="GH92" s="48"/>
      <c r="GI92" s="48"/>
      <c r="GJ92" s="48"/>
      <c r="GK92" s="48"/>
      <c r="GL92" s="48"/>
      <c r="GM92" s="48"/>
      <c r="GN92" s="48"/>
      <c r="GO92" s="48"/>
      <c r="GP92" s="48"/>
      <c r="GQ92" s="48"/>
      <c r="GR92" s="48"/>
      <c r="GS92" s="48"/>
      <c r="GT92" s="48"/>
      <c r="GU92" s="48"/>
      <c r="GV92" s="48"/>
      <c r="GW92" s="48"/>
      <c r="GX92" s="48"/>
      <c r="GY92" s="48"/>
      <c r="GZ92" s="48"/>
      <c r="HA92" s="48"/>
      <c r="HB92" s="48"/>
      <c r="HC92" s="48"/>
      <c r="HD92" s="48"/>
      <c r="HE92" s="48"/>
      <c r="HF92" s="48"/>
      <c r="HG92" s="48"/>
      <c r="HH92" s="48"/>
      <c r="HI92" s="48"/>
      <c r="HJ92" s="48"/>
      <c r="HK92" s="48"/>
      <c r="HL92" s="48"/>
      <c r="HM92" s="48"/>
      <c r="HN92" s="48"/>
      <c r="HO92" s="48"/>
      <c r="HP92" s="48"/>
      <c r="HQ92" s="48"/>
      <c r="HR92" s="48">
        <v>48</v>
      </c>
      <c r="HS92" s="45">
        <v>48</v>
      </c>
      <c r="HT92" s="45"/>
      <c r="HU92" s="45"/>
      <c r="HV92" s="45"/>
      <c r="HW92" s="45"/>
      <c r="HX92" s="45"/>
      <c r="HY92" s="45"/>
      <c r="HZ92" s="45"/>
      <c r="IA92" s="45"/>
      <c r="IB92" s="45"/>
      <c r="IC92" s="45"/>
      <c r="ID92" s="45"/>
      <c r="IE92" s="45"/>
      <c r="IF92" s="45"/>
      <c r="IG92" s="45"/>
      <c r="IH92" s="45"/>
      <c r="II92" s="45"/>
      <c r="IJ92" s="45"/>
      <c r="IK92" s="45"/>
      <c r="IL92" s="45"/>
      <c r="IM92" s="45"/>
      <c r="IN92" s="45"/>
      <c r="IO92" s="45"/>
      <c r="IP92" s="45"/>
      <c r="IQ92" s="45"/>
      <c r="IR92" s="45">
        <v>96</v>
      </c>
      <c r="IS92" s="45"/>
      <c r="IT92" s="45"/>
      <c r="IU92" s="45"/>
      <c r="IV92" s="45"/>
      <c r="IW92" s="45"/>
      <c r="IX92" s="45"/>
      <c r="IY92" s="45"/>
      <c r="IZ92" s="45"/>
      <c r="JA92" s="45"/>
      <c r="JB92" s="45"/>
      <c r="JC92" s="45"/>
      <c r="JD92" s="45"/>
      <c r="JE92" s="45"/>
      <c r="JF92" s="45"/>
      <c r="JG92" s="45"/>
      <c r="JH92" s="45"/>
      <c r="JI92" s="45"/>
      <c r="JJ92" s="45"/>
      <c r="JK92" s="45"/>
      <c r="JL92" s="45"/>
      <c r="JM92" s="45"/>
      <c r="JN92" s="45"/>
      <c r="JO92" s="45"/>
      <c r="JP92" s="45"/>
      <c r="JQ92" s="45"/>
      <c r="JR92" s="45"/>
      <c r="JS92" s="45"/>
      <c r="JT92" s="45"/>
      <c r="JU92" s="45"/>
      <c r="JV92" s="45"/>
      <c r="JW92" s="45"/>
      <c r="JX92" s="45"/>
      <c r="JY92" s="45"/>
      <c r="JZ92" s="45"/>
      <c r="KA92" s="45"/>
      <c r="KB92" s="45"/>
      <c r="KC92" s="45"/>
      <c r="KD92" s="45"/>
      <c r="KE92" s="45"/>
      <c r="KF92" s="45"/>
      <c r="KG92" s="45"/>
      <c r="KH92" s="45"/>
      <c r="KI92" s="45"/>
      <c r="KJ92" s="45"/>
      <c r="KK92" s="45"/>
      <c r="KL92" s="45"/>
      <c r="KM92" s="45"/>
      <c r="KN92" s="45"/>
      <c r="KO92" s="45"/>
      <c r="KP92" s="2"/>
      <c r="KQ92" s="2"/>
      <c r="KR92" s="40"/>
      <c r="KS92" s="2"/>
      <c r="KT92" s="2"/>
      <c r="KU92" s="2"/>
      <c r="KV92" s="2"/>
      <c r="KW92" s="2"/>
      <c r="KX92" s="2"/>
      <c r="KY92" s="2"/>
      <c r="KZ92" s="108"/>
      <c r="LA92" s="2"/>
      <c r="LB92" s="2"/>
      <c r="LC92" s="2"/>
      <c r="LD92" s="2"/>
      <c r="LE92" s="2"/>
      <c r="LF92" s="2">
        <f t="shared" si="1"/>
        <v>584</v>
      </c>
    </row>
    <row r="93" spans="1:318" s="11" customFormat="1" hidden="1" x14ac:dyDescent="0.3">
      <c r="B93" s="66"/>
      <c r="C93" s="90" t="s">
        <v>985</v>
      </c>
      <c r="D93" s="67" t="s">
        <v>905</v>
      </c>
      <c r="E93" s="47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AZ93" s="48"/>
      <c r="BA93" s="48"/>
      <c r="BB93" s="48"/>
      <c r="BC93" s="48"/>
      <c r="BD93" s="48"/>
      <c r="BE93" s="48"/>
      <c r="BF93" s="48"/>
      <c r="BG93" s="48"/>
      <c r="BH93" s="48"/>
      <c r="BI93" s="48"/>
      <c r="BJ93" s="48"/>
      <c r="BK93" s="48"/>
      <c r="BL93" s="48"/>
      <c r="BM93" s="48"/>
      <c r="BN93" s="48"/>
      <c r="BO93" s="48"/>
      <c r="BP93" s="48"/>
      <c r="BQ93" s="48"/>
      <c r="BR93" s="48"/>
      <c r="BS93" s="48"/>
      <c r="BT93" s="48"/>
      <c r="BU93" s="48"/>
      <c r="BV93" s="48"/>
      <c r="BW93" s="48"/>
      <c r="BX93" s="48"/>
      <c r="BY93" s="48"/>
      <c r="BZ93" s="48"/>
      <c r="CA93" s="48"/>
      <c r="CB93" s="48"/>
      <c r="CC93" s="48"/>
      <c r="CD93" s="48"/>
      <c r="CE93" s="48"/>
      <c r="CF93" s="48"/>
      <c r="CG93" s="48"/>
      <c r="CH93" s="48"/>
      <c r="CI93" s="48"/>
      <c r="CJ93" s="48"/>
      <c r="CK93" s="48"/>
      <c r="CL93" s="48"/>
      <c r="CM93" s="48"/>
      <c r="CN93" s="48"/>
      <c r="CO93" s="48"/>
      <c r="CP93" s="48"/>
      <c r="CQ93" s="48"/>
      <c r="CR93" s="48"/>
      <c r="CS93" s="48"/>
      <c r="CT93" s="48"/>
      <c r="CU93" s="48"/>
      <c r="CV93" s="48"/>
      <c r="CW93" s="48"/>
      <c r="CX93" s="48"/>
      <c r="CY93" s="48"/>
      <c r="CZ93" s="48"/>
      <c r="DA93" s="48"/>
      <c r="DB93" s="48"/>
      <c r="DC93" s="48"/>
      <c r="DD93" s="48"/>
      <c r="DE93" s="48"/>
      <c r="DF93" s="48"/>
      <c r="DG93" s="48"/>
      <c r="DH93" s="48"/>
      <c r="DI93" s="48"/>
      <c r="DJ93" s="48"/>
      <c r="DK93" s="48"/>
      <c r="DL93" s="48"/>
      <c r="DM93" s="48"/>
      <c r="DN93" s="48"/>
      <c r="DO93" s="48"/>
      <c r="DP93" s="48"/>
      <c r="DQ93" s="48"/>
      <c r="DR93" s="48"/>
      <c r="DS93" s="48"/>
      <c r="DT93" s="48"/>
      <c r="DU93" s="48"/>
      <c r="DV93" s="48"/>
      <c r="DW93" s="48"/>
      <c r="DX93" s="48"/>
      <c r="DY93" s="48"/>
      <c r="DZ93" s="48"/>
      <c r="EA93" s="48"/>
      <c r="EB93" s="48"/>
      <c r="EC93" s="48"/>
      <c r="ED93" s="48"/>
      <c r="EE93" s="48"/>
      <c r="EF93" s="48"/>
      <c r="EG93" s="48"/>
      <c r="EH93" s="48"/>
      <c r="EI93" s="48"/>
      <c r="EJ93" s="48"/>
      <c r="EK93" s="48"/>
      <c r="EL93" s="48"/>
      <c r="EM93" s="48"/>
      <c r="EN93" s="48"/>
      <c r="EO93" s="48"/>
      <c r="EP93" s="48"/>
      <c r="EQ93" s="48"/>
      <c r="ER93" s="48"/>
      <c r="ES93" s="48"/>
      <c r="ET93" s="48"/>
      <c r="EU93" s="48"/>
      <c r="EV93" s="48"/>
      <c r="EW93" s="48"/>
      <c r="EX93" s="48"/>
      <c r="EY93" s="48"/>
      <c r="EZ93" s="48"/>
      <c r="FA93" s="48"/>
      <c r="FB93" s="48"/>
      <c r="FC93" s="48"/>
      <c r="FD93" s="48"/>
      <c r="FE93" s="48"/>
      <c r="FF93" s="48"/>
      <c r="FG93" s="48"/>
      <c r="FH93" s="48"/>
      <c r="FI93" s="48"/>
      <c r="FJ93" s="48"/>
      <c r="FK93" s="48"/>
      <c r="FL93" s="48"/>
      <c r="FM93" s="48"/>
      <c r="FN93" s="48"/>
      <c r="FO93" s="48"/>
      <c r="FP93" s="48"/>
      <c r="FQ93" s="48"/>
      <c r="FR93" s="48"/>
      <c r="FS93" s="48"/>
      <c r="FT93" s="48"/>
      <c r="FU93" s="48"/>
      <c r="FV93" s="48"/>
      <c r="FW93" s="48"/>
      <c r="FX93" s="48"/>
      <c r="FY93" s="48"/>
      <c r="FZ93" s="48"/>
      <c r="GA93" s="48"/>
      <c r="GB93" s="48"/>
      <c r="GC93" s="48"/>
      <c r="GD93" s="48"/>
      <c r="GE93" s="48"/>
      <c r="GF93" s="48"/>
      <c r="GG93" s="48"/>
      <c r="GH93" s="48"/>
      <c r="GI93" s="48"/>
      <c r="GJ93" s="48"/>
      <c r="GK93" s="48"/>
      <c r="GL93" s="48"/>
      <c r="GM93" s="48"/>
      <c r="GN93" s="48"/>
      <c r="GO93" s="48"/>
      <c r="GP93" s="48"/>
      <c r="GQ93" s="48"/>
      <c r="GR93" s="48"/>
      <c r="GS93" s="48"/>
      <c r="GT93" s="48"/>
      <c r="GU93" s="48"/>
      <c r="GV93" s="48"/>
      <c r="GW93" s="48"/>
      <c r="GX93" s="48"/>
      <c r="GY93" s="48"/>
      <c r="GZ93" s="48"/>
      <c r="HA93" s="48"/>
      <c r="HB93" s="48"/>
      <c r="HC93" s="48"/>
      <c r="HD93" s="48"/>
      <c r="HE93" s="48"/>
      <c r="HF93" s="48"/>
      <c r="HG93" s="48"/>
      <c r="HH93" s="48"/>
      <c r="HI93" s="48"/>
      <c r="HJ93" s="48"/>
      <c r="HK93" s="48"/>
      <c r="HL93" s="48"/>
      <c r="HM93" s="48"/>
      <c r="HN93" s="48"/>
      <c r="HO93" s="48"/>
      <c r="HP93" s="48"/>
      <c r="HQ93" s="48"/>
      <c r="HR93" s="48"/>
      <c r="HS93" s="45"/>
      <c r="HT93" s="45"/>
      <c r="HU93" s="45"/>
      <c r="HV93" s="45"/>
      <c r="HW93" s="45"/>
      <c r="HX93" s="45"/>
      <c r="HY93" s="45"/>
      <c r="HZ93" s="45"/>
      <c r="IA93" s="45"/>
      <c r="IB93" s="45"/>
      <c r="IC93" s="45"/>
      <c r="ID93" s="45"/>
      <c r="IE93" s="45"/>
      <c r="IF93" s="45"/>
      <c r="IG93" s="45"/>
      <c r="IH93" s="45"/>
      <c r="II93" s="45"/>
      <c r="IJ93" s="45"/>
      <c r="IK93" s="45"/>
      <c r="IL93" s="45"/>
      <c r="IM93" s="45"/>
      <c r="IN93" s="45"/>
      <c r="IO93" s="45"/>
      <c r="IP93" s="45"/>
      <c r="IQ93" s="45"/>
      <c r="IR93" s="45"/>
      <c r="IS93" s="45"/>
      <c r="IT93" s="45"/>
      <c r="IU93" s="45"/>
      <c r="IV93" s="45"/>
      <c r="IW93" s="45"/>
      <c r="IX93" s="45"/>
      <c r="IY93" s="45"/>
      <c r="IZ93" s="45"/>
      <c r="JA93" s="45"/>
      <c r="JB93" s="45"/>
      <c r="JC93" s="45"/>
      <c r="JD93" s="45"/>
      <c r="JE93" s="45"/>
      <c r="JF93" s="45"/>
      <c r="JG93" s="45"/>
      <c r="JH93" s="45">
        <v>1</v>
      </c>
      <c r="JI93" s="45"/>
      <c r="JJ93" s="45"/>
      <c r="JK93" s="45"/>
      <c r="JL93" s="45"/>
      <c r="JM93" s="45"/>
      <c r="JN93" s="45"/>
      <c r="JO93" s="45"/>
      <c r="JP93" s="45"/>
      <c r="JQ93" s="45"/>
      <c r="JR93" s="45"/>
      <c r="JS93" s="45"/>
      <c r="JT93" s="45"/>
      <c r="JU93" s="45"/>
      <c r="JV93" s="45"/>
      <c r="JW93" s="45"/>
      <c r="JX93" s="45"/>
      <c r="JY93" s="45"/>
      <c r="JZ93" s="45"/>
      <c r="KA93" s="45"/>
      <c r="KB93" s="45"/>
      <c r="KC93" s="45"/>
      <c r="KD93" s="45"/>
      <c r="KE93" s="45"/>
      <c r="KF93" s="45"/>
      <c r="KG93" s="45"/>
      <c r="KH93" s="45"/>
      <c r="KI93" s="45"/>
      <c r="KJ93" s="45"/>
      <c r="KK93" s="45"/>
      <c r="KL93" s="45"/>
      <c r="KM93" s="45"/>
      <c r="KN93" s="45"/>
      <c r="KO93" s="45"/>
      <c r="KP93" s="2"/>
      <c r="KQ93" s="2"/>
      <c r="KR93" s="40"/>
      <c r="KS93" s="2"/>
      <c r="KT93" s="2"/>
      <c r="KU93" s="2"/>
      <c r="KV93" s="2"/>
      <c r="KW93" s="2"/>
      <c r="KX93" s="2"/>
      <c r="KY93" s="2"/>
      <c r="KZ93" s="108"/>
      <c r="LA93" s="2"/>
      <c r="LB93" s="2"/>
      <c r="LC93" s="2"/>
      <c r="LD93" s="2"/>
      <c r="LE93" s="2"/>
      <c r="LF93" s="2">
        <f t="shared" si="1"/>
        <v>1</v>
      </c>
    </row>
    <row r="94" spans="1:318" hidden="1" x14ac:dyDescent="0.3">
      <c r="B94" s="79">
        <v>6560300055</v>
      </c>
      <c r="C94" s="2" t="s">
        <v>904</v>
      </c>
      <c r="D94" s="71" t="s">
        <v>18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>
        <v>44</v>
      </c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>
        <v>48</v>
      </c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40"/>
      <c r="KS94" s="2"/>
      <c r="KT94" s="2"/>
      <c r="KU94" s="2"/>
      <c r="KV94" s="2"/>
      <c r="KW94" s="2"/>
      <c r="KX94" s="2"/>
      <c r="KY94" s="2"/>
      <c r="KZ94" s="89"/>
      <c r="LA94" s="2"/>
      <c r="LB94" s="2"/>
      <c r="LC94" s="2"/>
      <c r="LD94" s="2"/>
      <c r="LE94" s="2"/>
      <c r="LF94" s="2">
        <f t="shared" si="1"/>
        <v>92</v>
      </c>
    </row>
    <row r="95" spans="1:318" hidden="1" x14ac:dyDescent="0.3">
      <c r="B95" s="66">
        <v>550043380</v>
      </c>
      <c r="C95" s="2" t="s">
        <v>175</v>
      </c>
      <c r="D95" s="35" t="s">
        <v>18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>
        <v>96</v>
      </c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>
        <v>48</v>
      </c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40"/>
      <c r="KS95" s="2"/>
      <c r="KT95" s="2"/>
      <c r="KU95" s="2"/>
      <c r="KV95" s="2"/>
      <c r="KW95" s="2"/>
      <c r="KX95" s="2"/>
      <c r="KY95" s="2"/>
      <c r="KZ95" s="107"/>
      <c r="LA95" s="2"/>
      <c r="LB95" s="2"/>
      <c r="LC95" s="2"/>
      <c r="LD95" s="2"/>
      <c r="LE95" s="2"/>
      <c r="LF95" s="2">
        <f t="shared" si="1"/>
        <v>144</v>
      </c>
    </row>
    <row r="96" spans="1:318" hidden="1" x14ac:dyDescent="0.3">
      <c r="B96" s="42">
        <v>6560500055</v>
      </c>
      <c r="C96" s="9" t="s">
        <v>173</v>
      </c>
      <c r="D96" s="35" t="s">
        <v>18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>
        <v>4</v>
      </c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>
        <v>4</v>
      </c>
      <c r="HS96" s="2">
        <v>48</v>
      </c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>
        <v>48</v>
      </c>
      <c r="IU96" s="2"/>
      <c r="IV96" s="2"/>
      <c r="IW96" s="2">
        <v>48</v>
      </c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40"/>
      <c r="KS96" s="2"/>
      <c r="KT96" s="2"/>
      <c r="KU96" s="2"/>
      <c r="KV96" s="2"/>
      <c r="KW96" s="2"/>
      <c r="KX96" s="2"/>
      <c r="KY96" s="2"/>
      <c r="KZ96" s="107"/>
      <c r="LA96" s="2"/>
      <c r="LB96" s="2"/>
      <c r="LC96" s="2"/>
      <c r="LD96" s="2"/>
      <c r="LE96" s="2"/>
      <c r="LF96" s="2">
        <f t="shared" si="1"/>
        <v>152</v>
      </c>
    </row>
    <row r="97" spans="2:318" hidden="1" x14ac:dyDescent="0.3">
      <c r="B97" s="42">
        <v>550047744</v>
      </c>
      <c r="C97" s="2" t="s">
        <v>917</v>
      </c>
      <c r="D97" s="35" t="s">
        <v>928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>
        <v>1</v>
      </c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40"/>
      <c r="KS97" s="2"/>
      <c r="KT97" s="2"/>
      <c r="KU97" s="2"/>
      <c r="KV97" s="2"/>
      <c r="KW97" s="2"/>
      <c r="KX97" s="2"/>
      <c r="KY97" s="2"/>
      <c r="KZ97" s="107"/>
      <c r="LA97" s="2"/>
      <c r="LB97" s="2"/>
      <c r="LC97" s="2"/>
      <c r="LD97" s="2"/>
      <c r="LE97" s="2"/>
      <c r="LF97" s="2">
        <f t="shared" si="1"/>
        <v>1</v>
      </c>
    </row>
    <row r="98" spans="2:318" x14ac:dyDescent="0.3">
      <c r="LD98"/>
      <c r="LE98"/>
    </row>
    <row r="99" spans="2:318" x14ac:dyDescent="0.3">
      <c r="LD99"/>
      <c r="LE99"/>
    </row>
    <row r="100" spans="2:318" x14ac:dyDescent="0.3">
      <c r="LD100"/>
      <c r="LE100"/>
    </row>
    <row r="101" spans="2:318" x14ac:dyDescent="0.3">
      <c r="LD101"/>
      <c r="LE101"/>
    </row>
    <row r="102" spans="2:318" x14ac:dyDescent="0.3">
      <c r="LD102"/>
      <c r="LE102"/>
    </row>
    <row r="103" spans="2:318" x14ac:dyDescent="0.3">
      <c r="LD103"/>
      <c r="LE103"/>
    </row>
    <row r="104" spans="2:318" x14ac:dyDescent="0.3">
      <c r="LD104"/>
      <c r="LE104"/>
    </row>
    <row r="105" spans="2:318" x14ac:dyDescent="0.3">
      <c r="LD105"/>
      <c r="LE105"/>
    </row>
    <row r="106" spans="2:318" x14ac:dyDescent="0.3">
      <c r="LD106"/>
      <c r="LE106"/>
    </row>
    <row r="107" spans="2:318" x14ac:dyDescent="0.3">
      <c r="LD107"/>
      <c r="LE107"/>
    </row>
    <row r="108" spans="2:318" x14ac:dyDescent="0.3">
      <c r="LD108"/>
      <c r="LE108"/>
    </row>
    <row r="109" spans="2:318" x14ac:dyDescent="0.3">
      <c r="LD109"/>
      <c r="LE109"/>
    </row>
    <row r="110" spans="2:318" x14ac:dyDescent="0.3">
      <c r="LD110"/>
      <c r="LE110"/>
    </row>
    <row r="111" spans="2:318" x14ac:dyDescent="0.3">
      <c r="LD111"/>
      <c r="LE111"/>
    </row>
    <row r="112" spans="2:318" x14ac:dyDescent="0.3">
      <c r="LD112"/>
      <c r="LE112"/>
    </row>
    <row r="113" spans="316:317" x14ac:dyDescent="0.3">
      <c r="LD113"/>
      <c r="LE113"/>
    </row>
    <row r="114" spans="316:317" x14ac:dyDescent="0.3">
      <c r="LD114"/>
      <c r="LE114"/>
    </row>
    <row r="115" spans="316:317" x14ac:dyDescent="0.3">
      <c r="LD115"/>
      <c r="LE115"/>
    </row>
    <row r="116" spans="316:317" x14ac:dyDescent="0.3">
      <c r="LD116"/>
      <c r="LE116"/>
    </row>
    <row r="117" spans="316:317" x14ac:dyDescent="0.3">
      <c r="LD117"/>
      <c r="LE117"/>
    </row>
    <row r="118" spans="316:317" x14ac:dyDescent="0.3">
      <c r="LD118"/>
      <c r="LE118"/>
    </row>
    <row r="119" spans="316:317" x14ac:dyDescent="0.3">
      <c r="LD119"/>
      <c r="LE119"/>
    </row>
    <row r="120" spans="316:317" x14ac:dyDescent="0.3">
      <c r="LD120"/>
      <c r="LE120"/>
    </row>
    <row r="121" spans="316:317" x14ac:dyDescent="0.3">
      <c r="LD121"/>
      <c r="LE121"/>
    </row>
    <row r="122" spans="316:317" x14ac:dyDescent="0.3">
      <c r="LD122"/>
      <c r="LE122"/>
    </row>
    <row r="123" spans="316:317" x14ac:dyDescent="0.3">
      <c r="LD123"/>
      <c r="LE123"/>
    </row>
    <row r="124" spans="316:317" x14ac:dyDescent="0.3">
      <c r="LD124"/>
      <c r="LE124"/>
    </row>
    <row r="125" spans="316:317" x14ac:dyDescent="0.3">
      <c r="LD125"/>
      <c r="LE125"/>
    </row>
    <row r="126" spans="316:317" x14ac:dyDescent="0.3">
      <c r="LD126"/>
      <c r="LE126"/>
    </row>
    <row r="127" spans="316:317" x14ac:dyDescent="0.3">
      <c r="LD127"/>
      <c r="LE127"/>
    </row>
    <row r="128" spans="316:317" x14ac:dyDescent="0.3">
      <c r="LD128"/>
      <c r="LE128"/>
    </row>
    <row r="129" spans="316:317" x14ac:dyDescent="0.3">
      <c r="LD129"/>
      <c r="LE129"/>
    </row>
    <row r="130" spans="316:317" x14ac:dyDescent="0.3">
      <c r="LD130"/>
      <c r="LE130"/>
    </row>
    <row r="131" spans="316:317" x14ac:dyDescent="0.3">
      <c r="LD131"/>
      <c r="LE131"/>
    </row>
    <row r="132" spans="316:317" x14ac:dyDescent="0.3">
      <c r="LD132"/>
      <c r="LE132"/>
    </row>
    <row r="133" spans="316:317" x14ac:dyDescent="0.3">
      <c r="LD133"/>
      <c r="LE133"/>
    </row>
    <row r="134" spans="316:317" x14ac:dyDescent="0.3">
      <c r="LD134"/>
      <c r="LE134"/>
    </row>
    <row r="135" spans="316:317" x14ac:dyDescent="0.3">
      <c r="LD135"/>
      <c r="LE135"/>
    </row>
    <row r="136" spans="316:317" x14ac:dyDescent="0.3">
      <c r="LD136"/>
      <c r="LE136"/>
    </row>
    <row r="137" spans="316:317" x14ac:dyDescent="0.3">
      <c r="LD137"/>
      <c r="LE137"/>
    </row>
    <row r="138" spans="316:317" x14ac:dyDescent="0.3">
      <c r="LD138"/>
      <c r="LE138"/>
    </row>
    <row r="139" spans="316:317" x14ac:dyDescent="0.3">
      <c r="LD139"/>
      <c r="LE139"/>
    </row>
    <row r="140" spans="316:317" x14ac:dyDescent="0.3">
      <c r="LD140"/>
      <c r="LE140"/>
    </row>
    <row r="141" spans="316:317" x14ac:dyDescent="0.3">
      <c r="LD141"/>
      <c r="LE141"/>
    </row>
    <row r="142" spans="316:317" x14ac:dyDescent="0.3">
      <c r="LD142"/>
      <c r="LE142"/>
    </row>
    <row r="143" spans="316:317" x14ac:dyDescent="0.3">
      <c r="LD143"/>
      <c r="LE143"/>
    </row>
    <row r="144" spans="316:317" x14ac:dyDescent="0.3">
      <c r="LD144"/>
      <c r="LE144"/>
    </row>
    <row r="145" spans="316:317" x14ac:dyDescent="0.3">
      <c r="LD145"/>
      <c r="LE145"/>
    </row>
    <row r="146" spans="316:317" x14ac:dyDescent="0.3">
      <c r="LD146"/>
      <c r="LE146"/>
    </row>
    <row r="147" spans="316:317" x14ac:dyDescent="0.3">
      <c r="LD147"/>
      <c r="LE147"/>
    </row>
    <row r="148" spans="316:317" x14ac:dyDescent="0.3">
      <c r="LD148"/>
      <c r="LE148"/>
    </row>
    <row r="149" spans="316:317" x14ac:dyDescent="0.3">
      <c r="LD149"/>
      <c r="LE149"/>
    </row>
    <row r="150" spans="316:317" x14ac:dyDescent="0.3">
      <c r="LD150"/>
      <c r="LE150"/>
    </row>
    <row r="151" spans="316:317" x14ac:dyDescent="0.3">
      <c r="LD151"/>
      <c r="LE151"/>
    </row>
    <row r="152" spans="316:317" x14ac:dyDescent="0.3">
      <c r="LD152"/>
      <c r="LE152"/>
    </row>
    <row r="153" spans="316:317" x14ac:dyDescent="0.3">
      <c r="LD153"/>
      <c r="LE153"/>
    </row>
    <row r="154" spans="316:317" x14ac:dyDescent="0.3">
      <c r="LD154"/>
      <c r="LE154"/>
    </row>
    <row r="155" spans="316:317" x14ac:dyDescent="0.3">
      <c r="LD155"/>
      <c r="LE155"/>
    </row>
    <row r="156" spans="316:317" x14ac:dyDescent="0.3">
      <c r="LD156"/>
      <c r="LE156"/>
    </row>
    <row r="157" spans="316:317" x14ac:dyDescent="0.3">
      <c r="LD157"/>
      <c r="LE157"/>
    </row>
    <row r="158" spans="316:317" x14ac:dyDescent="0.3">
      <c r="LD158"/>
      <c r="LE158"/>
    </row>
    <row r="159" spans="316:317" x14ac:dyDescent="0.3">
      <c r="LD159"/>
      <c r="LE159"/>
    </row>
    <row r="160" spans="316:317" x14ac:dyDescent="0.3">
      <c r="LD160"/>
      <c r="LE160"/>
    </row>
    <row r="161" spans="316:317" x14ac:dyDescent="0.3">
      <c r="LD161"/>
      <c r="LE161"/>
    </row>
    <row r="162" spans="316:317" x14ac:dyDescent="0.3">
      <c r="LD162"/>
      <c r="LE162"/>
    </row>
    <row r="163" spans="316:317" x14ac:dyDescent="0.3">
      <c r="LD163"/>
      <c r="LE163"/>
    </row>
    <row r="164" spans="316:317" x14ac:dyDescent="0.3">
      <c r="LD164"/>
      <c r="LE164"/>
    </row>
    <row r="165" spans="316:317" x14ac:dyDescent="0.3">
      <c r="LD165"/>
      <c r="LE165"/>
    </row>
    <row r="166" spans="316:317" x14ac:dyDescent="0.3">
      <c r="LD166"/>
      <c r="LE166"/>
    </row>
    <row r="167" spans="316:317" x14ac:dyDescent="0.3">
      <c r="LD167"/>
      <c r="LE167"/>
    </row>
    <row r="168" spans="316:317" x14ac:dyDescent="0.3">
      <c r="LD168"/>
      <c r="LE168"/>
    </row>
    <row r="169" spans="316:317" x14ac:dyDescent="0.3">
      <c r="LD169"/>
      <c r="LE169"/>
    </row>
    <row r="170" spans="316:317" x14ac:dyDescent="0.3">
      <c r="LD170"/>
      <c r="LE170"/>
    </row>
    <row r="171" spans="316:317" x14ac:dyDescent="0.3">
      <c r="LD171"/>
      <c r="LE171"/>
    </row>
    <row r="172" spans="316:317" x14ac:dyDescent="0.3">
      <c r="LD172"/>
      <c r="LE172"/>
    </row>
    <row r="173" spans="316:317" x14ac:dyDescent="0.3">
      <c r="LD173"/>
      <c r="LE173"/>
    </row>
    <row r="174" spans="316:317" x14ac:dyDescent="0.3">
      <c r="LD174"/>
      <c r="LE174"/>
    </row>
    <row r="175" spans="316:317" x14ac:dyDescent="0.3">
      <c r="LD175"/>
      <c r="LE175"/>
    </row>
    <row r="176" spans="316:317" x14ac:dyDescent="0.3">
      <c r="LD176"/>
      <c r="LE176"/>
    </row>
    <row r="177" spans="316:317" x14ac:dyDescent="0.3">
      <c r="LD177"/>
      <c r="LE177"/>
    </row>
    <row r="178" spans="316:317" x14ac:dyDescent="0.3">
      <c r="LD178"/>
      <c r="LE178"/>
    </row>
    <row r="179" spans="316:317" x14ac:dyDescent="0.3">
      <c r="LD179"/>
      <c r="LE179"/>
    </row>
    <row r="180" spans="316:317" x14ac:dyDescent="0.3">
      <c r="LD180"/>
      <c r="LE180"/>
    </row>
    <row r="181" spans="316:317" x14ac:dyDescent="0.3">
      <c r="LD181"/>
      <c r="LE181"/>
    </row>
    <row r="182" spans="316:317" x14ac:dyDescent="0.3">
      <c r="LD182"/>
      <c r="LE182"/>
    </row>
    <row r="183" spans="316:317" x14ac:dyDescent="0.3">
      <c r="LD183"/>
      <c r="LE183"/>
    </row>
    <row r="184" spans="316:317" x14ac:dyDescent="0.3">
      <c r="LD184"/>
      <c r="LE184"/>
    </row>
  </sheetData>
  <autoFilter ref="B3:LF97" xr:uid="{C6482300-CAB8-4D6F-B217-B3F8ACA2C9F6}">
    <filterColumn colId="1">
      <filters>
        <filter val="SHELL RIMULA R2 50 TB 209L"/>
        <filter val="SHELL RIMULA R2 50 TB 209L EXPO"/>
      </filters>
    </filterColumn>
  </autoFilter>
  <sortState ref="B3:LD97">
    <sortCondition ref="C3:C97"/>
  </sortState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FM97"/>
  <sheetViews>
    <sheetView showGridLines="0" tabSelected="1" zoomScale="110" zoomScaleNormal="110" workbookViewId="0">
      <pane xSplit="4" ySplit="3" topLeftCell="AEZ4" activePane="bottomRight" state="frozen"/>
      <selection pane="topRight" activeCell="D1" sqref="D1"/>
      <selection pane="bottomLeft" activeCell="A4" sqref="A4"/>
      <selection pane="bottomRight" activeCell="AFB14" sqref="AFB14"/>
    </sheetView>
  </sheetViews>
  <sheetFormatPr baseColWidth="10" defaultRowHeight="14.4" x14ac:dyDescent="0.3"/>
  <cols>
    <col min="1" max="1" width="11.44140625" style="11"/>
    <col min="3" max="3" width="43.6640625" customWidth="1"/>
    <col min="5" max="15" width="11.44140625" customWidth="1"/>
    <col min="16" max="16" width="10" customWidth="1"/>
    <col min="17" max="93" width="11.44140625" style="4" customWidth="1"/>
    <col min="94" max="94" width="14.33203125" style="4" customWidth="1"/>
    <col min="95" max="96" width="13.88671875" style="4" customWidth="1"/>
    <col min="97" max="97" width="13.109375" style="4" customWidth="1"/>
    <col min="98" max="98" width="12.6640625" style="4" customWidth="1"/>
    <col min="99" max="169" width="11.44140625" style="4" customWidth="1"/>
    <col min="170" max="170" width="11.44140625" style="11" customWidth="1"/>
    <col min="171" max="199" width="11.44140625" style="4" customWidth="1"/>
    <col min="200" max="329" width="11.44140625" style="11" customWidth="1"/>
    <col min="330" max="454" width="11.44140625" style="11"/>
    <col min="455" max="463" width="11.88671875" style="11" bestFit="1" customWidth="1"/>
    <col min="464" max="486" width="11.44140625" style="11"/>
    <col min="487" max="487" width="11.44140625" style="4"/>
    <col min="488" max="497" width="11.44140625" style="11"/>
    <col min="498" max="498" width="11.88671875" style="11" bestFit="1" customWidth="1"/>
    <col min="499" max="610" width="11.44140625" style="11"/>
    <col min="611" max="615" width="14.33203125" style="11" bestFit="1" customWidth="1"/>
    <col min="616" max="625" width="14.33203125" style="11" customWidth="1"/>
    <col min="626" max="626" width="14.33203125" style="11" bestFit="1" customWidth="1"/>
    <col min="627" max="843" width="14.33203125" style="11" customWidth="1"/>
    <col min="844" max="844" width="11.88671875" bestFit="1" customWidth="1"/>
  </cols>
  <sheetData>
    <row r="1" spans="1:845" ht="15" thickBot="1" x14ac:dyDescent="0.35">
      <c r="Z1" s="11"/>
      <c r="AA1" s="11"/>
      <c r="AB1" s="11"/>
      <c r="AC1" s="11"/>
      <c r="WH1" s="58"/>
      <c r="WI1" s="58"/>
      <c r="WJ1" s="58"/>
      <c r="WK1" s="58"/>
      <c r="WL1" s="58"/>
      <c r="WM1" s="58"/>
      <c r="WN1" s="58"/>
      <c r="WO1" s="58"/>
      <c r="WP1" s="58"/>
      <c r="WQ1" s="58"/>
      <c r="WR1" s="58"/>
      <c r="WS1" s="58"/>
      <c r="WT1" s="58"/>
      <c r="WU1" s="58"/>
      <c r="WV1" s="58"/>
      <c r="WW1" s="58"/>
      <c r="WX1" s="58"/>
      <c r="WY1" s="58"/>
      <c r="WZ1" s="58"/>
      <c r="XA1" s="58"/>
      <c r="XB1" s="58"/>
      <c r="XC1" s="58"/>
      <c r="XD1" s="58"/>
      <c r="XE1" s="58"/>
      <c r="XF1" s="58"/>
      <c r="XG1" s="58"/>
      <c r="XH1" s="58"/>
      <c r="XI1" s="58"/>
      <c r="XJ1" s="58"/>
      <c r="XK1" s="58"/>
      <c r="XL1" s="58"/>
      <c r="XM1" s="58"/>
      <c r="XN1" s="58"/>
      <c r="XO1" s="58"/>
      <c r="XP1" s="58"/>
      <c r="XQ1" s="58"/>
      <c r="XR1" s="58"/>
      <c r="XS1" s="58"/>
      <c r="XT1" s="58"/>
      <c r="XU1" s="58"/>
      <c r="XV1" s="58"/>
      <c r="XW1" s="58"/>
      <c r="XX1" s="58"/>
      <c r="XY1" s="58"/>
      <c r="XZ1" s="58"/>
      <c r="YA1" s="58"/>
      <c r="YB1" s="58"/>
      <c r="YC1" s="58"/>
      <c r="YD1" s="58"/>
      <c r="YE1" s="58"/>
      <c r="YF1" s="58"/>
      <c r="YG1" s="58"/>
      <c r="YH1" s="58"/>
      <c r="YI1" s="58"/>
      <c r="YJ1" s="58"/>
      <c r="YK1" s="58"/>
      <c r="YL1" s="58"/>
      <c r="YM1" s="58"/>
      <c r="YN1" s="58"/>
      <c r="YO1" s="58"/>
      <c r="YP1" s="58"/>
      <c r="YQ1" s="58"/>
      <c r="YR1" s="58"/>
      <c r="YS1" s="58"/>
      <c r="YT1" s="58"/>
      <c r="YU1" s="58"/>
      <c r="YV1" s="58"/>
      <c r="YW1" s="58"/>
      <c r="YX1" s="58"/>
      <c r="YY1" s="58"/>
      <c r="YZ1" s="58"/>
      <c r="ZA1" s="58"/>
      <c r="ZB1" s="58"/>
      <c r="ZC1" s="58"/>
      <c r="ZD1" s="58"/>
      <c r="ZE1" s="58"/>
      <c r="ZF1" s="58"/>
      <c r="ZG1" s="58"/>
      <c r="ZH1" s="58"/>
      <c r="ZI1" s="58"/>
      <c r="ZJ1" s="58"/>
      <c r="ZK1" s="58"/>
      <c r="ZL1" s="58"/>
      <c r="ZM1" s="58"/>
      <c r="ZN1" s="58"/>
      <c r="ZO1" s="58"/>
      <c r="ZP1" s="58"/>
      <c r="ZQ1" s="58"/>
      <c r="ZR1" s="58"/>
      <c r="ZS1" s="58"/>
      <c r="ZT1" s="58"/>
      <c r="ZU1" s="58"/>
      <c r="ZV1" s="58"/>
      <c r="ZW1" s="58"/>
      <c r="ZX1" s="58"/>
      <c r="ZY1" s="58"/>
      <c r="ZZ1" s="58"/>
      <c r="AAA1" s="58"/>
      <c r="AAB1" s="58"/>
      <c r="AAC1" s="58"/>
      <c r="AAD1" s="58"/>
      <c r="AAE1" s="58"/>
      <c r="AAF1" s="58"/>
      <c r="AAG1" s="58"/>
      <c r="AAH1" s="58"/>
      <c r="AAI1" s="58"/>
      <c r="AAJ1" s="58"/>
      <c r="AAK1" s="58"/>
      <c r="AAL1" s="58"/>
      <c r="AAM1" s="58"/>
      <c r="AAN1" s="58"/>
      <c r="AAO1" s="58"/>
      <c r="AAP1" s="58"/>
      <c r="AAQ1" s="58"/>
      <c r="AAR1" s="58"/>
      <c r="AAS1" s="58"/>
      <c r="AAT1" s="58"/>
      <c r="AAU1" s="58"/>
      <c r="AAV1" s="58"/>
      <c r="AAW1" s="58"/>
      <c r="AAX1" s="58"/>
      <c r="AAY1" s="58"/>
      <c r="AAZ1" s="58"/>
      <c r="ABA1" s="58"/>
      <c r="ABB1" s="58"/>
      <c r="ABC1" s="58"/>
      <c r="ABD1" s="58"/>
      <c r="ABE1" s="58"/>
      <c r="ABF1" s="58"/>
      <c r="ABG1" s="58"/>
      <c r="ABH1" s="58"/>
      <c r="ABI1" s="58"/>
      <c r="ABJ1" s="58"/>
      <c r="ABK1" s="58"/>
      <c r="ABL1" s="58"/>
      <c r="ABM1" s="58"/>
      <c r="ABN1" s="58"/>
      <c r="ABO1" s="58"/>
      <c r="ABP1" s="58"/>
      <c r="ABQ1" s="58"/>
      <c r="ABR1" s="58"/>
      <c r="ABS1" s="58"/>
      <c r="ABT1" s="58"/>
      <c r="ABU1" s="58"/>
      <c r="ABV1" s="58"/>
      <c r="ABW1" s="58"/>
      <c r="ABX1" s="58"/>
      <c r="ABY1" s="58"/>
      <c r="ABZ1" s="58"/>
      <c r="ACA1" s="58"/>
      <c r="ACB1" s="58"/>
      <c r="ACC1" s="58"/>
      <c r="ACD1" s="58"/>
      <c r="ACE1" s="58"/>
      <c r="ACF1" s="58"/>
      <c r="ACG1" s="58"/>
      <c r="ACH1" s="58"/>
      <c r="ACI1" s="58"/>
      <c r="ACJ1" s="58"/>
      <c r="ACK1" s="58"/>
      <c r="ACL1" s="58"/>
      <c r="ACM1" s="58"/>
      <c r="ACN1" s="58"/>
      <c r="ACO1" s="58"/>
      <c r="ACP1" s="58"/>
      <c r="ACQ1" s="58"/>
      <c r="ACR1" s="58"/>
      <c r="ACS1" s="58"/>
      <c r="ACT1" s="58"/>
      <c r="ACU1" s="58"/>
      <c r="ACV1" s="58"/>
      <c r="ACW1" s="58"/>
      <c r="ACX1" s="58"/>
      <c r="ACY1" s="58"/>
      <c r="ACZ1" s="58"/>
      <c r="ADA1" s="58"/>
      <c r="ADB1" s="58"/>
      <c r="ADC1" s="58"/>
      <c r="ADD1" s="58"/>
      <c r="ADE1" s="58"/>
      <c r="ADF1" s="58"/>
      <c r="ADG1" s="58"/>
      <c r="ADH1" s="58"/>
      <c r="ADI1" s="58"/>
      <c r="ADJ1" s="58"/>
      <c r="ADK1" s="58"/>
      <c r="ADL1" s="58"/>
      <c r="ADM1" s="58"/>
      <c r="ADN1" s="58"/>
      <c r="ADO1" s="58"/>
      <c r="ADP1" s="58"/>
      <c r="ADQ1" s="58"/>
      <c r="ADR1" s="58"/>
      <c r="ADS1" s="58"/>
      <c r="ADT1" s="58"/>
      <c r="ADU1" s="58"/>
      <c r="ADV1" s="58"/>
      <c r="ADW1" s="58"/>
      <c r="ADX1" s="58"/>
      <c r="ADY1" s="58"/>
      <c r="ADZ1" s="58"/>
      <c r="AEA1" s="58"/>
      <c r="AEB1" s="58"/>
      <c r="AEC1" s="58"/>
      <c r="AED1" s="58"/>
      <c r="AEE1" s="58"/>
      <c r="AEF1" s="58"/>
      <c r="AEG1" s="58"/>
      <c r="AEH1" s="58"/>
      <c r="AEI1" s="58"/>
      <c r="AEJ1" s="58"/>
      <c r="AEK1" s="58"/>
      <c r="AEL1" s="58"/>
      <c r="AEM1" s="58"/>
      <c r="AEN1" s="58"/>
      <c r="AEO1" s="58"/>
      <c r="AEP1" s="58"/>
      <c r="AEQ1" s="58"/>
      <c r="AER1" s="58"/>
      <c r="AES1" s="58"/>
      <c r="AET1" s="58"/>
      <c r="AEU1" s="58"/>
      <c r="AEV1" s="58"/>
      <c r="AEW1" s="58"/>
      <c r="AEX1" s="58"/>
      <c r="AEY1" s="58"/>
      <c r="AEZ1" s="58"/>
      <c r="AFA1" s="58"/>
      <c r="AFB1" s="58"/>
      <c r="AFC1" s="58"/>
      <c r="AFD1" s="58"/>
      <c r="AFE1" s="58"/>
      <c r="AFF1" s="58"/>
      <c r="AFG1" s="58"/>
      <c r="AFH1" s="58"/>
      <c r="AFI1" s="58"/>
      <c r="AFJ1" s="58"/>
      <c r="AFK1" s="58"/>
      <c r="AFL1" s="58"/>
      <c r="AFM1" s="58"/>
    </row>
    <row r="2" spans="1:845" ht="29.4" thickBot="1" x14ac:dyDescent="0.35">
      <c r="C2" s="4"/>
      <c r="D2" s="4"/>
      <c r="E2" s="1" t="s">
        <v>11</v>
      </c>
      <c r="F2" s="1" t="s">
        <v>11</v>
      </c>
      <c r="G2" s="1" t="s">
        <v>11</v>
      </c>
      <c r="H2" s="1" t="s">
        <v>11</v>
      </c>
      <c r="I2" s="1" t="s">
        <v>11</v>
      </c>
      <c r="J2" s="1" t="s">
        <v>11</v>
      </c>
      <c r="K2" s="1" t="s">
        <v>11</v>
      </c>
      <c r="L2" s="1" t="s">
        <v>11</v>
      </c>
      <c r="M2" s="1" t="s">
        <v>11</v>
      </c>
      <c r="N2" s="1" t="s">
        <v>11</v>
      </c>
      <c r="O2" s="1" t="s">
        <v>11</v>
      </c>
      <c r="P2" s="1" t="s">
        <v>11</v>
      </c>
      <c r="Q2" s="1" t="s">
        <v>11</v>
      </c>
      <c r="R2" s="1" t="s">
        <v>11</v>
      </c>
      <c r="S2" s="1" t="s">
        <v>11</v>
      </c>
      <c r="T2" s="1" t="s">
        <v>11</v>
      </c>
      <c r="U2" s="1" t="s">
        <v>11</v>
      </c>
      <c r="V2" s="1" t="s">
        <v>11</v>
      </c>
      <c r="W2" s="1" t="s">
        <v>11</v>
      </c>
      <c r="X2" s="1" t="s">
        <v>11</v>
      </c>
      <c r="Y2" s="1" t="s">
        <v>11</v>
      </c>
      <c r="Z2" s="1" t="s">
        <v>11</v>
      </c>
      <c r="AA2" s="1" t="s">
        <v>11</v>
      </c>
      <c r="AB2" s="1" t="s">
        <v>11</v>
      </c>
      <c r="AC2" s="1" t="s">
        <v>11</v>
      </c>
      <c r="AD2" s="1" t="s">
        <v>11</v>
      </c>
      <c r="AE2" s="1" t="s">
        <v>11</v>
      </c>
      <c r="AF2" s="1" t="s">
        <v>11</v>
      </c>
      <c r="AG2" s="1" t="s">
        <v>11</v>
      </c>
      <c r="AH2" s="1" t="s">
        <v>11</v>
      </c>
      <c r="AI2" s="1" t="s">
        <v>11</v>
      </c>
      <c r="AJ2" s="1" t="s">
        <v>11</v>
      </c>
      <c r="AK2" s="1" t="s">
        <v>11</v>
      </c>
      <c r="AL2" s="1" t="s">
        <v>11</v>
      </c>
      <c r="AM2" s="1" t="s">
        <v>11</v>
      </c>
      <c r="AN2" s="1" t="s">
        <v>11</v>
      </c>
      <c r="AO2" s="1" t="s">
        <v>11</v>
      </c>
      <c r="AP2" s="1" t="s">
        <v>11</v>
      </c>
      <c r="AQ2" s="1" t="s">
        <v>11</v>
      </c>
      <c r="AR2" s="1" t="s">
        <v>11</v>
      </c>
      <c r="AS2" s="1" t="s">
        <v>11</v>
      </c>
      <c r="AT2" s="1" t="s">
        <v>11</v>
      </c>
      <c r="AU2" s="1" t="s">
        <v>11</v>
      </c>
      <c r="AV2" s="1" t="s">
        <v>11</v>
      </c>
      <c r="AW2" s="1" t="s">
        <v>11</v>
      </c>
      <c r="AX2" s="1" t="s">
        <v>11</v>
      </c>
      <c r="AY2" s="1" t="s">
        <v>11</v>
      </c>
      <c r="AZ2" s="1" t="s">
        <v>11</v>
      </c>
      <c r="BA2" s="1" t="s">
        <v>11</v>
      </c>
      <c r="BB2" s="1" t="s">
        <v>11</v>
      </c>
      <c r="BC2" s="1" t="s">
        <v>11</v>
      </c>
      <c r="BD2" s="1" t="s">
        <v>11</v>
      </c>
      <c r="BE2" s="1" t="s">
        <v>11</v>
      </c>
      <c r="BF2" s="1" t="s">
        <v>11</v>
      </c>
      <c r="BG2" s="1" t="s">
        <v>11</v>
      </c>
      <c r="BH2" s="1" t="s">
        <v>11</v>
      </c>
      <c r="BI2" s="1" t="s">
        <v>11</v>
      </c>
      <c r="BJ2" s="1" t="s">
        <v>11</v>
      </c>
      <c r="BK2" s="1" t="s">
        <v>11</v>
      </c>
      <c r="BL2" s="1" t="s">
        <v>11</v>
      </c>
      <c r="BM2" s="1" t="s">
        <v>11</v>
      </c>
      <c r="BN2" s="1" t="s">
        <v>11</v>
      </c>
      <c r="BO2" s="1" t="s">
        <v>11</v>
      </c>
      <c r="BP2" s="1" t="s">
        <v>11</v>
      </c>
      <c r="BQ2" s="1" t="s">
        <v>11</v>
      </c>
      <c r="BR2" s="1" t="s">
        <v>11</v>
      </c>
      <c r="BS2" s="1" t="s">
        <v>11</v>
      </c>
      <c r="BT2" s="1" t="s">
        <v>11</v>
      </c>
      <c r="BU2" s="1" t="s">
        <v>11</v>
      </c>
      <c r="BV2" s="1" t="s">
        <v>11</v>
      </c>
      <c r="BW2" s="1" t="s">
        <v>11</v>
      </c>
      <c r="BX2" s="1" t="s">
        <v>11</v>
      </c>
      <c r="BY2" s="1" t="s">
        <v>11</v>
      </c>
      <c r="BZ2" s="1" t="s">
        <v>11</v>
      </c>
      <c r="CA2" s="1" t="s">
        <v>11</v>
      </c>
      <c r="CB2" s="1" t="s">
        <v>11</v>
      </c>
      <c r="CC2" s="1" t="s">
        <v>11</v>
      </c>
      <c r="CD2" s="1" t="s">
        <v>11</v>
      </c>
      <c r="CE2" s="1" t="s">
        <v>11</v>
      </c>
      <c r="CF2" s="1" t="s">
        <v>11</v>
      </c>
      <c r="CG2" s="1" t="s">
        <v>11</v>
      </c>
      <c r="CH2" s="1" t="s">
        <v>11</v>
      </c>
      <c r="CI2" s="1" t="s">
        <v>11</v>
      </c>
      <c r="CJ2" s="1" t="s">
        <v>11</v>
      </c>
      <c r="CK2" s="1" t="s">
        <v>11</v>
      </c>
      <c r="CL2" s="1" t="s">
        <v>11</v>
      </c>
      <c r="CM2" s="1" t="s">
        <v>11</v>
      </c>
      <c r="CN2" s="1" t="s">
        <v>11</v>
      </c>
      <c r="CO2" s="1" t="s">
        <v>11</v>
      </c>
      <c r="CP2" s="1" t="s">
        <v>11</v>
      </c>
      <c r="CQ2" s="1" t="s">
        <v>11</v>
      </c>
      <c r="CR2" s="1" t="s">
        <v>11</v>
      </c>
      <c r="CS2" s="1" t="s">
        <v>11</v>
      </c>
      <c r="CT2" s="1" t="s">
        <v>11</v>
      </c>
      <c r="CU2" s="1" t="s">
        <v>11</v>
      </c>
      <c r="CV2" s="1" t="s">
        <v>11</v>
      </c>
      <c r="CW2" s="1" t="s">
        <v>11</v>
      </c>
      <c r="CX2" s="1" t="s">
        <v>11</v>
      </c>
      <c r="CY2" s="1" t="s">
        <v>11</v>
      </c>
      <c r="CZ2" s="1" t="s">
        <v>11</v>
      </c>
      <c r="DA2" s="1" t="s">
        <v>11</v>
      </c>
      <c r="DB2" s="1" t="s">
        <v>11</v>
      </c>
      <c r="DC2" s="1" t="s">
        <v>11</v>
      </c>
      <c r="DD2" s="1" t="s">
        <v>11</v>
      </c>
      <c r="DE2" s="1" t="s">
        <v>11</v>
      </c>
      <c r="DF2" s="1" t="s">
        <v>11</v>
      </c>
      <c r="DG2" s="1" t="s">
        <v>11</v>
      </c>
      <c r="DH2" s="1" t="s">
        <v>11</v>
      </c>
      <c r="DI2" s="1" t="s">
        <v>11</v>
      </c>
      <c r="DJ2" s="1" t="s">
        <v>11</v>
      </c>
      <c r="DK2" s="1" t="s">
        <v>11</v>
      </c>
      <c r="DL2" s="1" t="s">
        <v>11</v>
      </c>
      <c r="DM2" s="1" t="s">
        <v>11</v>
      </c>
      <c r="DN2" s="1" t="s">
        <v>11</v>
      </c>
      <c r="DO2" s="1" t="s">
        <v>11</v>
      </c>
      <c r="DP2" s="1" t="s">
        <v>11</v>
      </c>
      <c r="DQ2" s="1" t="s">
        <v>11</v>
      </c>
      <c r="DR2" s="1" t="s">
        <v>11</v>
      </c>
      <c r="DS2" s="1" t="s">
        <v>11</v>
      </c>
      <c r="DT2" s="1" t="s">
        <v>11</v>
      </c>
      <c r="DU2" s="1" t="s">
        <v>11</v>
      </c>
      <c r="DV2" s="1" t="s">
        <v>11</v>
      </c>
      <c r="DW2" s="1" t="s">
        <v>11</v>
      </c>
      <c r="DX2" s="1" t="s">
        <v>11</v>
      </c>
      <c r="DY2" s="1" t="s">
        <v>11</v>
      </c>
      <c r="DZ2" s="1" t="s">
        <v>11</v>
      </c>
      <c r="EA2" s="1" t="s">
        <v>11</v>
      </c>
      <c r="EB2" s="1" t="s">
        <v>11</v>
      </c>
      <c r="EC2" s="1" t="s">
        <v>11</v>
      </c>
      <c r="ED2" s="1" t="s">
        <v>11</v>
      </c>
      <c r="EE2" s="1" t="s">
        <v>11</v>
      </c>
      <c r="EF2" s="1" t="s">
        <v>11</v>
      </c>
      <c r="EG2" s="1" t="s">
        <v>11</v>
      </c>
      <c r="EH2" s="1" t="s">
        <v>11</v>
      </c>
      <c r="EI2" s="1" t="s">
        <v>11</v>
      </c>
      <c r="EJ2" s="1" t="s">
        <v>11</v>
      </c>
      <c r="EK2" s="1" t="s">
        <v>11</v>
      </c>
      <c r="EL2" s="1" t="s">
        <v>11</v>
      </c>
      <c r="EM2" s="1" t="s">
        <v>11</v>
      </c>
      <c r="EN2" s="1" t="s">
        <v>11</v>
      </c>
      <c r="EO2" s="1" t="s">
        <v>11</v>
      </c>
      <c r="EP2" s="1" t="s">
        <v>11</v>
      </c>
      <c r="EQ2" s="1" t="s">
        <v>11</v>
      </c>
      <c r="ER2" s="1" t="s">
        <v>11</v>
      </c>
      <c r="ES2" s="1" t="s">
        <v>11</v>
      </c>
      <c r="ET2" s="1" t="s">
        <v>11</v>
      </c>
      <c r="EU2" s="1" t="s">
        <v>11</v>
      </c>
      <c r="EV2" s="1" t="s">
        <v>11</v>
      </c>
      <c r="EW2" s="1" t="s">
        <v>11</v>
      </c>
      <c r="EX2" s="1" t="s">
        <v>11</v>
      </c>
      <c r="EY2" s="1" t="s">
        <v>11</v>
      </c>
      <c r="EZ2" s="1" t="s">
        <v>11</v>
      </c>
      <c r="FA2" s="1" t="s">
        <v>11</v>
      </c>
      <c r="FB2" s="1" t="s">
        <v>11</v>
      </c>
      <c r="FC2" s="1" t="s">
        <v>11</v>
      </c>
      <c r="FD2" s="1" t="s">
        <v>11</v>
      </c>
      <c r="FE2" s="1" t="s">
        <v>11</v>
      </c>
      <c r="FF2" s="1" t="s">
        <v>11</v>
      </c>
      <c r="FG2" s="1" t="s">
        <v>11</v>
      </c>
      <c r="FH2" s="1" t="s">
        <v>11</v>
      </c>
      <c r="FI2" s="1" t="s">
        <v>11</v>
      </c>
      <c r="FJ2" s="1" t="s">
        <v>11</v>
      </c>
      <c r="FK2" s="1" t="s">
        <v>11</v>
      </c>
      <c r="FL2" s="1" t="s">
        <v>11</v>
      </c>
      <c r="FM2" s="1" t="s">
        <v>11</v>
      </c>
      <c r="FN2" s="1" t="s">
        <v>11</v>
      </c>
      <c r="FO2" s="1" t="s">
        <v>11</v>
      </c>
      <c r="FP2" s="1" t="s">
        <v>11</v>
      </c>
      <c r="FQ2" s="1" t="s">
        <v>11</v>
      </c>
      <c r="FR2" s="1" t="s">
        <v>11</v>
      </c>
      <c r="FS2" s="1" t="s">
        <v>11</v>
      </c>
      <c r="FT2" s="1" t="s">
        <v>11</v>
      </c>
      <c r="FU2" s="1" t="s">
        <v>11</v>
      </c>
      <c r="FV2" s="1" t="s">
        <v>11</v>
      </c>
      <c r="FW2" s="1" t="s">
        <v>11</v>
      </c>
      <c r="FX2" s="1" t="s">
        <v>11</v>
      </c>
      <c r="FY2" s="1" t="s">
        <v>11</v>
      </c>
      <c r="FZ2" s="1" t="s">
        <v>11</v>
      </c>
      <c r="GA2" s="1" t="s">
        <v>11</v>
      </c>
      <c r="GB2" s="1" t="s">
        <v>11</v>
      </c>
      <c r="GC2" s="1" t="s">
        <v>11</v>
      </c>
      <c r="GD2" s="1" t="s">
        <v>11</v>
      </c>
      <c r="GE2" s="1" t="s">
        <v>11</v>
      </c>
      <c r="GF2" s="1" t="s">
        <v>11</v>
      </c>
      <c r="GG2" s="1" t="s">
        <v>11</v>
      </c>
      <c r="GH2" s="1" t="s">
        <v>11</v>
      </c>
      <c r="GI2" s="1" t="s">
        <v>11</v>
      </c>
      <c r="GJ2" s="1" t="s">
        <v>11</v>
      </c>
      <c r="GK2" s="1" t="s">
        <v>11</v>
      </c>
      <c r="GL2" s="1" t="s">
        <v>11</v>
      </c>
      <c r="GM2" s="1" t="s">
        <v>11</v>
      </c>
      <c r="GN2" s="1" t="s">
        <v>11</v>
      </c>
      <c r="GO2" s="1" t="s">
        <v>11</v>
      </c>
      <c r="GP2" s="1" t="s">
        <v>11</v>
      </c>
      <c r="GQ2" s="1" t="s">
        <v>11</v>
      </c>
      <c r="GR2" s="1" t="s">
        <v>11</v>
      </c>
      <c r="GS2" s="1" t="s">
        <v>11</v>
      </c>
      <c r="GT2" s="1" t="s">
        <v>11</v>
      </c>
      <c r="GU2" s="1" t="s">
        <v>11</v>
      </c>
      <c r="GV2" s="1" t="s">
        <v>11</v>
      </c>
      <c r="GW2" s="1" t="s">
        <v>11</v>
      </c>
      <c r="GX2" s="1" t="s">
        <v>11</v>
      </c>
      <c r="GY2" s="1" t="s">
        <v>11</v>
      </c>
      <c r="GZ2" s="1" t="s">
        <v>11</v>
      </c>
      <c r="HA2" s="1" t="s">
        <v>11</v>
      </c>
      <c r="HB2" s="1" t="s">
        <v>11</v>
      </c>
      <c r="HC2" s="1" t="s">
        <v>11</v>
      </c>
      <c r="HD2" s="1" t="s">
        <v>11</v>
      </c>
      <c r="HE2" s="1" t="s">
        <v>11</v>
      </c>
      <c r="HF2" s="1" t="s">
        <v>11</v>
      </c>
      <c r="HG2" s="1" t="s">
        <v>11</v>
      </c>
      <c r="HH2" s="1" t="s">
        <v>11</v>
      </c>
      <c r="HI2" s="1" t="s">
        <v>11</v>
      </c>
      <c r="HJ2" s="1" t="s">
        <v>11</v>
      </c>
      <c r="HK2" s="1" t="s">
        <v>11</v>
      </c>
      <c r="HL2" s="1" t="s">
        <v>11</v>
      </c>
      <c r="HM2" s="1" t="s">
        <v>11</v>
      </c>
      <c r="HN2" s="1" t="s">
        <v>11</v>
      </c>
      <c r="HO2" s="1" t="s">
        <v>11</v>
      </c>
      <c r="HP2" s="1" t="s">
        <v>11</v>
      </c>
      <c r="HQ2" s="1" t="s">
        <v>11</v>
      </c>
      <c r="HR2" s="1" t="s">
        <v>11</v>
      </c>
      <c r="HS2" s="1" t="s">
        <v>11</v>
      </c>
      <c r="HT2" s="1" t="s">
        <v>11</v>
      </c>
      <c r="HU2" s="1" t="s">
        <v>11</v>
      </c>
      <c r="HV2" s="1" t="s">
        <v>11</v>
      </c>
      <c r="HW2" s="1" t="s">
        <v>11</v>
      </c>
      <c r="HX2" s="1" t="s">
        <v>11</v>
      </c>
      <c r="HY2" s="1" t="s">
        <v>11</v>
      </c>
      <c r="HZ2" s="1" t="s">
        <v>11</v>
      </c>
      <c r="IA2" s="1" t="s">
        <v>11</v>
      </c>
      <c r="IB2" s="1" t="s">
        <v>11</v>
      </c>
      <c r="IC2" s="1" t="s">
        <v>11</v>
      </c>
      <c r="ID2" s="1" t="s">
        <v>11</v>
      </c>
      <c r="IE2" s="1" t="s">
        <v>11</v>
      </c>
      <c r="IF2" s="1" t="s">
        <v>11</v>
      </c>
      <c r="IG2" s="1" t="s">
        <v>11</v>
      </c>
      <c r="IH2" s="1" t="s">
        <v>11</v>
      </c>
      <c r="II2" s="1" t="s">
        <v>11</v>
      </c>
      <c r="IJ2" s="1" t="s">
        <v>11</v>
      </c>
      <c r="IK2" s="1" t="s">
        <v>11</v>
      </c>
      <c r="IL2" s="1" t="s">
        <v>11</v>
      </c>
      <c r="IM2" s="1" t="s">
        <v>11</v>
      </c>
      <c r="IN2" s="1" t="s">
        <v>11</v>
      </c>
      <c r="IO2" s="1" t="s">
        <v>11</v>
      </c>
      <c r="IP2" s="1" t="s">
        <v>11</v>
      </c>
      <c r="IQ2" s="1" t="s">
        <v>11</v>
      </c>
      <c r="IR2" s="1" t="s">
        <v>11</v>
      </c>
      <c r="IS2" s="1" t="s">
        <v>11</v>
      </c>
      <c r="IT2" s="1" t="s">
        <v>11</v>
      </c>
      <c r="IU2" s="1" t="s">
        <v>11</v>
      </c>
      <c r="IV2" s="1" t="s">
        <v>11</v>
      </c>
      <c r="IW2" s="1" t="s">
        <v>11</v>
      </c>
      <c r="IX2" s="1" t="s">
        <v>11</v>
      </c>
      <c r="IY2" s="1" t="s">
        <v>11</v>
      </c>
      <c r="IZ2" s="1" t="s">
        <v>11</v>
      </c>
      <c r="JA2" s="1" t="s">
        <v>11</v>
      </c>
      <c r="JB2" s="1" t="s">
        <v>11</v>
      </c>
      <c r="JC2" s="1" t="s">
        <v>11</v>
      </c>
      <c r="JD2" s="1" t="s">
        <v>11</v>
      </c>
      <c r="JE2" s="1" t="s">
        <v>11</v>
      </c>
      <c r="JF2" s="1" t="s">
        <v>11</v>
      </c>
      <c r="JG2" s="1" t="s">
        <v>11</v>
      </c>
      <c r="JH2" s="1" t="s">
        <v>11</v>
      </c>
      <c r="JI2" s="1" t="s">
        <v>11</v>
      </c>
      <c r="JJ2" s="1" t="s">
        <v>11</v>
      </c>
      <c r="JK2" s="1" t="s">
        <v>11</v>
      </c>
      <c r="JL2" s="1" t="s">
        <v>11</v>
      </c>
      <c r="JM2" s="1" t="s">
        <v>11</v>
      </c>
      <c r="JN2" s="1" t="s">
        <v>11</v>
      </c>
      <c r="JO2" s="1" t="s">
        <v>11</v>
      </c>
      <c r="JP2" s="1" t="s">
        <v>11</v>
      </c>
      <c r="JQ2" s="1" t="s">
        <v>11</v>
      </c>
      <c r="JR2" s="1" t="s">
        <v>11</v>
      </c>
      <c r="JS2" s="1" t="s">
        <v>11</v>
      </c>
      <c r="JT2" s="1" t="s">
        <v>11</v>
      </c>
      <c r="JU2" s="1" t="s">
        <v>11</v>
      </c>
      <c r="JV2" s="1" t="s">
        <v>11</v>
      </c>
      <c r="JW2" s="1" t="s">
        <v>11</v>
      </c>
      <c r="JX2" s="1" t="s">
        <v>11</v>
      </c>
      <c r="JY2" s="1" t="s">
        <v>11</v>
      </c>
      <c r="JZ2" s="1" t="s">
        <v>11</v>
      </c>
      <c r="KA2" s="1" t="s">
        <v>11</v>
      </c>
      <c r="KB2" s="1" t="s">
        <v>11</v>
      </c>
      <c r="KC2" s="1" t="s">
        <v>11</v>
      </c>
      <c r="KD2" s="1" t="s">
        <v>11</v>
      </c>
      <c r="KE2" s="1" t="s">
        <v>11</v>
      </c>
      <c r="KF2" s="1" t="s">
        <v>11</v>
      </c>
      <c r="KG2" s="1" t="s">
        <v>11</v>
      </c>
      <c r="KH2" s="1" t="s">
        <v>11</v>
      </c>
      <c r="KI2" s="1" t="s">
        <v>11</v>
      </c>
      <c r="KJ2" s="1" t="s">
        <v>11</v>
      </c>
      <c r="KK2" s="1" t="s">
        <v>11</v>
      </c>
      <c r="KL2" s="1" t="s">
        <v>11</v>
      </c>
      <c r="KM2" s="1" t="s">
        <v>11</v>
      </c>
      <c r="KN2" s="1" t="s">
        <v>11</v>
      </c>
      <c r="KO2" s="1" t="s">
        <v>11</v>
      </c>
      <c r="KP2" s="1" t="s">
        <v>11</v>
      </c>
      <c r="KQ2" s="1" t="s">
        <v>11</v>
      </c>
      <c r="KR2" s="1" t="s">
        <v>11</v>
      </c>
      <c r="KS2" s="1" t="s">
        <v>11</v>
      </c>
      <c r="KT2" s="1" t="s">
        <v>11</v>
      </c>
      <c r="KU2" s="1" t="s">
        <v>11</v>
      </c>
      <c r="KV2" s="1" t="s">
        <v>11</v>
      </c>
      <c r="KW2" s="1" t="s">
        <v>11</v>
      </c>
      <c r="KX2" s="1" t="s">
        <v>11</v>
      </c>
      <c r="KY2" s="1" t="s">
        <v>11</v>
      </c>
      <c r="KZ2" s="1" t="s">
        <v>11</v>
      </c>
      <c r="LA2" s="1" t="s">
        <v>11</v>
      </c>
      <c r="LB2" s="1" t="s">
        <v>11</v>
      </c>
      <c r="LC2" s="1" t="s">
        <v>11</v>
      </c>
      <c r="LD2" s="1" t="s">
        <v>11</v>
      </c>
      <c r="LE2" s="1" t="s">
        <v>11</v>
      </c>
      <c r="LF2" s="1" t="s">
        <v>11</v>
      </c>
      <c r="LG2" s="1" t="s">
        <v>11</v>
      </c>
      <c r="LH2" s="1" t="s">
        <v>11</v>
      </c>
      <c r="LI2" s="1" t="s">
        <v>11</v>
      </c>
      <c r="LJ2" s="1" t="s">
        <v>11</v>
      </c>
      <c r="LK2" s="1" t="s">
        <v>11</v>
      </c>
      <c r="LL2" s="1" t="s">
        <v>11</v>
      </c>
      <c r="LM2" s="1" t="s">
        <v>11</v>
      </c>
      <c r="LN2" s="1" t="s">
        <v>11</v>
      </c>
      <c r="LO2" s="1" t="s">
        <v>11</v>
      </c>
      <c r="LP2" s="1" t="s">
        <v>11</v>
      </c>
      <c r="LQ2" s="1" t="s">
        <v>11</v>
      </c>
      <c r="LR2" s="1" t="s">
        <v>11</v>
      </c>
      <c r="LS2" s="1" t="s">
        <v>11</v>
      </c>
      <c r="LT2" s="1" t="s">
        <v>11</v>
      </c>
      <c r="LU2" s="1" t="s">
        <v>11</v>
      </c>
      <c r="LV2" s="1" t="s">
        <v>11</v>
      </c>
      <c r="LW2" s="1" t="s">
        <v>11</v>
      </c>
      <c r="LX2" s="1" t="s">
        <v>11</v>
      </c>
      <c r="LY2" s="1" t="s">
        <v>11</v>
      </c>
      <c r="LZ2" s="1" t="s">
        <v>11</v>
      </c>
      <c r="MA2" s="1" t="s">
        <v>11</v>
      </c>
      <c r="MB2" s="1" t="s">
        <v>11</v>
      </c>
      <c r="MC2" s="1" t="s">
        <v>11</v>
      </c>
      <c r="MD2" s="1" t="s">
        <v>11</v>
      </c>
      <c r="ME2" s="1" t="s">
        <v>11</v>
      </c>
      <c r="MF2" s="1" t="s">
        <v>11</v>
      </c>
      <c r="MG2" s="1" t="s">
        <v>11</v>
      </c>
      <c r="MH2" s="1" t="s">
        <v>11</v>
      </c>
      <c r="MI2" s="1" t="s">
        <v>11</v>
      </c>
      <c r="MJ2" s="1" t="s">
        <v>11</v>
      </c>
      <c r="MK2" s="1" t="s">
        <v>11</v>
      </c>
      <c r="ML2" s="1" t="s">
        <v>11</v>
      </c>
      <c r="MM2" s="1" t="s">
        <v>11</v>
      </c>
      <c r="MN2" s="1" t="s">
        <v>11</v>
      </c>
      <c r="MO2" s="1" t="s">
        <v>11</v>
      </c>
      <c r="MP2" s="1" t="s">
        <v>11</v>
      </c>
      <c r="MQ2" s="1" t="s">
        <v>11</v>
      </c>
      <c r="MR2" s="1" t="s">
        <v>11</v>
      </c>
      <c r="MS2" s="1" t="s">
        <v>11</v>
      </c>
      <c r="MT2" s="1" t="s">
        <v>11</v>
      </c>
      <c r="MU2" s="1" t="s">
        <v>11</v>
      </c>
      <c r="MV2" s="1" t="s">
        <v>11</v>
      </c>
      <c r="MW2" s="1" t="s">
        <v>11</v>
      </c>
      <c r="MX2" s="1" t="s">
        <v>11</v>
      </c>
      <c r="MY2" s="1" t="s">
        <v>11</v>
      </c>
      <c r="MZ2" s="1" t="s">
        <v>11</v>
      </c>
      <c r="NA2" s="1" t="s">
        <v>11</v>
      </c>
      <c r="NB2" s="1" t="s">
        <v>11</v>
      </c>
      <c r="NC2" s="1" t="s">
        <v>11</v>
      </c>
      <c r="ND2" s="1" t="s">
        <v>11</v>
      </c>
      <c r="NE2" s="1" t="s">
        <v>11</v>
      </c>
      <c r="NF2" s="1" t="s">
        <v>11</v>
      </c>
      <c r="NG2" s="1" t="s">
        <v>11</v>
      </c>
      <c r="NH2" s="1" t="s">
        <v>11</v>
      </c>
      <c r="NI2" s="1" t="s">
        <v>11</v>
      </c>
      <c r="NJ2" s="1" t="s">
        <v>11</v>
      </c>
      <c r="NK2" s="1" t="s">
        <v>11</v>
      </c>
      <c r="NL2" s="1" t="s">
        <v>11</v>
      </c>
      <c r="NM2" s="1" t="s">
        <v>11</v>
      </c>
      <c r="NN2" s="1" t="s">
        <v>11</v>
      </c>
      <c r="NO2" s="1" t="s">
        <v>11</v>
      </c>
      <c r="NP2" s="1" t="s">
        <v>11</v>
      </c>
      <c r="NQ2" s="1" t="s">
        <v>11</v>
      </c>
      <c r="NR2" s="1" t="s">
        <v>11</v>
      </c>
      <c r="NS2" s="1" t="s">
        <v>11</v>
      </c>
      <c r="NT2" s="1" t="s">
        <v>11</v>
      </c>
      <c r="NU2" s="1" t="s">
        <v>11</v>
      </c>
      <c r="NV2" s="1" t="s">
        <v>11</v>
      </c>
      <c r="NW2" s="1" t="s">
        <v>11</v>
      </c>
      <c r="NX2" s="1" t="s">
        <v>11</v>
      </c>
      <c r="NY2" s="1" t="s">
        <v>11</v>
      </c>
      <c r="NZ2" s="1" t="s">
        <v>11</v>
      </c>
      <c r="OA2" s="1" t="s">
        <v>11</v>
      </c>
      <c r="OB2" s="1" t="s">
        <v>11</v>
      </c>
      <c r="OC2" s="1" t="s">
        <v>11</v>
      </c>
      <c r="OD2" s="1" t="s">
        <v>11</v>
      </c>
      <c r="OE2" s="1" t="s">
        <v>11</v>
      </c>
      <c r="OF2" s="1" t="s">
        <v>11</v>
      </c>
      <c r="OG2" s="1" t="s">
        <v>11</v>
      </c>
      <c r="OH2" s="1" t="s">
        <v>11</v>
      </c>
      <c r="OI2" s="1" t="s">
        <v>11</v>
      </c>
      <c r="OJ2" s="1" t="s">
        <v>11</v>
      </c>
      <c r="OK2" s="1" t="s">
        <v>11</v>
      </c>
      <c r="OL2" s="1" t="s">
        <v>11</v>
      </c>
      <c r="OM2" s="1" t="s">
        <v>11</v>
      </c>
      <c r="ON2" s="1" t="s">
        <v>11</v>
      </c>
      <c r="OO2" s="1" t="s">
        <v>11</v>
      </c>
      <c r="OP2" s="1" t="s">
        <v>11</v>
      </c>
      <c r="OQ2" s="1" t="s">
        <v>11</v>
      </c>
      <c r="OR2" s="1" t="s">
        <v>11</v>
      </c>
      <c r="OS2" s="1" t="s">
        <v>11</v>
      </c>
      <c r="OT2" s="1" t="s">
        <v>11</v>
      </c>
      <c r="OU2" s="1" t="s">
        <v>11</v>
      </c>
      <c r="OV2" s="1" t="s">
        <v>11</v>
      </c>
      <c r="OW2" s="1" t="s">
        <v>11</v>
      </c>
      <c r="OX2" s="1" t="s">
        <v>11</v>
      </c>
      <c r="OY2" s="1" t="s">
        <v>11</v>
      </c>
      <c r="OZ2" s="1" t="s">
        <v>11</v>
      </c>
      <c r="PA2" s="1" t="s">
        <v>11</v>
      </c>
      <c r="PB2" s="1" t="s">
        <v>11</v>
      </c>
      <c r="PC2" s="1" t="s">
        <v>11</v>
      </c>
      <c r="PD2" s="1" t="s">
        <v>11</v>
      </c>
      <c r="PE2" s="1" t="s">
        <v>11</v>
      </c>
      <c r="PF2" s="1" t="s">
        <v>11</v>
      </c>
      <c r="PG2" s="1" t="s">
        <v>11</v>
      </c>
      <c r="PH2" s="1" t="s">
        <v>11</v>
      </c>
      <c r="PI2" s="1" t="s">
        <v>11</v>
      </c>
      <c r="PJ2" s="1" t="s">
        <v>11</v>
      </c>
      <c r="PK2" s="1" t="s">
        <v>11</v>
      </c>
      <c r="PL2" s="1" t="s">
        <v>11</v>
      </c>
      <c r="PM2" s="1" t="s">
        <v>11</v>
      </c>
      <c r="PN2" s="1" t="s">
        <v>11</v>
      </c>
      <c r="PO2" s="1" t="s">
        <v>11</v>
      </c>
      <c r="PP2" s="1" t="s">
        <v>11</v>
      </c>
      <c r="PQ2" s="1" t="s">
        <v>11</v>
      </c>
      <c r="PR2" s="1" t="s">
        <v>11</v>
      </c>
      <c r="PS2" s="1" t="s">
        <v>11</v>
      </c>
      <c r="PT2" s="1" t="s">
        <v>11</v>
      </c>
      <c r="PU2" s="1" t="s">
        <v>11</v>
      </c>
      <c r="PV2" s="1" t="s">
        <v>11</v>
      </c>
      <c r="PW2" s="1" t="s">
        <v>11</v>
      </c>
      <c r="PX2" s="1" t="s">
        <v>11</v>
      </c>
      <c r="PY2" s="1" t="s">
        <v>11</v>
      </c>
      <c r="PZ2" s="1" t="s">
        <v>11</v>
      </c>
      <c r="QA2" s="1" t="s">
        <v>11</v>
      </c>
      <c r="QB2" s="1" t="s">
        <v>11</v>
      </c>
      <c r="QC2" s="1" t="s">
        <v>11</v>
      </c>
      <c r="QD2" s="1" t="s">
        <v>11</v>
      </c>
      <c r="QE2" s="1" t="s">
        <v>11</v>
      </c>
      <c r="QF2" s="1" t="s">
        <v>11</v>
      </c>
      <c r="QG2" s="1" t="s">
        <v>11</v>
      </c>
      <c r="QH2" s="1" t="s">
        <v>11</v>
      </c>
      <c r="QI2" s="1" t="s">
        <v>11</v>
      </c>
      <c r="QJ2" s="1" t="s">
        <v>11</v>
      </c>
      <c r="QK2" s="1" t="s">
        <v>11</v>
      </c>
      <c r="QL2" s="1" t="s">
        <v>11</v>
      </c>
      <c r="QM2" s="1" t="s">
        <v>11</v>
      </c>
      <c r="QN2" s="1" t="s">
        <v>11</v>
      </c>
      <c r="QO2" s="1" t="s">
        <v>11</v>
      </c>
      <c r="QP2" s="1" t="s">
        <v>11</v>
      </c>
      <c r="QQ2" s="1" t="s">
        <v>11</v>
      </c>
      <c r="QR2" s="1" t="s">
        <v>11</v>
      </c>
      <c r="QS2" s="1" t="s">
        <v>11</v>
      </c>
      <c r="QT2" s="1" t="s">
        <v>11</v>
      </c>
      <c r="QU2" s="1" t="s">
        <v>11</v>
      </c>
      <c r="QV2" s="1" t="s">
        <v>11</v>
      </c>
      <c r="QW2" s="1" t="s">
        <v>11</v>
      </c>
      <c r="QX2" s="1" t="s">
        <v>11</v>
      </c>
      <c r="QY2" s="1" t="s">
        <v>11</v>
      </c>
      <c r="QZ2" s="1" t="s">
        <v>11</v>
      </c>
      <c r="RA2" s="1" t="s">
        <v>11</v>
      </c>
      <c r="RB2" s="1" t="s">
        <v>11</v>
      </c>
      <c r="RC2" s="1" t="s">
        <v>11</v>
      </c>
      <c r="RD2" s="1" t="s">
        <v>11</v>
      </c>
      <c r="RE2" s="1" t="s">
        <v>11</v>
      </c>
      <c r="RF2" s="1" t="s">
        <v>11</v>
      </c>
      <c r="RG2" s="1" t="s">
        <v>11</v>
      </c>
      <c r="RH2" s="1" t="s">
        <v>11</v>
      </c>
      <c r="RI2" s="1" t="s">
        <v>11</v>
      </c>
      <c r="RJ2" s="1" t="s">
        <v>11</v>
      </c>
      <c r="RK2" s="1" t="s">
        <v>11</v>
      </c>
      <c r="RL2" s="1" t="s">
        <v>11</v>
      </c>
      <c r="RM2" s="1" t="s">
        <v>11</v>
      </c>
      <c r="RN2" s="1" t="s">
        <v>11</v>
      </c>
      <c r="RO2" s="1" t="s">
        <v>11</v>
      </c>
      <c r="RP2" s="1" t="s">
        <v>11</v>
      </c>
      <c r="RQ2" s="1" t="s">
        <v>11</v>
      </c>
      <c r="RR2" s="1" t="s">
        <v>11</v>
      </c>
      <c r="RS2" s="1" t="s">
        <v>11</v>
      </c>
      <c r="RT2" s="1" t="s">
        <v>11</v>
      </c>
      <c r="RU2" s="1" t="s">
        <v>11</v>
      </c>
      <c r="RV2" s="1" t="s">
        <v>11</v>
      </c>
      <c r="RW2" s="1" t="s">
        <v>11</v>
      </c>
      <c r="RX2" s="1" t="s">
        <v>11</v>
      </c>
      <c r="RY2" s="1" t="s">
        <v>11</v>
      </c>
      <c r="RZ2" s="1" t="s">
        <v>11</v>
      </c>
      <c r="SA2" s="1" t="s">
        <v>11</v>
      </c>
      <c r="SB2" s="1" t="s">
        <v>11</v>
      </c>
      <c r="SC2" s="1" t="s">
        <v>11</v>
      </c>
      <c r="SD2" s="1" t="s">
        <v>11</v>
      </c>
      <c r="SE2" s="1" t="s">
        <v>11</v>
      </c>
      <c r="SF2" s="1" t="s">
        <v>11</v>
      </c>
      <c r="SG2" s="1" t="s">
        <v>11</v>
      </c>
      <c r="SH2" s="1" t="s">
        <v>11</v>
      </c>
      <c r="SI2" s="1" t="s">
        <v>11</v>
      </c>
      <c r="SJ2" s="1" t="s">
        <v>11</v>
      </c>
      <c r="SK2" s="1" t="s">
        <v>11</v>
      </c>
      <c r="SL2" s="1" t="s">
        <v>11</v>
      </c>
      <c r="SM2" s="1" t="s">
        <v>11</v>
      </c>
      <c r="SN2" s="1" t="s">
        <v>11</v>
      </c>
      <c r="SO2" s="1" t="s">
        <v>11</v>
      </c>
      <c r="SP2" s="1" t="s">
        <v>11</v>
      </c>
      <c r="SQ2" s="1" t="s">
        <v>11</v>
      </c>
      <c r="SR2" s="1" t="s">
        <v>11</v>
      </c>
      <c r="SS2" s="1" t="s">
        <v>11</v>
      </c>
      <c r="ST2" s="1" t="s">
        <v>11</v>
      </c>
      <c r="SU2" s="1" t="s">
        <v>11</v>
      </c>
      <c r="SV2" s="1" t="s">
        <v>11</v>
      </c>
      <c r="SW2" s="1" t="s">
        <v>11</v>
      </c>
      <c r="SX2" s="1" t="s">
        <v>11</v>
      </c>
      <c r="SY2" s="1" t="s">
        <v>11</v>
      </c>
      <c r="SZ2" s="1" t="s">
        <v>11</v>
      </c>
      <c r="TA2" s="1" t="s">
        <v>11</v>
      </c>
      <c r="TB2" s="1" t="s">
        <v>11</v>
      </c>
      <c r="TC2" s="1" t="s">
        <v>11</v>
      </c>
      <c r="TD2" s="1" t="s">
        <v>11</v>
      </c>
      <c r="TE2" s="1" t="s">
        <v>11</v>
      </c>
      <c r="TF2" s="1" t="s">
        <v>11</v>
      </c>
      <c r="TG2" s="1" t="s">
        <v>11</v>
      </c>
      <c r="TH2" s="1" t="s">
        <v>11</v>
      </c>
      <c r="TI2" s="1" t="s">
        <v>11</v>
      </c>
      <c r="TJ2" s="1" t="s">
        <v>11</v>
      </c>
      <c r="TK2" s="1" t="s">
        <v>11</v>
      </c>
      <c r="TL2" s="1" t="s">
        <v>11</v>
      </c>
      <c r="TM2" s="1" t="s">
        <v>11</v>
      </c>
      <c r="TN2" s="1" t="s">
        <v>11</v>
      </c>
      <c r="TO2" s="1" t="s">
        <v>11</v>
      </c>
      <c r="TP2" s="1" t="s">
        <v>11</v>
      </c>
      <c r="TQ2" s="1" t="s">
        <v>11</v>
      </c>
      <c r="TR2" s="1" t="s">
        <v>11</v>
      </c>
      <c r="TS2" s="1" t="s">
        <v>11</v>
      </c>
      <c r="TT2" s="1" t="s">
        <v>11</v>
      </c>
      <c r="TU2" s="1" t="s">
        <v>11</v>
      </c>
      <c r="TV2" s="1" t="s">
        <v>11</v>
      </c>
      <c r="TW2" s="1" t="s">
        <v>11</v>
      </c>
      <c r="TX2" s="1" t="s">
        <v>11</v>
      </c>
      <c r="TY2" s="1" t="s">
        <v>11</v>
      </c>
      <c r="TZ2" s="1" t="s">
        <v>11</v>
      </c>
      <c r="UA2" s="1" t="s">
        <v>11</v>
      </c>
      <c r="UB2" s="1" t="s">
        <v>11</v>
      </c>
      <c r="UC2" s="1" t="s">
        <v>11</v>
      </c>
      <c r="UD2" s="1" t="s">
        <v>11</v>
      </c>
      <c r="UE2" s="1" t="s">
        <v>11</v>
      </c>
      <c r="UF2" s="1" t="s">
        <v>11</v>
      </c>
      <c r="UG2" s="1" t="s">
        <v>11</v>
      </c>
      <c r="UH2" s="1" t="s">
        <v>11</v>
      </c>
      <c r="UI2" s="1" t="s">
        <v>11</v>
      </c>
      <c r="UJ2" s="1" t="s">
        <v>11</v>
      </c>
      <c r="UK2" s="1" t="s">
        <v>11</v>
      </c>
      <c r="UL2" s="1" t="s">
        <v>11</v>
      </c>
      <c r="UM2" s="1" t="s">
        <v>11</v>
      </c>
      <c r="UN2" s="1" t="s">
        <v>11</v>
      </c>
      <c r="UO2" s="1" t="s">
        <v>11</v>
      </c>
      <c r="UP2" s="1" t="s">
        <v>11</v>
      </c>
      <c r="UQ2" s="1" t="s">
        <v>11</v>
      </c>
      <c r="UR2" s="1" t="s">
        <v>11</v>
      </c>
      <c r="US2" s="1" t="s">
        <v>11</v>
      </c>
      <c r="UT2" s="1" t="s">
        <v>11</v>
      </c>
      <c r="UU2" s="1" t="s">
        <v>11</v>
      </c>
      <c r="UV2" s="1" t="s">
        <v>11</v>
      </c>
      <c r="UW2" s="1" t="s">
        <v>11</v>
      </c>
      <c r="UX2" s="1" t="s">
        <v>11</v>
      </c>
      <c r="UY2" s="1" t="s">
        <v>11</v>
      </c>
      <c r="UZ2" s="1" t="s">
        <v>11</v>
      </c>
      <c r="VA2" s="1" t="s">
        <v>11</v>
      </c>
      <c r="VB2" s="1" t="s">
        <v>11</v>
      </c>
      <c r="VC2" s="1" t="s">
        <v>11</v>
      </c>
      <c r="VD2" s="1" t="s">
        <v>11</v>
      </c>
      <c r="VE2" s="1" t="s">
        <v>11</v>
      </c>
      <c r="VF2" s="1" t="s">
        <v>11</v>
      </c>
      <c r="VG2" s="1" t="s">
        <v>11</v>
      </c>
      <c r="VH2" s="1" t="s">
        <v>11</v>
      </c>
      <c r="VI2" s="1" t="s">
        <v>11</v>
      </c>
      <c r="VJ2" s="1" t="s">
        <v>11</v>
      </c>
      <c r="VK2" s="1" t="s">
        <v>11</v>
      </c>
      <c r="VL2" s="1" t="s">
        <v>11</v>
      </c>
      <c r="VM2" s="1" t="s">
        <v>11</v>
      </c>
      <c r="VN2" s="1" t="s">
        <v>11</v>
      </c>
      <c r="VO2" s="1" t="s">
        <v>11</v>
      </c>
      <c r="VP2" s="1" t="s">
        <v>11</v>
      </c>
      <c r="VQ2" s="1" t="s">
        <v>11</v>
      </c>
      <c r="VR2" s="1" t="s">
        <v>11</v>
      </c>
      <c r="VS2" s="1" t="s">
        <v>11</v>
      </c>
      <c r="VT2" s="1" t="s">
        <v>11</v>
      </c>
      <c r="VU2" s="1" t="s">
        <v>11</v>
      </c>
      <c r="VV2" s="1" t="s">
        <v>11</v>
      </c>
      <c r="VW2" s="1" t="s">
        <v>11</v>
      </c>
      <c r="VX2" s="1" t="s">
        <v>11</v>
      </c>
      <c r="VY2" s="1" t="s">
        <v>11</v>
      </c>
      <c r="VZ2" s="1" t="s">
        <v>11</v>
      </c>
      <c r="WA2" s="1" t="s">
        <v>11</v>
      </c>
      <c r="WB2" s="1" t="s">
        <v>11</v>
      </c>
      <c r="WC2" s="1" t="s">
        <v>11</v>
      </c>
      <c r="WD2" s="1" t="s">
        <v>11</v>
      </c>
      <c r="WE2" s="1" t="s">
        <v>11</v>
      </c>
      <c r="WF2" s="1" t="s">
        <v>11</v>
      </c>
      <c r="WG2" s="1" t="s">
        <v>11</v>
      </c>
      <c r="WH2" s="1" t="s">
        <v>11</v>
      </c>
      <c r="WI2" s="1" t="s">
        <v>11</v>
      </c>
      <c r="WJ2" s="1" t="s">
        <v>11</v>
      </c>
      <c r="WK2" s="1" t="s">
        <v>11</v>
      </c>
      <c r="WL2" s="1" t="s">
        <v>11</v>
      </c>
      <c r="WM2" s="1" t="s">
        <v>11</v>
      </c>
      <c r="WN2" s="1" t="s">
        <v>11</v>
      </c>
      <c r="WO2" s="1" t="s">
        <v>11</v>
      </c>
      <c r="WP2" s="1" t="s">
        <v>11</v>
      </c>
      <c r="WQ2" s="1" t="s">
        <v>11</v>
      </c>
      <c r="WR2" s="1" t="s">
        <v>11</v>
      </c>
      <c r="WS2" s="1" t="s">
        <v>11</v>
      </c>
      <c r="WT2" s="1" t="s">
        <v>11</v>
      </c>
      <c r="WU2" s="1" t="s">
        <v>11</v>
      </c>
      <c r="WV2" s="1" t="s">
        <v>11</v>
      </c>
      <c r="WW2" s="1" t="s">
        <v>11</v>
      </c>
      <c r="WX2" s="1" t="s">
        <v>11</v>
      </c>
      <c r="WY2" s="1" t="s">
        <v>11</v>
      </c>
      <c r="WZ2" s="1" t="s">
        <v>11</v>
      </c>
      <c r="XA2" s="1" t="s">
        <v>11</v>
      </c>
      <c r="XB2" s="1" t="s">
        <v>11</v>
      </c>
      <c r="XC2" s="1" t="s">
        <v>11</v>
      </c>
      <c r="XD2" s="1" t="s">
        <v>11</v>
      </c>
      <c r="XE2" s="1" t="s">
        <v>11</v>
      </c>
      <c r="XF2" s="1" t="s">
        <v>11</v>
      </c>
      <c r="XG2" s="1" t="s">
        <v>11</v>
      </c>
      <c r="XH2" s="1" t="s">
        <v>11</v>
      </c>
      <c r="XI2" s="1" t="s">
        <v>11</v>
      </c>
      <c r="XJ2" s="33" t="s">
        <v>11</v>
      </c>
      <c r="XK2" s="33" t="s">
        <v>11</v>
      </c>
      <c r="XL2" s="33" t="s">
        <v>11</v>
      </c>
      <c r="XM2" s="33" t="s">
        <v>11</v>
      </c>
      <c r="XN2" s="33" t="s">
        <v>11</v>
      </c>
      <c r="XO2" s="33" t="s">
        <v>11</v>
      </c>
      <c r="XP2" s="33" t="s">
        <v>11</v>
      </c>
      <c r="XQ2" s="33" t="s">
        <v>11</v>
      </c>
      <c r="XR2" s="33" t="s">
        <v>11</v>
      </c>
      <c r="XS2" s="33" t="s">
        <v>11</v>
      </c>
      <c r="XT2" s="33" t="s">
        <v>11</v>
      </c>
      <c r="XU2" s="33" t="s">
        <v>11</v>
      </c>
      <c r="XV2" s="33" t="s">
        <v>11</v>
      </c>
      <c r="XW2" s="33" t="s">
        <v>11</v>
      </c>
      <c r="XX2" s="33" t="s">
        <v>11</v>
      </c>
      <c r="XY2" s="33" t="s">
        <v>11</v>
      </c>
      <c r="XZ2" s="33" t="s">
        <v>11</v>
      </c>
      <c r="YA2" s="33" t="s">
        <v>11</v>
      </c>
      <c r="YB2" s="33" t="s">
        <v>11</v>
      </c>
      <c r="YC2" s="33" t="s">
        <v>11</v>
      </c>
      <c r="YD2" s="33" t="s">
        <v>11</v>
      </c>
      <c r="YE2" s="33" t="s">
        <v>11</v>
      </c>
      <c r="YF2" s="33" t="s">
        <v>11</v>
      </c>
      <c r="YG2" s="33" t="s">
        <v>11</v>
      </c>
      <c r="YH2" s="33" t="s">
        <v>11</v>
      </c>
      <c r="YI2" s="33" t="s">
        <v>11</v>
      </c>
      <c r="YJ2" s="33" t="s">
        <v>11</v>
      </c>
      <c r="YK2" s="33" t="s">
        <v>11</v>
      </c>
      <c r="YL2" s="33" t="s">
        <v>11</v>
      </c>
      <c r="YM2" s="33" t="s">
        <v>11</v>
      </c>
      <c r="YN2" s="33" t="s">
        <v>11</v>
      </c>
      <c r="YO2" s="33" t="s">
        <v>11</v>
      </c>
      <c r="YP2" s="33" t="s">
        <v>11</v>
      </c>
      <c r="YQ2" s="33" t="s">
        <v>11</v>
      </c>
      <c r="YR2" s="33" t="s">
        <v>11</v>
      </c>
      <c r="YS2" s="33" t="s">
        <v>11</v>
      </c>
      <c r="YT2" s="33" t="s">
        <v>11</v>
      </c>
      <c r="YU2" s="33" t="s">
        <v>11</v>
      </c>
      <c r="YV2" s="33" t="s">
        <v>11</v>
      </c>
      <c r="YW2" s="33" t="s">
        <v>11</v>
      </c>
      <c r="YX2" s="33" t="s">
        <v>11</v>
      </c>
      <c r="YY2" s="33" t="s">
        <v>11</v>
      </c>
      <c r="YZ2" s="33" t="s">
        <v>11</v>
      </c>
      <c r="ZA2" s="33" t="s">
        <v>11</v>
      </c>
      <c r="ZB2" s="33" t="s">
        <v>11</v>
      </c>
      <c r="ZC2" s="33" t="s">
        <v>11</v>
      </c>
      <c r="ZD2" s="33" t="s">
        <v>11</v>
      </c>
      <c r="ZE2" s="33" t="s">
        <v>11</v>
      </c>
      <c r="ZF2" s="33" t="s">
        <v>11</v>
      </c>
      <c r="ZG2" s="33" t="s">
        <v>11</v>
      </c>
      <c r="ZH2" s="33" t="s">
        <v>11</v>
      </c>
      <c r="ZI2" s="33" t="s">
        <v>11</v>
      </c>
      <c r="ZJ2" s="33" t="s">
        <v>11</v>
      </c>
      <c r="ZK2" s="33" t="s">
        <v>11</v>
      </c>
      <c r="ZL2" s="33" t="s">
        <v>11</v>
      </c>
      <c r="ZM2" s="33" t="s">
        <v>11</v>
      </c>
      <c r="ZN2" s="33" t="s">
        <v>11</v>
      </c>
      <c r="ZO2" s="33" t="s">
        <v>11</v>
      </c>
      <c r="ZP2" s="33" t="s">
        <v>11</v>
      </c>
      <c r="ZQ2" s="33" t="s">
        <v>11</v>
      </c>
      <c r="ZR2" s="33" t="s">
        <v>11</v>
      </c>
      <c r="ZS2" s="33" t="s">
        <v>11</v>
      </c>
      <c r="ZT2" s="33" t="s">
        <v>11</v>
      </c>
      <c r="ZU2" s="33" t="s">
        <v>11</v>
      </c>
      <c r="ZV2" s="33" t="s">
        <v>11</v>
      </c>
      <c r="ZW2" s="33" t="s">
        <v>11</v>
      </c>
      <c r="ZX2" s="33" t="s">
        <v>11</v>
      </c>
      <c r="ZY2" s="33" t="s">
        <v>11</v>
      </c>
      <c r="ZZ2" s="33" t="s">
        <v>11</v>
      </c>
      <c r="AAA2" s="33" t="s">
        <v>11</v>
      </c>
      <c r="AAB2" s="33" t="s">
        <v>11</v>
      </c>
      <c r="AAC2" s="33" t="s">
        <v>11</v>
      </c>
      <c r="AAD2" s="33" t="s">
        <v>11</v>
      </c>
      <c r="AAE2" s="33" t="s">
        <v>11</v>
      </c>
      <c r="AAF2" s="33" t="s">
        <v>11</v>
      </c>
      <c r="AAG2" s="33" t="s">
        <v>11</v>
      </c>
      <c r="AAH2" s="33" t="s">
        <v>11</v>
      </c>
      <c r="AAI2" s="33" t="s">
        <v>11</v>
      </c>
      <c r="AAJ2" s="33" t="s">
        <v>11</v>
      </c>
      <c r="AAK2" s="33" t="s">
        <v>11</v>
      </c>
      <c r="AAL2" s="33" t="s">
        <v>11</v>
      </c>
      <c r="AAM2" s="33" t="s">
        <v>11</v>
      </c>
      <c r="AAN2" s="33" t="s">
        <v>11</v>
      </c>
      <c r="AAO2" s="33" t="s">
        <v>11</v>
      </c>
      <c r="AAP2" s="33" t="s">
        <v>11</v>
      </c>
      <c r="AAQ2" s="33" t="s">
        <v>11</v>
      </c>
      <c r="AAR2" s="33" t="s">
        <v>11</v>
      </c>
      <c r="AAS2" s="33" t="s">
        <v>11</v>
      </c>
      <c r="AAT2" s="33" t="s">
        <v>11</v>
      </c>
      <c r="AAU2" s="33" t="s">
        <v>11</v>
      </c>
      <c r="AAV2" s="33" t="s">
        <v>11</v>
      </c>
      <c r="AAW2" s="33" t="s">
        <v>11</v>
      </c>
      <c r="AAX2" s="33" t="s">
        <v>11</v>
      </c>
      <c r="AAY2" s="33" t="s">
        <v>11</v>
      </c>
      <c r="AAZ2" s="33" t="s">
        <v>11</v>
      </c>
      <c r="ABA2" s="33" t="s">
        <v>11</v>
      </c>
      <c r="ABB2" s="33" t="s">
        <v>11</v>
      </c>
      <c r="ABC2" s="33" t="s">
        <v>11</v>
      </c>
      <c r="ABD2" s="33" t="s">
        <v>11</v>
      </c>
      <c r="ABE2" s="33" t="s">
        <v>11</v>
      </c>
      <c r="ABF2" s="33" t="s">
        <v>11</v>
      </c>
      <c r="ABG2" s="33" t="s">
        <v>11</v>
      </c>
      <c r="ABH2" s="33" t="s">
        <v>11</v>
      </c>
      <c r="ABI2" s="33" t="s">
        <v>11</v>
      </c>
      <c r="ABJ2" s="33" t="s">
        <v>11</v>
      </c>
      <c r="ABK2" s="33" t="s">
        <v>11</v>
      </c>
      <c r="ABL2" s="33" t="s">
        <v>11</v>
      </c>
      <c r="ABM2" s="33" t="s">
        <v>11</v>
      </c>
      <c r="ABN2" s="33" t="s">
        <v>11</v>
      </c>
      <c r="ABO2" s="33" t="s">
        <v>11</v>
      </c>
      <c r="ABP2" s="33" t="s">
        <v>11</v>
      </c>
      <c r="ABQ2" s="33" t="s">
        <v>11</v>
      </c>
      <c r="ABR2" s="33" t="s">
        <v>11</v>
      </c>
      <c r="ABS2" s="33" t="s">
        <v>11</v>
      </c>
      <c r="ABT2" s="33" t="s">
        <v>11</v>
      </c>
      <c r="ABU2" s="33" t="s">
        <v>11</v>
      </c>
      <c r="ABV2" s="33" t="s">
        <v>11</v>
      </c>
      <c r="ABW2" s="33" t="s">
        <v>11</v>
      </c>
      <c r="ABX2" s="33" t="s">
        <v>11</v>
      </c>
      <c r="ABY2" s="33" t="s">
        <v>11</v>
      </c>
      <c r="ABZ2" s="33" t="s">
        <v>11</v>
      </c>
      <c r="ACA2" s="33" t="s">
        <v>11</v>
      </c>
      <c r="ACB2" s="33" t="s">
        <v>11</v>
      </c>
      <c r="ACC2" s="33" t="s">
        <v>11</v>
      </c>
      <c r="ACD2" s="33" t="s">
        <v>11</v>
      </c>
      <c r="ACE2" s="33" t="s">
        <v>11</v>
      </c>
      <c r="ACF2" s="33" t="s">
        <v>11</v>
      </c>
      <c r="ACG2" s="33" t="s">
        <v>11</v>
      </c>
      <c r="ACH2" s="33" t="s">
        <v>11</v>
      </c>
      <c r="ACI2" s="33" t="s">
        <v>11</v>
      </c>
      <c r="ACJ2" s="33" t="s">
        <v>11</v>
      </c>
      <c r="ACK2" s="33" t="s">
        <v>11</v>
      </c>
      <c r="ACL2" s="33" t="s">
        <v>11</v>
      </c>
      <c r="ACM2" s="33" t="s">
        <v>11</v>
      </c>
      <c r="ACN2" s="33" t="s">
        <v>11</v>
      </c>
      <c r="ACO2" s="33" t="s">
        <v>11</v>
      </c>
      <c r="ACP2" s="33" t="s">
        <v>11</v>
      </c>
      <c r="ACQ2" s="33" t="s">
        <v>11</v>
      </c>
      <c r="ACR2" s="33" t="s">
        <v>11</v>
      </c>
      <c r="ACS2" s="33" t="s">
        <v>11</v>
      </c>
      <c r="ACT2" s="33" t="s">
        <v>11</v>
      </c>
      <c r="ACU2" s="33" t="s">
        <v>11</v>
      </c>
      <c r="ACV2" s="33" t="s">
        <v>11</v>
      </c>
      <c r="ACW2" s="33" t="s">
        <v>11</v>
      </c>
      <c r="ACX2" s="33" t="s">
        <v>11</v>
      </c>
      <c r="ACY2" s="33" t="s">
        <v>11</v>
      </c>
      <c r="ACZ2" s="33" t="s">
        <v>11</v>
      </c>
      <c r="ADA2" s="33" t="s">
        <v>11</v>
      </c>
      <c r="ADB2" s="33" t="s">
        <v>11</v>
      </c>
      <c r="ADC2" s="33" t="s">
        <v>11</v>
      </c>
      <c r="ADD2" s="33" t="s">
        <v>11</v>
      </c>
      <c r="ADE2" s="33" t="s">
        <v>11</v>
      </c>
      <c r="ADF2" s="33" t="s">
        <v>11</v>
      </c>
      <c r="ADG2" s="33" t="s">
        <v>11</v>
      </c>
      <c r="ADH2" s="33" t="s">
        <v>11</v>
      </c>
      <c r="ADI2" s="33" t="s">
        <v>11</v>
      </c>
      <c r="ADJ2" s="33" t="s">
        <v>11</v>
      </c>
      <c r="ADK2" s="33" t="s">
        <v>11</v>
      </c>
      <c r="ADL2" s="33" t="s">
        <v>11</v>
      </c>
      <c r="ADM2" s="33" t="s">
        <v>11</v>
      </c>
      <c r="ADN2" s="33" t="s">
        <v>11</v>
      </c>
      <c r="ADO2" s="33" t="s">
        <v>11</v>
      </c>
      <c r="ADP2" s="33" t="s">
        <v>11</v>
      </c>
      <c r="ADQ2" s="33" t="s">
        <v>11</v>
      </c>
      <c r="ADR2" s="33" t="s">
        <v>11</v>
      </c>
      <c r="ADS2" s="33" t="s">
        <v>11</v>
      </c>
      <c r="ADT2" s="33" t="s">
        <v>11</v>
      </c>
      <c r="ADU2" s="33" t="s">
        <v>11</v>
      </c>
      <c r="ADV2" s="33" t="s">
        <v>11</v>
      </c>
      <c r="ADW2" s="33" t="s">
        <v>11</v>
      </c>
      <c r="ADX2" s="33" t="s">
        <v>11</v>
      </c>
      <c r="ADY2" s="33" t="s">
        <v>11</v>
      </c>
      <c r="ADZ2" s="33" t="s">
        <v>11</v>
      </c>
      <c r="AEA2" s="33" t="s">
        <v>11</v>
      </c>
      <c r="AEB2" s="33" t="s">
        <v>11</v>
      </c>
      <c r="AEC2" s="33" t="s">
        <v>11</v>
      </c>
      <c r="AED2" s="33" t="s">
        <v>11</v>
      </c>
      <c r="AEE2" s="33" t="s">
        <v>11</v>
      </c>
      <c r="AEF2" s="33" t="s">
        <v>11</v>
      </c>
      <c r="AEG2" s="33" t="s">
        <v>11</v>
      </c>
      <c r="AEH2" s="33" t="s">
        <v>11</v>
      </c>
      <c r="AEI2" s="33" t="s">
        <v>11</v>
      </c>
      <c r="AEJ2" s="33" t="s">
        <v>11</v>
      </c>
      <c r="AEK2" s="33" t="s">
        <v>11</v>
      </c>
      <c r="AEL2" s="33" t="s">
        <v>11</v>
      </c>
      <c r="AEM2" s="33" t="s">
        <v>11</v>
      </c>
      <c r="AEN2" s="33" t="s">
        <v>11</v>
      </c>
      <c r="AEO2" s="33" t="s">
        <v>11</v>
      </c>
      <c r="AEP2" s="33" t="s">
        <v>11</v>
      </c>
      <c r="AEQ2" s="33" t="s">
        <v>11</v>
      </c>
      <c r="AER2" s="33" t="s">
        <v>11</v>
      </c>
      <c r="AES2" s="33" t="s">
        <v>11</v>
      </c>
      <c r="AET2" s="33" t="s">
        <v>11</v>
      </c>
      <c r="AEU2" s="33" t="s">
        <v>11</v>
      </c>
      <c r="AEV2" s="33" t="s">
        <v>11</v>
      </c>
      <c r="AEW2" s="33" t="s">
        <v>11</v>
      </c>
      <c r="AEX2" s="33" t="s">
        <v>11</v>
      </c>
      <c r="AEY2" s="33" t="s">
        <v>11</v>
      </c>
      <c r="AEZ2" s="33" t="s">
        <v>11</v>
      </c>
      <c r="AFA2" s="33" t="s">
        <v>11</v>
      </c>
      <c r="AFB2" s="33" t="s">
        <v>11</v>
      </c>
      <c r="AFC2" s="33" t="s">
        <v>11</v>
      </c>
      <c r="AFD2" s="33" t="s">
        <v>11</v>
      </c>
      <c r="AFE2" s="33" t="s">
        <v>11</v>
      </c>
      <c r="AFF2" s="33"/>
      <c r="AFG2" s="33"/>
      <c r="AFH2" s="33"/>
      <c r="AFI2" s="33"/>
      <c r="AFJ2" s="33"/>
      <c r="AFK2" s="33"/>
      <c r="AFL2" s="5" t="s">
        <v>12</v>
      </c>
    </row>
    <row r="3" spans="1:845" ht="15" thickBot="1" x14ac:dyDescent="0.35">
      <c r="B3" s="8" t="s">
        <v>176</v>
      </c>
      <c r="C3" s="8" t="s">
        <v>0</v>
      </c>
      <c r="D3" s="8" t="s">
        <v>6</v>
      </c>
      <c r="E3" s="29">
        <v>43693</v>
      </c>
      <c r="F3" s="29">
        <v>43697</v>
      </c>
      <c r="G3" s="29">
        <v>43703</v>
      </c>
      <c r="H3" s="29">
        <v>43705</v>
      </c>
      <c r="I3" s="29">
        <v>43706</v>
      </c>
      <c r="J3" s="29">
        <v>43707</v>
      </c>
      <c r="K3" s="29">
        <v>43711</v>
      </c>
      <c r="L3" s="29">
        <v>43712</v>
      </c>
      <c r="M3" s="29">
        <v>43713</v>
      </c>
      <c r="N3" s="29">
        <v>43717</v>
      </c>
      <c r="O3" s="29">
        <v>43718</v>
      </c>
      <c r="P3" s="29">
        <v>43719</v>
      </c>
      <c r="Q3" s="29">
        <v>43720</v>
      </c>
      <c r="R3" s="29">
        <v>43721</v>
      </c>
      <c r="S3" s="29">
        <v>43724</v>
      </c>
      <c r="T3" s="29">
        <v>43726</v>
      </c>
      <c r="U3" s="29">
        <v>43727</v>
      </c>
      <c r="V3" s="29">
        <v>43731</v>
      </c>
      <c r="W3" s="29">
        <v>43733</v>
      </c>
      <c r="X3" s="29">
        <v>43735</v>
      </c>
      <c r="Y3" s="29">
        <v>43739</v>
      </c>
      <c r="Z3" s="29">
        <v>43740</v>
      </c>
      <c r="AA3" s="29">
        <v>43741</v>
      </c>
      <c r="AB3" s="29">
        <v>43742</v>
      </c>
      <c r="AC3" s="29">
        <v>43745</v>
      </c>
      <c r="AD3" s="29">
        <v>43746</v>
      </c>
      <c r="AE3" s="29">
        <v>43747</v>
      </c>
      <c r="AF3" s="29">
        <v>43748</v>
      </c>
      <c r="AG3" s="29">
        <v>43749</v>
      </c>
      <c r="AH3" s="29">
        <v>43752</v>
      </c>
      <c r="AI3" s="29">
        <v>43755</v>
      </c>
      <c r="AJ3" s="29">
        <v>43759</v>
      </c>
      <c r="AK3" s="29">
        <v>43760</v>
      </c>
      <c r="AL3" s="29">
        <v>43761</v>
      </c>
      <c r="AM3" s="29">
        <v>43762</v>
      </c>
      <c r="AN3" s="29">
        <v>43763</v>
      </c>
      <c r="AO3" s="29">
        <v>43766</v>
      </c>
      <c r="AP3" s="29">
        <v>43769</v>
      </c>
      <c r="AQ3" s="29">
        <v>43773</v>
      </c>
      <c r="AR3" s="29">
        <v>43775</v>
      </c>
      <c r="AS3" s="29">
        <v>43776</v>
      </c>
      <c r="AT3" s="29">
        <v>43777</v>
      </c>
      <c r="AU3" s="29">
        <v>43780</v>
      </c>
      <c r="AV3" s="29">
        <v>43781</v>
      </c>
      <c r="AW3" s="29">
        <v>43782</v>
      </c>
      <c r="AX3" s="29">
        <v>43783</v>
      </c>
      <c r="AY3" s="29">
        <v>43787</v>
      </c>
      <c r="AZ3" s="29">
        <v>43790</v>
      </c>
      <c r="BA3" s="29">
        <v>43791</v>
      </c>
      <c r="BB3" s="29">
        <v>43794</v>
      </c>
      <c r="BC3" s="29">
        <v>43796</v>
      </c>
      <c r="BD3" s="29">
        <v>43797</v>
      </c>
      <c r="BE3" s="29">
        <v>43798</v>
      </c>
      <c r="BF3" s="29">
        <v>43801</v>
      </c>
      <c r="BG3" s="29">
        <v>43804</v>
      </c>
      <c r="BH3" s="29">
        <v>43805</v>
      </c>
      <c r="BI3" s="29">
        <v>43808</v>
      </c>
      <c r="BJ3" s="29">
        <v>43810</v>
      </c>
      <c r="BK3" s="29">
        <v>43811</v>
      </c>
      <c r="BL3" s="29">
        <v>43812</v>
      </c>
      <c r="BM3" s="29">
        <v>43815</v>
      </c>
      <c r="BN3" s="29">
        <v>43816</v>
      </c>
      <c r="BO3" s="29">
        <v>43817</v>
      </c>
      <c r="BP3" s="29">
        <v>43819</v>
      </c>
      <c r="BQ3" s="29">
        <v>43825</v>
      </c>
      <c r="BR3" s="29">
        <v>43833</v>
      </c>
      <c r="BS3" s="29">
        <v>43837</v>
      </c>
      <c r="BT3" s="29">
        <v>43844</v>
      </c>
      <c r="BU3" s="29">
        <v>43845</v>
      </c>
      <c r="BV3" s="29">
        <v>43846</v>
      </c>
      <c r="BW3" s="29">
        <v>43851</v>
      </c>
      <c r="BX3" s="29">
        <v>43852</v>
      </c>
      <c r="BY3" s="29">
        <v>43853</v>
      </c>
      <c r="BZ3" s="29">
        <v>43854</v>
      </c>
      <c r="CA3" s="29">
        <v>43857</v>
      </c>
      <c r="CB3" s="29">
        <v>43858</v>
      </c>
      <c r="CC3" s="29">
        <v>43859</v>
      </c>
      <c r="CD3" s="29">
        <v>43860</v>
      </c>
      <c r="CE3" s="29">
        <v>43861</v>
      </c>
      <c r="CF3" s="29">
        <v>43864</v>
      </c>
      <c r="CG3" s="29">
        <v>43865</v>
      </c>
      <c r="CH3" s="29">
        <v>43866</v>
      </c>
      <c r="CI3" s="29">
        <v>43867</v>
      </c>
      <c r="CJ3" s="29">
        <v>43868</v>
      </c>
      <c r="CK3" s="29">
        <v>43871</v>
      </c>
      <c r="CL3" s="29">
        <v>43872</v>
      </c>
      <c r="CM3" s="29">
        <v>43873</v>
      </c>
      <c r="CN3" s="29">
        <v>43874</v>
      </c>
      <c r="CO3" s="29">
        <v>43878</v>
      </c>
      <c r="CP3" s="29">
        <v>43879</v>
      </c>
      <c r="CQ3" s="29">
        <v>43881</v>
      </c>
      <c r="CR3" s="29">
        <v>43882</v>
      </c>
      <c r="CS3" s="29">
        <v>43887</v>
      </c>
      <c r="CT3" s="29">
        <v>43888</v>
      </c>
      <c r="CU3" s="29">
        <v>43889</v>
      </c>
      <c r="CV3" s="29">
        <v>43892</v>
      </c>
      <c r="CW3" s="29">
        <v>43893</v>
      </c>
      <c r="CX3" s="29">
        <v>43894</v>
      </c>
      <c r="CY3" s="29">
        <v>43895</v>
      </c>
      <c r="CZ3" s="29">
        <v>43896</v>
      </c>
      <c r="DA3" s="29">
        <v>43899</v>
      </c>
      <c r="DB3" s="29">
        <v>43900</v>
      </c>
      <c r="DC3" s="29">
        <v>43901</v>
      </c>
      <c r="DD3" s="29">
        <v>43902</v>
      </c>
      <c r="DE3" s="29">
        <v>43906</v>
      </c>
      <c r="DF3" s="29">
        <v>43920</v>
      </c>
      <c r="DG3" s="29">
        <v>43924</v>
      </c>
      <c r="DH3" s="29">
        <v>43929</v>
      </c>
      <c r="DI3" s="29">
        <v>43936</v>
      </c>
      <c r="DJ3" s="29">
        <v>43942</v>
      </c>
      <c r="DK3" s="29">
        <v>43945</v>
      </c>
      <c r="DL3" s="29">
        <v>43948</v>
      </c>
      <c r="DM3" s="29">
        <v>43950</v>
      </c>
      <c r="DN3" s="29">
        <v>43955</v>
      </c>
      <c r="DO3" s="29">
        <v>43956</v>
      </c>
      <c r="DP3" s="29">
        <v>43957</v>
      </c>
      <c r="DQ3" s="29">
        <v>43958</v>
      </c>
      <c r="DR3" s="29">
        <v>43959</v>
      </c>
      <c r="DS3" s="29">
        <v>43963</v>
      </c>
      <c r="DT3" s="29">
        <v>43965</v>
      </c>
      <c r="DU3" s="29">
        <v>43966</v>
      </c>
      <c r="DV3" s="29">
        <v>43969</v>
      </c>
      <c r="DW3" s="29">
        <v>43970</v>
      </c>
      <c r="DX3" s="29">
        <v>43971</v>
      </c>
      <c r="DY3" s="29">
        <v>43972</v>
      </c>
      <c r="DZ3" s="29">
        <v>43973</v>
      </c>
      <c r="EA3" s="29">
        <v>43976</v>
      </c>
      <c r="EB3" s="29">
        <v>43977</v>
      </c>
      <c r="EC3" s="29">
        <v>43978</v>
      </c>
      <c r="ED3" s="29">
        <v>43979</v>
      </c>
      <c r="EE3" s="29">
        <v>43980</v>
      </c>
      <c r="EF3" s="29">
        <v>43983</v>
      </c>
      <c r="EG3" s="29">
        <v>43984</v>
      </c>
      <c r="EH3" s="29">
        <v>43985</v>
      </c>
      <c r="EI3" s="29">
        <v>43986</v>
      </c>
      <c r="EJ3" s="29">
        <v>43987</v>
      </c>
      <c r="EK3" s="29">
        <v>43990</v>
      </c>
      <c r="EL3" s="29">
        <v>43991</v>
      </c>
      <c r="EM3" s="29">
        <v>43992</v>
      </c>
      <c r="EN3" s="29">
        <v>43993</v>
      </c>
      <c r="EO3" s="29">
        <v>43994</v>
      </c>
      <c r="EP3" s="29">
        <v>43997</v>
      </c>
      <c r="EQ3" s="29">
        <v>43998</v>
      </c>
      <c r="ER3" s="29">
        <v>44000</v>
      </c>
      <c r="ES3" s="29">
        <v>44004</v>
      </c>
      <c r="ET3" s="29">
        <v>44006</v>
      </c>
      <c r="EU3" s="29">
        <v>44007</v>
      </c>
      <c r="EV3" s="29">
        <v>44011</v>
      </c>
      <c r="EW3" s="29">
        <v>44013</v>
      </c>
      <c r="EX3" s="29">
        <v>44014</v>
      </c>
      <c r="EY3" s="29">
        <v>44018</v>
      </c>
      <c r="EZ3" s="29">
        <v>44020</v>
      </c>
      <c r="FA3" s="29">
        <v>44021</v>
      </c>
      <c r="FB3" s="29">
        <v>44022</v>
      </c>
      <c r="FC3" s="29">
        <v>44025</v>
      </c>
      <c r="FD3" s="29">
        <v>44026</v>
      </c>
      <c r="FE3" s="29">
        <v>44027</v>
      </c>
      <c r="FF3" s="29">
        <v>44028</v>
      </c>
      <c r="FG3" s="29">
        <v>44032</v>
      </c>
      <c r="FH3" s="29">
        <v>44033</v>
      </c>
      <c r="FI3" s="29">
        <v>44034</v>
      </c>
      <c r="FJ3" s="29">
        <v>44035</v>
      </c>
      <c r="FK3" s="29">
        <v>44039</v>
      </c>
      <c r="FL3" s="29">
        <v>44041</v>
      </c>
      <c r="FM3" s="29">
        <v>44042</v>
      </c>
      <c r="FN3" s="29">
        <v>44043</v>
      </c>
      <c r="FO3" s="29">
        <v>44046</v>
      </c>
      <c r="FP3" s="29">
        <v>44047</v>
      </c>
      <c r="FQ3" s="29">
        <v>44048</v>
      </c>
      <c r="FR3" s="29">
        <v>44049</v>
      </c>
      <c r="FS3" s="29">
        <v>44050</v>
      </c>
      <c r="FT3" s="29">
        <v>44053</v>
      </c>
      <c r="FU3" s="29">
        <v>44054</v>
      </c>
      <c r="FV3" s="29">
        <v>44055</v>
      </c>
      <c r="FW3" s="29">
        <v>44056</v>
      </c>
      <c r="FX3" s="29">
        <v>44057</v>
      </c>
      <c r="FY3" s="29">
        <v>44060</v>
      </c>
      <c r="FZ3" s="29">
        <v>44061</v>
      </c>
      <c r="GA3" s="29">
        <v>44062</v>
      </c>
      <c r="GB3" s="29">
        <v>44067</v>
      </c>
      <c r="GC3" s="29">
        <v>44068</v>
      </c>
      <c r="GD3" s="29">
        <v>44069</v>
      </c>
      <c r="GE3" s="29">
        <v>44070</v>
      </c>
      <c r="GF3" s="29">
        <v>44074</v>
      </c>
      <c r="GG3" s="29">
        <v>44075</v>
      </c>
      <c r="GH3" s="29">
        <v>44076</v>
      </c>
      <c r="GI3" s="29">
        <v>44077</v>
      </c>
      <c r="GJ3" s="29">
        <v>44078</v>
      </c>
      <c r="GK3" s="29">
        <v>44081</v>
      </c>
      <c r="GL3" s="29">
        <v>44082</v>
      </c>
      <c r="GM3" s="29">
        <v>44083</v>
      </c>
      <c r="GN3" s="29">
        <v>44084</v>
      </c>
      <c r="GO3" s="29">
        <v>44085</v>
      </c>
      <c r="GP3" s="29">
        <v>44088</v>
      </c>
      <c r="GQ3" s="29">
        <v>44089</v>
      </c>
      <c r="GR3" s="29">
        <v>44090</v>
      </c>
      <c r="GS3" s="29">
        <v>44095</v>
      </c>
      <c r="GT3" s="29">
        <v>44096</v>
      </c>
      <c r="GU3" s="29">
        <v>44097</v>
      </c>
      <c r="GV3" s="29">
        <v>44098</v>
      </c>
      <c r="GW3" s="29">
        <v>44099</v>
      </c>
      <c r="GX3" s="29">
        <v>44102</v>
      </c>
      <c r="GY3" s="29">
        <v>44103</v>
      </c>
      <c r="GZ3" s="29">
        <v>44104</v>
      </c>
      <c r="HA3" s="29">
        <v>44105</v>
      </c>
      <c r="HB3" s="29">
        <v>44109</v>
      </c>
      <c r="HC3" s="29">
        <v>44110</v>
      </c>
      <c r="HD3" s="29">
        <v>44111</v>
      </c>
      <c r="HE3" s="29">
        <v>44112</v>
      </c>
      <c r="HF3" s="29">
        <v>44117</v>
      </c>
      <c r="HG3" s="29">
        <v>44118</v>
      </c>
      <c r="HH3" s="29">
        <v>44119</v>
      </c>
      <c r="HI3" s="29">
        <v>44120</v>
      </c>
      <c r="HJ3" s="29">
        <v>44123</v>
      </c>
      <c r="HK3" s="29">
        <v>44124</v>
      </c>
      <c r="HL3" s="29">
        <v>44125</v>
      </c>
      <c r="HM3" s="29">
        <v>44126</v>
      </c>
      <c r="HN3" s="29">
        <v>44130</v>
      </c>
      <c r="HO3" s="29">
        <v>44134</v>
      </c>
      <c r="HP3" s="29">
        <v>44137</v>
      </c>
      <c r="HQ3" s="29">
        <v>44138</v>
      </c>
      <c r="HR3" s="29">
        <v>44139</v>
      </c>
      <c r="HS3" s="29">
        <v>44140</v>
      </c>
      <c r="HT3" s="29">
        <v>44141</v>
      </c>
      <c r="HU3" s="29">
        <v>44144</v>
      </c>
      <c r="HV3" s="29">
        <v>44145</v>
      </c>
      <c r="HW3" s="29">
        <v>44146</v>
      </c>
      <c r="HX3" s="29">
        <v>44147</v>
      </c>
      <c r="HY3" s="29">
        <v>44151</v>
      </c>
      <c r="HZ3" s="29">
        <v>44152</v>
      </c>
      <c r="IA3" s="29">
        <v>44153</v>
      </c>
      <c r="IB3" s="29">
        <v>44154</v>
      </c>
      <c r="IC3" s="29">
        <v>44185</v>
      </c>
      <c r="ID3" s="29">
        <v>44158</v>
      </c>
      <c r="IE3" s="29">
        <v>44159</v>
      </c>
      <c r="IF3" s="29">
        <v>44160</v>
      </c>
      <c r="IG3" s="29">
        <v>44161</v>
      </c>
      <c r="IH3" s="29">
        <v>44162</v>
      </c>
      <c r="II3" s="29">
        <v>44165</v>
      </c>
      <c r="IJ3" s="29">
        <v>44166</v>
      </c>
      <c r="IK3" s="29">
        <v>44167</v>
      </c>
      <c r="IL3" s="29">
        <v>44168</v>
      </c>
      <c r="IM3" s="29">
        <v>44169</v>
      </c>
      <c r="IN3" s="29">
        <v>44172</v>
      </c>
      <c r="IO3" s="29">
        <v>44173</v>
      </c>
      <c r="IP3" s="29">
        <v>44174</v>
      </c>
      <c r="IQ3" s="29">
        <v>44175</v>
      </c>
      <c r="IR3" s="29">
        <v>44176</v>
      </c>
      <c r="IS3" s="29">
        <v>44179</v>
      </c>
      <c r="IT3" s="29">
        <v>44180</v>
      </c>
      <c r="IU3" s="29">
        <v>44181</v>
      </c>
      <c r="IV3" s="29">
        <v>44182</v>
      </c>
      <c r="IW3" s="29">
        <v>44186</v>
      </c>
      <c r="IX3" s="29">
        <v>44188</v>
      </c>
      <c r="IY3" s="29">
        <v>44193</v>
      </c>
      <c r="IZ3" s="29">
        <v>44194</v>
      </c>
      <c r="JA3" s="29">
        <v>44200</v>
      </c>
      <c r="JB3" s="29">
        <v>44201</v>
      </c>
      <c r="JC3" s="29">
        <v>44202</v>
      </c>
      <c r="JD3" s="29">
        <v>44204</v>
      </c>
      <c r="JE3" s="29">
        <v>44207</v>
      </c>
      <c r="JF3" s="29">
        <v>44208</v>
      </c>
      <c r="JG3" s="29" t="s">
        <v>26</v>
      </c>
      <c r="JH3" s="29">
        <v>44211</v>
      </c>
      <c r="JI3" s="29">
        <v>44214</v>
      </c>
      <c r="JJ3" s="29">
        <v>44215</v>
      </c>
      <c r="JK3" s="29">
        <v>44216</v>
      </c>
      <c r="JL3" s="29">
        <v>44217</v>
      </c>
      <c r="JM3" s="29">
        <v>44218</v>
      </c>
      <c r="JN3" s="29">
        <v>44222</v>
      </c>
      <c r="JO3" s="29">
        <v>44223</v>
      </c>
      <c r="JP3" s="29">
        <v>44224</v>
      </c>
      <c r="JQ3" s="29">
        <v>44225</v>
      </c>
      <c r="JR3" s="29">
        <v>44228</v>
      </c>
      <c r="JS3" s="29">
        <v>44229</v>
      </c>
      <c r="JT3" s="29">
        <v>44230</v>
      </c>
      <c r="JU3" s="29">
        <v>44231</v>
      </c>
      <c r="JV3" s="29">
        <v>44232</v>
      </c>
      <c r="JW3" s="29">
        <v>44235</v>
      </c>
      <c r="JX3" s="29">
        <v>44236</v>
      </c>
      <c r="JY3" s="29">
        <v>44237</v>
      </c>
      <c r="JZ3" s="29">
        <v>44238</v>
      </c>
      <c r="KA3" s="29">
        <v>44239</v>
      </c>
      <c r="KB3" s="29">
        <v>44244</v>
      </c>
      <c r="KC3" s="29">
        <v>44246</v>
      </c>
      <c r="KD3" s="29">
        <v>44249</v>
      </c>
      <c r="KE3" s="29">
        <v>44250</v>
      </c>
      <c r="KF3" s="29">
        <v>44251</v>
      </c>
      <c r="KG3" s="29">
        <v>44252</v>
      </c>
      <c r="KH3" s="29">
        <v>44253</v>
      </c>
      <c r="KI3" s="29">
        <v>44255</v>
      </c>
      <c r="KJ3" s="29">
        <v>44256</v>
      </c>
      <c r="KK3" s="29">
        <v>44257</v>
      </c>
      <c r="KL3" s="29">
        <v>44258</v>
      </c>
      <c r="KM3" s="29">
        <v>44259</v>
      </c>
      <c r="KN3" s="29">
        <v>44260</v>
      </c>
      <c r="KO3" s="29">
        <v>44263</v>
      </c>
      <c r="KP3" s="29">
        <v>44264</v>
      </c>
      <c r="KQ3" s="29">
        <v>44266</v>
      </c>
      <c r="KR3" s="29">
        <v>44267</v>
      </c>
      <c r="KS3" s="29">
        <v>44270</v>
      </c>
      <c r="KT3" s="29">
        <v>44271</v>
      </c>
      <c r="KU3" s="29">
        <v>44272</v>
      </c>
      <c r="KV3" s="29">
        <v>44274</v>
      </c>
      <c r="KW3" s="29">
        <v>44277</v>
      </c>
      <c r="KX3" s="29">
        <v>44278</v>
      </c>
      <c r="KY3" s="29">
        <v>44279</v>
      </c>
      <c r="KZ3" s="29">
        <v>44280</v>
      </c>
      <c r="LA3" s="29">
        <v>44281</v>
      </c>
      <c r="LB3" s="29">
        <v>44285</v>
      </c>
      <c r="LC3" s="29">
        <v>44291</v>
      </c>
      <c r="LD3" s="29">
        <v>44292</v>
      </c>
      <c r="LE3" s="29">
        <v>44293</v>
      </c>
      <c r="LF3" s="29">
        <v>44294</v>
      </c>
      <c r="LG3" s="29">
        <v>44298</v>
      </c>
      <c r="LH3" s="29">
        <v>44299</v>
      </c>
      <c r="LI3" s="29">
        <v>44300</v>
      </c>
      <c r="LJ3" s="29">
        <v>44301</v>
      </c>
      <c r="LK3" s="29">
        <v>44302</v>
      </c>
      <c r="LL3" s="29">
        <v>44306</v>
      </c>
      <c r="LM3" s="29">
        <v>44307</v>
      </c>
      <c r="LN3" s="29">
        <v>44308</v>
      </c>
      <c r="LO3" s="29">
        <v>44309</v>
      </c>
      <c r="LP3" s="29">
        <v>44312</v>
      </c>
      <c r="LQ3" s="29">
        <v>44313</v>
      </c>
      <c r="LR3" s="29">
        <v>44314</v>
      </c>
      <c r="LS3" s="29">
        <v>44315</v>
      </c>
      <c r="LT3" s="29">
        <v>44316</v>
      </c>
      <c r="LU3" s="29">
        <v>44319</v>
      </c>
      <c r="LV3" s="29">
        <v>44320</v>
      </c>
      <c r="LW3" s="29">
        <v>44321</v>
      </c>
      <c r="LX3" s="29">
        <v>44323</v>
      </c>
      <c r="LY3" s="29">
        <v>44326</v>
      </c>
      <c r="LZ3" s="29">
        <v>44327</v>
      </c>
      <c r="MA3" s="29">
        <v>44328</v>
      </c>
      <c r="MB3" s="29">
        <v>44329</v>
      </c>
      <c r="MC3" s="29">
        <v>44330</v>
      </c>
      <c r="MD3" s="29">
        <v>44333</v>
      </c>
      <c r="ME3" s="29">
        <v>44334</v>
      </c>
      <c r="MF3" s="29">
        <v>44336</v>
      </c>
      <c r="MG3" s="29">
        <v>44337</v>
      </c>
      <c r="MH3" s="29">
        <v>44340</v>
      </c>
      <c r="MI3" s="29">
        <v>44341</v>
      </c>
      <c r="MJ3" s="29">
        <v>44343</v>
      </c>
      <c r="MK3" s="29">
        <v>44344</v>
      </c>
      <c r="ML3" s="29">
        <v>44347</v>
      </c>
      <c r="MM3" s="29">
        <v>44348</v>
      </c>
      <c r="MN3" s="29">
        <v>44351</v>
      </c>
      <c r="MO3" s="29">
        <v>44354</v>
      </c>
      <c r="MP3" s="29">
        <v>44355</v>
      </c>
      <c r="MQ3" s="29">
        <v>44356</v>
      </c>
      <c r="MR3" s="29">
        <v>44357</v>
      </c>
      <c r="MS3" s="29">
        <v>44358</v>
      </c>
      <c r="MT3" s="29">
        <v>44361</v>
      </c>
      <c r="MU3" s="29">
        <v>44362</v>
      </c>
      <c r="MV3" s="29">
        <v>44363</v>
      </c>
      <c r="MW3" s="29">
        <v>44364</v>
      </c>
      <c r="MX3" s="29">
        <v>44365</v>
      </c>
      <c r="MY3" s="29">
        <v>44368</v>
      </c>
      <c r="MZ3" s="29">
        <v>44369</v>
      </c>
      <c r="NA3" s="29">
        <v>44370</v>
      </c>
      <c r="NB3" s="29">
        <v>44371</v>
      </c>
      <c r="NC3" s="29">
        <v>44376</v>
      </c>
      <c r="ND3" s="29">
        <v>44377</v>
      </c>
      <c r="NE3" s="29">
        <v>44379</v>
      </c>
      <c r="NF3" s="29">
        <v>44383</v>
      </c>
      <c r="NG3" s="29">
        <v>44384</v>
      </c>
      <c r="NH3" s="29">
        <v>44385</v>
      </c>
      <c r="NI3" s="29">
        <v>44386</v>
      </c>
      <c r="NJ3" s="29">
        <v>44389</v>
      </c>
      <c r="NK3" s="29">
        <v>44390</v>
      </c>
      <c r="NL3" s="29">
        <v>44391</v>
      </c>
      <c r="NM3" s="29">
        <v>44392</v>
      </c>
      <c r="NN3" s="29">
        <v>44393</v>
      </c>
      <c r="NO3" s="29">
        <v>44396</v>
      </c>
      <c r="NP3" s="29">
        <v>44397</v>
      </c>
      <c r="NQ3" s="29">
        <v>44398</v>
      </c>
      <c r="NR3" s="29">
        <v>44399</v>
      </c>
      <c r="NS3" s="29">
        <v>44400</v>
      </c>
      <c r="NT3" s="29">
        <v>44403</v>
      </c>
      <c r="NU3" s="29">
        <v>44404</v>
      </c>
      <c r="NV3" s="29">
        <v>44405</v>
      </c>
      <c r="NW3" s="29">
        <v>44406</v>
      </c>
      <c r="NX3" s="29">
        <v>44407</v>
      </c>
      <c r="NY3" s="29">
        <v>44410</v>
      </c>
      <c r="NZ3" s="29">
        <v>44411</v>
      </c>
      <c r="OA3" s="29">
        <v>44412</v>
      </c>
      <c r="OB3" s="29">
        <v>44413</v>
      </c>
      <c r="OC3" s="29">
        <v>44414</v>
      </c>
      <c r="OD3" s="29">
        <v>44417</v>
      </c>
      <c r="OE3" s="29">
        <v>44418</v>
      </c>
      <c r="OF3" s="29">
        <v>44419</v>
      </c>
      <c r="OG3" s="29">
        <v>44420</v>
      </c>
      <c r="OH3" s="29">
        <v>44421</v>
      </c>
      <c r="OI3" s="29">
        <v>44424</v>
      </c>
      <c r="OJ3" s="29">
        <v>44425</v>
      </c>
      <c r="OK3" s="29">
        <v>44426</v>
      </c>
      <c r="OL3" s="29">
        <v>44427</v>
      </c>
      <c r="OM3" s="29">
        <v>44428</v>
      </c>
      <c r="ON3" s="29">
        <v>44431</v>
      </c>
      <c r="OO3" s="29">
        <v>44432</v>
      </c>
      <c r="OP3" s="29">
        <v>44433</v>
      </c>
      <c r="OQ3" s="29">
        <v>44434</v>
      </c>
      <c r="OR3" s="29">
        <v>44435</v>
      </c>
      <c r="OS3" s="29">
        <v>44438</v>
      </c>
      <c r="OT3" s="29">
        <v>44439</v>
      </c>
      <c r="OU3" s="29">
        <v>44441</v>
      </c>
      <c r="OV3" s="29">
        <v>44442</v>
      </c>
      <c r="OW3" s="29">
        <v>44447</v>
      </c>
      <c r="OX3" s="29">
        <v>44448</v>
      </c>
      <c r="OY3" s="29">
        <v>44449</v>
      </c>
      <c r="OZ3" s="29">
        <v>44452</v>
      </c>
      <c r="PA3" s="29">
        <v>44453</v>
      </c>
      <c r="PB3" s="29">
        <v>44454</v>
      </c>
      <c r="PC3" s="29">
        <v>44455</v>
      </c>
      <c r="PD3" s="29">
        <v>44456</v>
      </c>
      <c r="PE3" s="29">
        <v>44459</v>
      </c>
      <c r="PF3" s="29">
        <v>44460</v>
      </c>
      <c r="PG3" s="29">
        <v>44461</v>
      </c>
      <c r="PH3" s="29">
        <v>44462</v>
      </c>
      <c r="PI3" s="29">
        <v>44466</v>
      </c>
      <c r="PJ3" s="29">
        <v>44467</v>
      </c>
      <c r="PK3" s="29">
        <v>44468</v>
      </c>
      <c r="PL3" s="29">
        <v>44470</v>
      </c>
      <c r="PM3" s="29">
        <v>44473</v>
      </c>
      <c r="PN3" s="29">
        <v>44474</v>
      </c>
      <c r="PO3" s="29">
        <v>44475</v>
      </c>
      <c r="PP3" s="29">
        <v>44476</v>
      </c>
      <c r="PQ3" s="29">
        <v>44477</v>
      </c>
      <c r="PR3" s="29">
        <v>44481</v>
      </c>
      <c r="PS3" s="29">
        <v>44482</v>
      </c>
      <c r="PT3" s="29">
        <v>44483</v>
      </c>
      <c r="PU3" s="29">
        <v>44484</v>
      </c>
      <c r="PV3" s="29">
        <v>44487</v>
      </c>
      <c r="PW3" s="29">
        <v>44488</v>
      </c>
      <c r="PX3" s="29">
        <v>44489</v>
      </c>
      <c r="PY3" s="29">
        <v>44490</v>
      </c>
      <c r="PZ3" s="29">
        <v>44491</v>
      </c>
      <c r="QA3" s="29">
        <v>44494</v>
      </c>
      <c r="QB3" s="29">
        <v>44495</v>
      </c>
      <c r="QC3" s="29">
        <v>44496</v>
      </c>
      <c r="QD3" s="29">
        <v>44497</v>
      </c>
      <c r="QE3" s="29">
        <v>44498</v>
      </c>
      <c r="QF3" s="29">
        <v>44501</v>
      </c>
      <c r="QG3" s="29">
        <v>44502</v>
      </c>
      <c r="QH3" s="29">
        <v>44503</v>
      </c>
      <c r="QI3" s="29">
        <v>44504</v>
      </c>
      <c r="QJ3" s="29">
        <v>44505</v>
      </c>
      <c r="QK3" s="29">
        <v>44508</v>
      </c>
      <c r="QL3" s="29">
        <v>44509</v>
      </c>
      <c r="QM3" s="29">
        <v>44510</v>
      </c>
      <c r="QN3" s="29">
        <v>44511</v>
      </c>
      <c r="QO3" s="29">
        <v>44512</v>
      </c>
      <c r="QP3" s="29">
        <v>44515</v>
      </c>
      <c r="QQ3" s="29">
        <v>44516</v>
      </c>
      <c r="QR3" s="29">
        <v>44517</v>
      </c>
      <c r="QS3" s="29">
        <v>44518</v>
      </c>
      <c r="QT3" s="29">
        <v>44519</v>
      </c>
      <c r="QU3" s="29">
        <v>44522</v>
      </c>
      <c r="QV3" s="29">
        <v>44523</v>
      </c>
      <c r="QW3" s="29">
        <v>44524</v>
      </c>
      <c r="QX3" s="29">
        <v>44526</v>
      </c>
      <c r="QY3" s="29">
        <v>44529</v>
      </c>
      <c r="QZ3" s="29">
        <v>44530</v>
      </c>
      <c r="RA3" s="29">
        <v>44531</v>
      </c>
      <c r="RB3" s="29">
        <v>44532</v>
      </c>
      <c r="RC3" s="29">
        <v>44533</v>
      </c>
      <c r="RD3" s="29">
        <v>44536</v>
      </c>
      <c r="RE3" s="29">
        <v>44537</v>
      </c>
      <c r="RF3" s="29">
        <v>44538</v>
      </c>
      <c r="RG3" s="29">
        <v>44539</v>
      </c>
      <c r="RH3" s="29">
        <v>44540</v>
      </c>
      <c r="RI3" s="29">
        <v>44543</v>
      </c>
      <c r="RJ3" s="29">
        <v>44544</v>
      </c>
      <c r="RK3" s="29">
        <v>44545</v>
      </c>
      <c r="RL3" s="29">
        <v>44547</v>
      </c>
      <c r="RM3" s="29">
        <v>44550</v>
      </c>
      <c r="RN3" s="29">
        <v>44551</v>
      </c>
      <c r="RO3" s="29">
        <v>44552</v>
      </c>
      <c r="RP3" s="29">
        <v>44558</v>
      </c>
      <c r="RQ3" s="29">
        <v>44564</v>
      </c>
      <c r="RR3" s="29">
        <v>44565</v>
      </c>
      <c r="RS3" s="29">
        <v>44566</v>
      </c>
      <c r="RT3" s="29">
        <v>44567</v>
      </c>
      <c r="RU3" s="29">
        <v>44568</v>
      </c>
      <c r="RV3" s="29">
        <v>44571</v>
      </c>
      <c r="RW3" s="29">
        <v>44572</v>
      </c>
      <c r="RX3" s="29">
        <v>44573</v>
      </c>
      <c r="RY3" s="29">
        <v>44574</v>
      </c>
      <c r="RZ3" s="29">
        <v>44575</v>
      </c>
      <c r="SA3" s="29">
        <v>44578</v>
      </c>
      <c r="SB3" s="29">
        <v>44579</v>
      </c>
      <c r="SC3" s="29">
        <v>44580</v>
      </c>
      <c r="SD3" s="29">
        <v>44581</v>
      </c>
      <c r="SE3" s="29">
        <v>44582</v>
      </c>
      <c r="SF3" s="29">
        <v>44585</v>
      </c>
      <c r="SG3" s="29">
        <v>44586</v>
      </c>
      <c r="SH3" s="29">
        <v>44587</v>
      </c>
      <c r="SI3" s="29">
        <v>44588</v>
      </c>
      <c r="SJ3" s="29">
        <v>44593</v>
      </c>
      <c r="SK3" s="29">
        <v>44594</v>
      </c>
      <c r="SL3" s="29">
        <v>44595</v>
      </c>
      <c r="SM3" s="29">
        <v>44596</v>
      </c>
      <c r="SN3" s="29">
        <v>44599</v>
      </c>
      <c r="SO3" s="29">
        <v>44600</v>
      </c>
      <c r="SP3" s="29">
        <v>44601</v>
      </c>
      <c r="SQ3" s="29">
        <v>44602</v>
      </c>
      <c r="SR3" s="29">
        <v>44603</v>
      </c>
      <c r="SS3" s="29">
        <v>44606</v>
      </c>
      <c r="ST3" s="29">
        <v>44608</v>
      </c>
      <c r="SU3" s="29">
        <v>44609</v>
      </c>
      <c r="SV3" s="29">
        <v>44610</v>
      </c>
      <c r="SW3" s="29">
        <v>44613</v>
      </c>
      <c r="SX3" s="29">
        <v>44614</v>
      </c>
      <c r="SY3" s="29">
        <v>44615</v>
      </c>
      <c r="SZ3" s="29">
        <v>44616</v>
      </c>
      <c r="TA3" s="29">
        <v>44617</v>
      </c>
      <c r="TB3" s="29">
        <v>44622</v>
      </c>
      <c r="TC3" s="29">
        <v>44623</v>
      </c>
      <c r="TD3" s="29">
        <v>44624</v>
      </c>
      <c r="TE3" s="29">
        <v>44627</v>
      </c>
      <c r="TF3" s="29">
        <v>44628</v>
      </c>
      <c r="TG3" s="29">
        <v>44629</v>
      </c>
      <c r="TH3" s="29">
        <v>44630</v>
      </c>
      <c r="TI3" s="29">
        <v>44631</v>
      </c>
      <c r="TJ3" s="29">
        <v>44634</v>
      </c>
      <c r="TK3" s="29">
        <v>44635</v>
      </c>
      <c r="TL3" s="29">
        <v>44636</v>
      </c>
      <c r="TM3" s="29">
        <v>44637</v>
      </c>
      <c r="TN3" s="29">
        <v>44641</v>
      </c>
      <c r="TO3" s="29">
        <v>44642</v>
      </c>
      <c r="TP3" s="29">
        <v>44643</v>
      </c>
      <c r="TQ3" s="29">
        <v>44644</v>
      </c>
      <c r="TR3" s="29">
        <v>44645</v>
      </c>
      <c r="TS3" s="29">
        <v>44648</v>
      </c>
      <c r="TT3" s="29">
        <v>44649</v>
      </c>
      <c r="TU3" s="29">
        <v>44650</v>
      </c>
      <c r="TV3" s="29">
        <v>44651</v>
      </c>
      <c r="TW3" s="29">
        <v>44652</v>
      </c>
      <c r="TX3" s="29">
        <v>44655</v>
      </c>
      <c r="TY3" s="29">
        <v>44656</v>
      </c>
      <c r="TZ3" s="29">
        <v>44657</v>
      </c>
      <c r="UA3" s="29">
        <v>44658</v>
      </c>
      <c r="UB3" s="29">
        <v>44659</v>
      </c>
      <c r="UC3" s="29">
        <v>44662</v>
      </c>
      <c r="UD3" s="29">
        <v>44663</v>
      </c>
      <c r="UE3" s="29">
        <v>44664</v>
      </c>
      <c r="UF3" s="29">
        <v>44669</v>
      </c>
      <c r="UG3" s="29">
        <v>44671</v>
      </c>
      <c r="UH3" s="29">
        <v>44673</v>
      </c>
      <c r="UI3" s="29">
        <v>44676</v>
      </c>
      <c r="UJ3" s="29">
        <v>44677</v>
      </c>
      <c r="UK3" s="29">
        <v>44678</v>
      </c>
      <c r="UL3" s="29">
        <v>44679</v>
      </c>
      <c r="UM3" s="29">
        <v>44680</v>
      </c>
      <c r="UN3" s="29">
        <v>44683</v>
      </c>
      <c r="UO3" s="29">
        <v>44684</v>
      </c>
      <c r="UP3" s="29">
        <v>44685</v>
      </c>
      <c r="UQ3" s="29">
        <v>44686</v>
      </c>
      <c r="UR3" s="29">
        <v>44687</v>
      </c>
      <c r="US3" s="29">
        <v>44690</v>
      </c>
      <c r="UT3" s="29">
        <v>44691</v>
      </c>
      <c r="UU3" s="29">
        <v>44692</v>
      </c>
      <c r="UV3" s="29">
        <v>44693</v>
      </c>
      <c r="UW3" s="29">
        <v>44694</v>
      </c>
      <c r="UX3" s="29">
        <v>44697</v>
      </c>
      <c r="UY3" s="29">
        <v>44698</v>
      </c>
      <c r="UZ3" s="29">
        <v>44699</v>
      </c>
      <c r="VA3" s="29">
        <v>44700</v>
      </c>
      <c r="VB3" s="29">
        <v>44701</v>
      </c>
      <c r="VC3" s="29">
        <v>44704</v>
      </c>
      <c r="VD3" s="29">
        <v>44705</v>
      </c>
      <c r="VE3" s="29">
        <v>44706</v>
      </c>
      <c r="VF3" s="29">
        <v>44707</v>
      </c>
      <c r="VG3" s="29">
        <v>44708</v>
      </c>
      <c r="VH3" s="29">
        <v>44711</v>
      </c>
      <c r="VI3" s="29">
        <v>44712</v>
      </c>
      <c r="VJ3" s="29">
        <v>44713</v>
      </c>
      <c r="VK3" s="29">
        <v>44714</v>
      </c>
      <c r="VL3" s="29">
        <v>44715</v>
      </c>
      <c r="VM3" s="29">
        <v>44718</v>
      </c>
      <c r="VN3" s="29">
        <v>44719</v>
      </c>
      <c r="VO3" s="29">
        <v>44720</v>
      </c>
      <c r="VP3" s="29">
        <v>44721</v>
      </c>
      <c r="VQ3" s="29">
        <v>44722</v>
      </c>
      <c r="VR3" s="29">
        <v>44725</v>
      </c>
      <c r="VS3" s="29">
        <v>44726</v>
      </c>
      <c r="VT3" s="29">
        <v>44727</v>
      </c>
      <c r="VU3" s="29">
        <v>44728</v>
      </c>
      <c r="VV3" s="29">
        <v>44729</v>
      </c>
      <c r="VW3" s="29">
        <v>44732</v>
      </c>
      <c r="VX3" s="29">
        <v>44733</v>
      </c>
      <c r="VY3" s="29">
        <v>44734</v>
      </c>
      <c r="VZ3" s="29">
        <v>44735</v>
      </c>
      <c r="WA3" s="29">
        <v>44739</v>
      </c>
      <c r="WB3" s="29">
        <v>44740</v>
      </c>
      <c r="WC3" s="29">
        <v>44742</v>
      </c>
      <c r="WD3" s="29">
        <v>44743</v>
      </c>
      <c r="WE3" s="29">
        <v>44747</v>
      </c>
      <c r="WF3" s="29">
        <v>44748</v>
      </c>
      <c r="WG3" s="29">
        <v>44749</v>
      </c>
      <c r="WH3" s="29">
        <v>44750</v>
      </c>
      <c r="WI3" s="29">
        <v>44753</v>
      </c>
      <c r="WJ3" s="29">
        <v>44754</v>
      </c>
      <c r="WK3" s="29">
        <v>44755</v>
      </c>
      <c r="WL3" s="29">
        <v>44756</v>
      </c>
      <c r="WM3" s="29">
        <v>44757</v>
      </c>
      <c r="WN3" s="29">
        <v>44760</v>
      </c>
      <c r="WO3" s="29">
        <v>44761</v>
      </c>
      <c r="WP3" s="29">
        <v>44762</v>
      </c>
      <c r="WQ3" s="29">
        <v>44763</v>
      </c>
      <c r="WR3" s="29">
        <v>44764</v>
      </c>
      <c r="WS3" s="29">
        <v>44767</v>
      </c>
      <c r="WT3" s="29">
        <v>44768</v>
      </c>
      <c r="WU3" s="29">
        <v>44769</v>
      </c>
      <c r="WV3" s="29">
        <v>44770</v>
      </c>
      <c r="WW3" s="29">
        <v>44771</v>
      </c>
      <c r="WX3" s="29">
        <v>44774</v>
      </c>
      <c r="WY3" s="29">
        <v>44775</v>
      </c>
      <c r="WZ3" s="29">
        <v>44776</v>
      </c>
      <c r="XA3" s="29">
        <v>44777</v>
      </c>
      <c r="XB3" s="29">
        <v>44778</v>
      </c>
      <c r="XC3" s="29">
        <v>44781</v>
      </c>
      <c r="XD3" s="29">
        <v>44782</v>
      </c>
      <c r="XE3" s="29">
        <v>44783</v>
      </c>
      <c r="XF3" s="29">
        <v>44784</v>
      </c>
      <c r="XG3" s="29">
        <v>44785</v>
      </c>
      <c r="XH3" s="29">
        <v>44788</v>
      </c>
      <c r="XI3" s="29">
        <v>44789</v>
      </c>
      <c r="XJ3" s="29">
        <v>44790</v>
      </c>
      <c r="XK3" s="29">
        <v>44791</v>
      </c>
      <c r="XL3" s="29">
        <v>44792</v>
      </c>
      <c r="XM3" s="29">
        <v>44795</v>
      </c>
      <c r="XN3" s="29">
        <v>44796</v>
      </c>
      <c r="XO3" s="29">
        <v>44798</v>
      </c>
      <c r="XP3" s="29">
        <v>44799</v>
      </c>
      <c r="XQ3" s="29">
        <v>44803</v>
      </c>
      <c r="XR3" s="29">
        <v>44804</v>
      </c>
      <c r="XS3" s="29">
        <v>44805</v>
      </c>
      <c r="XT3" s="29">
        <v>44809</v>
      </c>
      <c r="XU3" s="29">
        <v>44810</v>
      </c>
      <c r="XV3" s="29">
        <v>44811</v>
      </c>
      <c r="XW3" s="29">
        <v>44812</v>
      </c>
      <c r="XX3" s="29">
        <v>44813</v>
      </c>
      <c r="XY3" s="29">
        <v>44816</v>
      </c>
      <c r="XZ3" s="29">
        <v>44817</v>
      </c>
      <c r="YA3" s="29">
        <v>44818</v>
      </c>
      <c r="YB3" s="29">
        <v>44819</v>
      </c>
      <c r="YC3" s="29">
        <v>44820</v>
      </c>
      <c r="YD3" s="29">
        <v>44823</v>
      </c>
      <c r="YE3" s="29">
        <v>44824</v>
      </c>
      <c r="YF3" s="29">
        <v>44825</v>
      </c>
      <c r="YG3" s="29">
        <v>44826</v>
      </c>
      <c r="YH3" s="29">
        <v>44830</v>
      </c>
      <c r="YI3" s="29">
        <v>44831</v>
      </c>
      <c r="YJ3" s="29">
        <v>44833</v>
      </c>
      <c r="YK3" s="29">
        <v>44834</v>
      </c>
      <c r="YL3" s="29">
        <v>44837</v>
      </c>
      <c r="YM3" s="29">
        <v>44839</v>
      </c>
      <c r="YN3" s="29">
        <v>44840</v>
      </c>
      <c r="YO3" s="29">
        <v>44841</v>
      </c>
      <c r="YP3" s="29">
        <v>44844</v>
      </c>
      <c r="YQ3" s="29">
        <v>44845</v>
      </c>
      <c r="YR3" s="29">
        <v>44847</v>
      </c>
      <c r="YS3" s="29">
        <v>44848</v>
      </c>
      <c r="YT3" s="29">
        <v>44851</v>
      </c>
      <c r="YU3" s="29">
        <v>44852</v>
      </c>
      <c r="YV3" s="29">
        <v>44853</v>
      </c>
      <c r="YW3" s="29">
        <v>44854</v>
      </c>
      <c r="YX3" s="29">
        <v>44855</v>
      </c>
      <c r="YY3" s="29">
        <v>44858</v>
      </c>
      <c r="YZ3" s="29">
        <v>44859</v>
      </c>
      <c r="ZA3" s="29">
        <v>44861</v>
      </c>
      <c r="ZB3" s="29">
        <v>44865</v>
      </c>
      <c r="ZC3" s="29">
        <v>44866</v>
      </c>
      <c r="ZD3" s="29">
        <v>44867</v>
      </c>
      <c r="ZE3" s="29">
        <v>44868</v>
      </c>
      <c r="ZF3" s="29">
        <v>44869</v>
      </c>
      <c r="ZG3" s="29">
        <v>44872</v>
      </c>
      <c r="ZH3" s="29">
        <v>44873</v>
      </c>
      <c r="ZI3" s="29">
        <v>44874</v>
      </c>
      <c r="ZJ3" s="29">
        <v>44875</v>
      </c>
      <c r="ZK3" s="29">
        <v>44876</v>
      </c>
      <c r="ZL3" s="29">
        <v>44879</v>
      </c>
      <c r="ZM3" s="29">
        <v>44880</v>
      </c>
      <c r="ZN3" s="29">
        <v>44881</v>
      </c>
      <c r="ZO3" s="29">
        <v>44882</v>
      </c>
      <c r="ZP3" s="29">
        <v>44883</v>
      </c>
      <c r="ZQ3" s="29">
        <v>44887</v>
      </c>
      <c r="ZR3" s="29">
        <v>44888</v>
      </c>
      <c r="ZS3" s="29">
        <v>44889</v>
      </c>
      <c r="ZT3" s="29">
        <v>44890</v>
      </c>
      <c r="ZU3" s="29">
        <v>44893</v>
      </c>
      <c r="ZV3" s="29">
        <v>44894</v>
      </c>
      <c r="ZW3" s="29">
        <v>44895</v>
      </c>
      <c r="ZX3" s="29">
        <v>44896</v>
      </c>
      <c r="ZY3" s="29">
        <v>44900</v>
      </c>
      <c r="ZZ3" s="29">
        <v>44901</v>
      </c>
      <c r="AAA3" s="29">
        <v>44902</v>
      </c>
      <c r="AAB3" s="29">
        <v>44903</v>
      </c>
      <c r="AAC3" s="29">
        <v>44904</v>
      </c>
      <c r="AAD3" s="29">
        <v>44907</v>
      </c>
      <c r="AAE3" s="29">
        <v>44908</v>
      </c>
      <c r="AAF3" s="29">
        <v>44909</v>
      </c>
      <c r="AAG3" s="29">
        <v>44910</v>
      </c>
      <c r="AAH3" s="29">
        <v>44914</v>
      </c>
      <c r="AAI3" s="29">
        <v>44915</v>
      </c>
      <c r="AAJ3" s="29">
        <v>44916</v>
      </c>
      <c r="AAK3" s="29">
        <v>44917</v>
      </c>
      <c r="AAL3" s="29">
        <v>44918</v>
      </c>
      <c r="AAM3" s="29">
        <v>44930</v>
      </c>
      <c r="AAN3" s="29">
        <v>44931</v>
      </c>
      <c r="AAO3" s="29">
        <v>44932</v>
      </c>
      <c r="AAP3" s="29">
        <v>44936</v>
      </c>
      <c r="AAQ3" s="29">
        <v>44937</v>
      </c>
      <c r="AAR3" s="29">
        <v>44938</v>
      </c>
      <c r="AAS3" s="29">
        <v>44939</v>
      </c>
      <c r="AAT3" s="29">
        <v>44942</v>
      </c>
      <c r="AAU3" s="29">
        <v>44943</v>
      </c>
      <c r="AAV3" s="29">
        <v>44944</v>
      </c>
      <c r="AAW3" s="29">
        <v>44945</v>
      </c>
      <c r="AAX3" s="29">
        <v>44946</v>
      </c>
      <c r="AAY3" s="29">
        <v>44949</v>
      </c>
      <c r="AAZ3" s="29">
        <v>44950</v>
      </c>
      <c r="ABA3" s="29">
        <v>44951</v>
      </c>
      <c r="ABB3" s="29">
        <v>44952</v>
      </c>
      <c r="ABC3" s="29">
        <v>44953</v>
      </c>
      <c r="ABD3" s="29">
        <v>44956</v>
      </c>
      <c r="ABE3" s="29">
        <v>44957</v>
      </c>
      <c r="ABF3" s="29">
        <v>44958</v>
      </c>
      <c r="ABG3" s="29">
        <v>44960</v>
      </c>
      <c r="ABH3" s="29">
        <v>44963</v>
      </c>
      <c r="ABI3" s="29">
        <v>44964</v>
      </c>
      <c r="ABJ3" s="29">
        <v>44965</v>
      </c>
      <c r="ABK3" s="29">
        <v>44966</v>
      </c>
      <c r="ABL3" s="29">
        <v>44967</v>
      </c>
      <c r="ABM3" s="29">
        <v>44970</v>
      </c>
      <c r="ABN3" s="29">
        <v>44971</v>
      </c>
      <c r="ABO3" s="29">
        <v>44972</v>
      </c>
      <c r="ABP3" s="29">
        <v>44973</v>
      </c>
      <c r="ABQ3" s="29">
        <v>44974</v>
      </c>
      <c r="ABR3" s="29">
        <v>44979</v>
      </c>
      <c r="ABS3" s="29">
        <v>44980</v>
      </c>
      <c r="ABT3" s="29">
        <v>44984</v>
      </c>
      <c r="ABU3" s="29">
        <v>44985</v>
      </c>
      <c r="ABV3" s="29">
        <v>44986</v>
      </c>
      <c r="ABW3" s="29">
        <v>44987</v>
      </c>
      <c r="ABX3" s="29">
        <v>44988</v>
      </c>
      <c r="ABY3" s="29">
        <v>44991</v>
      </c>
      <c r="ABZ3" s="29">
        <v>44992</v>
      </c>
      <c r="ACA3" s="29">
        <v>44993</v>
      </c>
      <c r="ACB3" s="29">
        <v>44994</v>
      </c>
      <c r="ACC3" s="29">
        <v>44995</v>
      </c>
      <c r="ACD3" s="29">
        <v>44999</v>
      </c>
      <c r="ACE3" s="29">
        <v>45000</v>
      </c>
      <c r="ACF3" s="29">
        <v>45001</v>
      </c>
      <c r="ACG3" s="29">
        <v>45002</v>
      </c>
      <c r="ACH3" s="29">
        <v>45005</v>
      </c>
      <c r="ACI3" s="29">
        <v>45006</v>
      </c>
      <c r="ACJ3" s="29">
        <v>45007</v>
      </c>
      <c r="ACK3" s="29">
        <v>45008</v>
      </c>
      <c r="ACL3" s="29">
        <v>45009</v>
      </c>
      <c r="ACM3" s="29">
        <v>45013</v>
      </c>
      <c r="ACN3" s="29">
        <v>45014</v>
      </c>
      <c r="ACO3" s="29">
        <v>45015</v>
      </c>
      <c r="ACP3" s="29">
        <v>45016</v>
      </c>
      <c r="ACQ3" s="29">
        <v>45020</v>
      </c>
      <c r="ACR3" s="29">
        <v>45021</v>
      </c>
      <c r="ACS3" s="29">
        <v>45026</v>
      </c>
      <c r="ACT3" s="29">
        <v>45027</v>
      </c>
      <c r="ACU3" s="29">
        <v>45028</v>
      </c>
      <c r="ACV3" s="29">
        <v>45029</v>
      </c>
      <c r="ACW3" s="29">
        <v>45030</v>
      </c>
      <c r="ACX3" s="29">
        <v>45033</v>
      </c>
      <c r="ACY3" s="29">
        <v>45034</v>
      </c>
      <c r="ACZ3" s="29">
        <v>45036</v>
      </c>
      <c r="ADA3" s="29">
        <v>45037</v>
      </c>
      <c r="ADB3" s="29">
        <v>45040</v>
      </c>
      <c r="ADC3" s="29">
        <v>45041</v>
      </c>
      <c r="ADD3" s="29">
        <v>45042</v>
      </c>
      <c r="ADE3" s="29">
        <v>45043</v>
      </c>
      <c r="ADF3" s="29">
        <v>45044</v>
      </c>
      <c r="ADG3" s="29">
        <v>45048</v>
      </c>
      <c r="ADH3" s="29">
        <v>45049</v>
      </c>
      <c r="ADI3" s="29">
        <v>45050</v>
      </c>
      <c r="ADJ3" s="29">
        <v>45054</v>
      </c>
      <c r="ADK3" s="29">
        <v>45055</v>
      </c>
      <c r="ADL3" s="29">
        <v>45056</v>
      </c>
      <c r="ADM3" s="29">
        <v>45057</v>
      </c>
      <c r="ADN3" s="29">
        <v>45058</v>
      </c>
      <c r="ADO3" s="29">
        <v>45061</v>
      </c>
      <c r="ADP3" s="29">
        <v>45062</v>
      </c>
      <c r="ADQ3" s="29">
        <v>45063</v>
      </c>
      <c r="ADR3" s="29">
        <v>45064</v>
      </c>
      <c r="ADS3" s="29">
        <v>45065</v>
      </c>
      <c r="ADT3" s="29">
        <v>45068</v>
      </c>
      <c r="ADU3" s="29">
        <v>45069</v>
      </c>
      <c r="ADV3" s="29">
        <v>45070</v>
      </c>
      <c r="ADW3" s="29">
        <v>45071</v>
      </c>
      <c r="ADX3" s="29">
        <v>45072</v>
      </c>
      <c r="ADY3" s="29">
        <v>45075</v>
      </c>
      <c r="ADZ3" s="29">
        <v>45076</v>
      </c>
      <c r="AEA3" s="29">
        <v>45077</v>
      </c>
      <c r="AEB3" s="29">
        <v>45078</v>
      </c>
      <c r="AEC3" s="29">
        <v>45079</v>
      </c>
      <c r="AED3" s="29">
        <v>45082</v>
      </c>
      <c r="AEE3" s="29">
        <v>45083</v>
      </c>
      <c r="AEF3" s="29">
        <v>45084</v>
      </c>
      <c r="AEG3" s="29">
        <v>45085</v>
      </c>
      <c r="AEH3" s="29">
        <v>45086</v>
      </c>
      <c r="AEI3" s="29">
        <v>45089</v>
      </c>
      <c r="AEJ3" s="29">
        <v>45090</v>
      </c>
      <c r="AEK3" s="29">
        <v>45091</v>
      </c>
      <c r="AEL3" s="29">
        <v>45092</v>
      </c>
      <c r="AEM3" s="29">
        <v>45093</v>
      </c>
      <c r="AEN3" s="29">
        <v>45096</v>
      </c>
      <c r="AEO3" s="29">
        <v>45097</v>
      </c>
      <c r="AEP3" s="29">
        <v>45098</v>
      </c>
      <c r="AEQ3" s="29">
        <v>45099</v>
      </c>
      <c r="AER3" s="29">
        <v>45100</v>
      </c>
      <c r="AES3" s="29">
        <v>45103</v>
      </c>
      <c r="AET3" s="29">
        <v>45104</v>
      </c>
      <c r="AEU3" s="29">
        <v>45106</v>
      </c>
      <c r="AEV3" s="29">
        <v>45110</v>
      </c>
      <c r="AEW3" s="29">
        <v>45111</v>
      </c>
      <c r="AEX3" s="29">
        <v>45112</v>
      </c>
      <c r="AEY3" s="29">
        <v>45113</v>
      </c>
      <c r="AEZ3" s="29">
        <v>45117</v>
      </c>
      <c r="AFA3" s="29">
        <v>45118</v>
      </c>
      <c r="AFB3" s="29">
        <v>45119</v>
      </c>
      <c r="AFC3" s="29">
        <v>45120</v>
      </c>
      <c r="AFD3" s="29">
        <v>45121</v>
      </c>
      <c r="AFE3" s="29">
        <v>45124</v>
      </c>
      <c r="AFF3" s="29"/>
      <c r="AFG3" s="29"/>
      <c r="AFH3" s="29"/>
      <c r="AFI3" s="29"/>
      <c r="AFJ3" s="29"/>
      <c r="AFK3" s="29"/>
      <c r="AFL3" s="29">
        <f ca="1">TODAY()</f>
        <v>45124</v>
      </c>
    </row>
    <row r="4" spans="1:845" s="4" customFormat="1" x14ac:dyDescent="0.3">
      <c r="A4" s="11"/>
      <c r="B4" s="114">
        <v>45312905</v>
      </c>
      <c r="C4" s="37" t="s">
        <v>53</v>
      </c>
      <c r="D4" s="34" t="s">
        <v>3</v>
      </c>
      <c r="E4" s="2"/>
      <c r="F4" s="2"/>
      <c r="G4" s="2"/>
      <c r="H4" s="2">
        <f>154+77</f>
        <v>231</v>
      </c>
      <c r="I4" s="2">
        <f>154+77+77</f>
        <v>308</v>
      </c>
      <c r="J4" s="2"/>
      <c r="K4" s="2">
        <v>77</v>
      </c>
      <c r="L4" s="2">
        <f>77+77</f>
        <v>154</v>
      </c>
      <c r="M4" s="2">
        <f>154+77+154</f>
        <v>385</v>
      </c>
      <c r="N4" s="2">
        <v>77</v>
      </c>
      <c r="O4" s="2">
        <v>77</v>
      </c>
      <c r="P4" s="2">
        <f>154+154</f>
        <v>308</v>
      </c>
      <c r="Q4" s="2">
        <v>77</v>
      </c>
      <c r="R4" s="2"/>
      <c r="S4" s="2"/>
      <c r="T4" s="2"/>
      <c r="U4" s="2">
        <v>66</v>
      </c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>
        <f>154+77</f>
        <v>231</v>
      </c>
      <c r="AK4" s="2">
        <v>154</v>
      </c>
      <c r="AL4" s="2"/>
      <c r="AM4" s="2">
        <f>77+77+154</f>
        <v>308</v>
      </c>
      <c r="AN4" s="2">
        <v>77</v>
      </c>
      <c r="AO4" s="2">
        <v>77</v>
      </c>
      <c r="AP4" s="2">
        <v>77</v>
      </c>
      <c r="AQ4" s="2"/>
      <c r="AR4" s="2"/>
      <c r="AS4" s="2">
        <f>154+77</f>
        <v>231</v>
      </c>
      <c r="AT4" s="2">
        <f>77+154</f>
        <v>231</v>
      </c>
      <c r="AU4" s="2">
        <f>77+77+154</f>
        <v>308</v>
      </c>
      <c r="AV4" s="2">
        <v>77</v>
      </c>
      <c r="AW4" s="2">
        <v>77</v>
      </c>
      <c r="AX4" s="2"/>
      <c r="AY4" s="2">
        <f>308+77</f>
        <v>385</v>
      </c>
      <c r="AZ4" s="2">
        <v>231</v>
      </c>
      <c r="BA4" s="2">
        <v>77</v>
      </c>
      <c r="BB4" s="2">
        <v>77</v>
      </c>
      <c r="BC4" s="2">
        <v>231</v>
      </c>
      <c r="BD4" s="2"/>
      <c r="BE4" s="2"/>
      <c r="BF4" s="2">
        <v>77</v>
      </c>
      <c r="BG4" s="2"/>
      <c r="BH4" s="2"/>
      <c r="BI4" s="2">
        <v>77</v>
      </c>
      <c r="BJ4" s="2">
        <f>308+77</f>
        <v>385</v>
      </c>
      <c r="BK4" s="2"/>
      <c r="BL4" s="2"/>
      <c r="BM4" s="2">
        <v>77</v>
      </c>
      <c r="BN4" s="2"/>
      <c r="BO4" s="2"/>
      <c r="BP4" s="2"/>
      <c r="BQ4" s="2"/>
      <c r="BR4" s="2"/>
      <c r="BS4" s="2"/>
      <c r="BT4" s="2">
        <f>154+231</f>
        <v>385</v>
      </c>
      <c r="BU4" s="2">
        <v>77</v>
      </c>
      <c r="BV4" s="2">
        <v>1</v>
      </c>
      <c r="BW4" s="2"/>
      <c r="BX4" s="2">
        <v>154</v>
      </c>
      <c r="BY4" s="2"/>
      <c r="BZ4" s="2"/>
      <c r="CA4" s="2">
        <v>77</v>
      </c>
      <c r="CB4" s="2">
        <f>77+154</f>
        <v>231</v>
      </c>
      <c r="CC4" s="2">
        <v>154</v>
      </c>
      <c r="CD4" s="2"/>
      <c r="CE4" s="2"/>
      <c r="CF4" s="2"/>
      <c r="CG4" s="2"/>
      <c r="CH4" s="2">
        <v>77</v>
      </c>
      <c r="CI4" s="2">
        <f>77+77+77</f>
        <v>231</v>
      </c>
      <c r="CJ4" s="2">
        <v>231</v>
      </c>
      <c r="CK4" s="2">
        <f>154+77</f>
        <v>231</v>
      </c>
      <c r="CL4" s="2"/>
      <c r="CM4" s="2">
        <v>154</v>
      </c>
      <c r="CN4" s="2"/>
      <c r="CO4" s="2"/>
      <c r="CP4" s="2">
        <v>308</v>
      </c>
      <c r="CQ4" s="2"/>
      <c r="CR4" s="2"/>
      <c r="CS4" s="2">
        <v>77</v>
      </c>
      <c r="CT4" s="2"/>
      <c r="CU4" s="2"/>
      <c r="CV4" s="2"/>
      <c r="CW4" s="2">
        <f>77+154</f>
        <v>231</v>
      </c>
      <c r="CX4" s="2"/>
      <c r="CY4" s="2"/>
      <c r="CZ4" s="2"/>
      <c r="DA4" s="2">
        <f>154+77</f>
        <v>231</v>
      </c>
      <c r="DB4" s="2"/>
      <c r="DC4" s="2"/>
      <c r="DD4" s="2"/>
      <c r="DE4" s="2"/>
      <c r="DF4" s="2"/>
      <c r="DG4" s="2"/>
      <c r="DH4" s="2"/>
      <c r="DI4" s="2"/>
      <c r="DJ4" s="2">
        <v>77</v>
      </c>
      <c r="DK4" s="2"/>
      <c r="DL4" s="2">
        <v>77</v>
      </c>
      <c r="DM4" s="2"/>
      <c r="DN4" s="2"/>
      <c r="DO4" s="2"/>
      <c r="DP4" s="2">
        <f>77+77</f>
        <v>154</v>
      </c>
      <c r="DQ4" s="2"/>
      <c r="DR4" s="2"/>
      <c r="DS4" s="2">
        <v>77</v>
      </c>
      <c r="DT4" s="2"/>
      <c r="DU4" s="2">
        <v>77</v>
      </c>
      <c r="DV4" s="2">
        <f>77+29</f>
        <v>106</v>
      </c>
      <c r="DW4" s="2"/>
      <c r="DX4" s="2"/>
      <c r="DY4" s="2">
        <v>1</v>
      </c>
      <c r="DZ4" s="2"/>
      <c r="EA4" s="2"/>
      <c r="EB4" s="2">
        <f>154+1</f>
        <v>155</v>
      </c>
      <c r="EC4" s="2"/>
      <c r="ED4" s="2">
        <v>231</v>
      </c>
      <c r="EE4" s="2">
        <f>308+154</f>
        <v>462</v>
      </c>
      <c r="EF4" s="2">
        <v>77</v>
      </c>
      <c r="EG4" s="2"/>
      <c r="EH4" s="2">
        <v>77</v>
      </c>
      <c r="EI4" s="2">
        <v>77</v>
      </c>
      <c r="EJ4" s="2"/>
      <c r="EK4" s="2">
        <v>308</v>
      </c>
      <c r="EL4" s="2"/>
      <c r="EM4" s="2">
        <v>1</v>
      </c>
      <c r="EN4" s="2"/>
      <c r="EO4" s="2">
        <v>154</v>
      </c>
      <c r="EP4" s="2">
        <v>154</v>
      </c>
      <c r="EQ4" s="2">
        <f>154+385+154</f>
        <v>693</v>
      </c>
      <c r="ER4" s="2"/>
      <c r="ES4" s="2"/>
      <c r="ET4" s="2"/>
      <c r="EU4" s="2"/>
      <c r="EV4" s="2"/>
      <c r="EW4" s="2">
        <f>77+308</f>
        <v>385</v>
      </c>
      <c r="EX4" s="2"/>
      <c r="EY4" s="2"/>
      <c r="EZ4" s="2"/>
      <c r="FA4" s="2">
        <f>154+154</f>
        <v>308</v>
      </c>
      <c r="FB4" s="2"/>
      <c r="FC4" s="2">
        <v>154</v>
      </c>
      <c r="FD4" s="2">
        <v>154</v>
      </c>
      <c r="FE4" s="2"/>
      <c r="FF4" s="2">
        <v>77</v>
      </c>
      <c r="FG4" s="2">
        <f>77+154</f>
        <v>231</v>
      </c>
      <c r="FH4" s="2"/>
      <c r="FI4" s="2"/>
      <c r="FJ4" s="2">
        <v>77</v>
      </c>
      <c r="FK4" s="2">
        <v>154</v>
      </c>
      <c r="FL4" s="2">
        <v>77</v>
      </c>
      <c r="FM4" s="2">
        <f>77+77</f>
        <v>154</v>
      </c>
      <c r="FN4" s="2"/>
      <c r="FO4" s="2"/>
      <c r="FP4" s="2"/>
      <c r="FQ4" s="2"/>
      <c r="FR4" s="2"/>
      <c r="FS4" s="2">
        <f>77+308</f>
        <v>385</v>
      </c>
      <c r="FT4" s="2">
        <v>154</v>
      </c>
      <c r="FU4" s="2"/>
      <c r="FV4" s="2"/>
      <c r="FW4" s="2">
        <v>77</v>
      </c>
      <c r="FX4" s="2"/>
      <c r="FY4" s="2">
        <v>154</v>
      </c>
      <c r="FZ4" s="2">
        <v>231</v>
      </c>
      <c r="GA4" s="2"/>
      <c r="GB4" s="2"/>
      <c r="GC4" s="2"/>
      <c r="GD4" s="2"/>
      <c r="GE4" s="2"/>
      <c r="GF4" s="2">
        <f>77+231+154</f>
        <v>462</v>
      </c>
      <c r="GG4" s="2"/>
      <c r="GH4" s="2"/>
      <c r="GI4" s="2"/>
      <c r="GJ4" s="2"/>
      <c r="GK4" s="2">
        <v>1</v>
      </c>
      <c r="GL4" s="2"/>
      <c r="GM4" s="2"/>
      <c r="GN4" s="2">
        <v>385</v>
      </c>
      <c r="GO4" s="2">
        <v>77</v>
      </c>
      <c r="GP4" s="2">
        <v>1</v>
      </c>
      <c r="GQ4" s="2">
        <v>77</v>
      </c>
      <c r="GR4" s="2"/>
      <c r="GS4" s="2">
        <v>154</v>
      </c>
      <c r="GT4" s="2">
        <f>77+154</f>
        <v>231</v>
      </c>
      <c r="GU4" s="2">
        <f>2+77</f>
        <v>79</v>
      </c>
      <c r="GV4" s="2">
        <v>539</v>
      </c>
      <c r="GW4" s="2"/>
      <c r="GX4" s="2"/>
      <c r="GY4" s="2"/>
      <c r="GZ4" s="2">
        <v>26</v>
      </c>
      <c r="HA4" s="2"/>
      <c r="HB4" s="2"/>
      <c r="HC4" s="2"/>
      <c r="HD4" s="2"/>
      <c r="HE4" s="2"/>
      <c r="HF4" s="2"/>
      <c r="HG4" s="2">
        <f>154+462+77</f>
        <v>693</v>
      </c>
      <c r="HH4" s="2">
        <v>154</v>
      </c>
      <c r="HI4" s="2"/>
      <c r="HJ4" s="2">
        <f>296+616</f>
        <v>912</v>
      </c>
      <c r="HK4" s="2"/>
      <c r="HL4" s="2">
        <v>1</v>
      </c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>
        <f>154+385+308+308</f>
        <v>1155</v>
      </c>
      <c r="IE4" s="2">
        <f>154+616</f>
        <v>770</v>
      </c>
      <c r="IF4" s="2">
        <f>154+231+154</f>
        <v>539</v>
      </c>
      <c r="IG4" s="2"/>
      <c r="IH4" s="2"/>
      <c r="II4" s="2">
        <v>77</v>
      </c>
      <c r="IJ4" s="2"/>
      <c r="IK4" s="2"/>
      <c r="IL4" s="2"/>
      <c r="IM4" s="2">
        <v>231</v>
      </c>
      <c r="IN4" s="2">
        <f>154+231</f>
        <v>385</v>
      </c>
      <c r="IO4" s="2">
        <v>1</v>
      </c>
      <c r="IP4" s="2"/>
      <c r="IQ4" s="2">
        <v>1</v>
      </c>
      <c r="IR4" s="2"/>
      <c r="IS4" s="2"/>
      <c r="IT4" s="2"/>
      <c r="IU4" s="2">
        <v>51</v>
      </c>
      <c r="IV4" s="2">
        <v>308</v>
      </c>
      <c r="IW4" s="2">
        <f>462+616</f>
        <v>1078</v>
      </c>
      <c r="IX4" s="2"/>
      <c r="IY4" s="2">
        <v>154</v>
      </c>
      <c r="IZ4" s="2">
        <f>77+231</f>
        <v>308</v>
      </c>
      <c r="JA4" s="2"/>
      <c r="JB4" s="2">
        <v>1</v>
      </c>
      <c r="JC4" s="2"/>
      <c r="JD4" s="2"/>
      <c r="JE4" s="2">
        <v>77</v>
      </c>
      <c r="JF4" s="2"/>
      <c r="JG4" s="2"/>
      <c r="JH4" s="2"/>
      <c r="JI4" s="2">
        <v>77</v>
      </c>
      <c r="JJ4" s="2"/>
      <c r="JK4" s="2">
        <f>77+154</f>
        <v>231</v>
      </c>
      <c r="JL4" s="2"/>
      <c r="JM4" s="9">
        <v>154</v>
      </c>
      <c r="JN4" s="9">
        <f>154+154</f>
        <v>308</v>
      </c>
      <c r="JO4" s="9">
        <f>1+308+77</f>
        <v>386</v>
      </c>
      <c r="JP4" s="9">
        <v>154</v>
      </c>
      <c r="JQ4" s="2">
        <f>770+154</f>
        <v>924</v>
      </c>
      <c r="JR4" s="2"/>
      <c r="JS4" s="2"/>
      <c r="JT4" s="2">
        <f>154+231+154</f>
        <v>539</v>
      </c>
      <c r="JU4" s="2"/>
      <c r="JV4" s="2"/>
      <c r="JW4" s="2">
        <v>154</v>
      </c>
      <c r="JX4" s="2">
        <v>308</v>
      </c>
      <c r="JY4" s="2"/>
      <c r="JZ4" s="2"/>
      <c r="KA4" s="2">
        <f>154+231+77</f>
        <v>462</v>
      </c>
      <c r="KB4" s="2">
        <f>154+231</f>
        <v>385</v>
      </c>
      <c r="KC4" s="2"/>
      <c r="KD4" s="2"/>
      <c r="KE4" s="2">
        <f>77+462</f>
        <v>539</v>
      </c>
      <c r="KF4" s="2">
        <f>77+308+308</f>
        <v>693</v>
      </c>
      <c r="KG4" s="2">
        <v>77</v>
      </c>
      <c r="KH4" s="2">
        <v>77</v>
      </c>
      <c r="KI4" s="2"/>
      <c r="KJ4" s="2">
        <v>77</v>
      </c>
      <c r="KK4" s="2"/>
      <c r="KL4" s="2"/>
      <c r="KM4" s="2"/>
      <c r="KN4" s="2">
        <v>30</v>
      </c>
      <c r="KO4" s="2"/>
      <c r="KP4" s="2"/>
      <c r="KQ4" s="2">
        <v>770</v>
      </c>
      <c r="KR4" s="2">
        <f>1+308</f>
        <v>309</v>
      </c>
      <c r="KS4" s="2"/>
      <c r="KT4" s="2">
        <f>308+154</f>
        <v>462</v>
      </c>
      <c r="KU4" s="2">
        <v>77</v>
      </c>
      <c r="KV4" s="2"/>
      <c r="KW4" s="2"/>
      <c r="KX4" s="2"/>
      <c r="KY4" s="2">
        <v>462</v>
      </c>
      <c r="KZ4" s="2">
        <v>77</v>
      </c>
      <c r="LA4" s="2">
        <v>39</v>
      </c>
      <c r="LB4" s="2"/>
      <c r="LC4" s="2">
        <f>77+77+231+77</f>
        <v>462</v>
      </c>
      <c r="LD4" s="2">
        <v>77</v>
      </c>
      <c r="LE4" s="2"/>
      <c r="LF4" s="2"/>
      <c r="LG4" s="2">
        <f>462+154</f>
        <v>616</v>
      </c>
      <c r="LH4" s="2"/>
      <c r="LI4" s="2">
        <v>308</v>
      </c>
      <c r="LJ4" s="2"/>
      <c r="LK4" s="2"/>
      <c r="LL4" s="2">
        <f>154+154</f>
        <v>308</v>
      </c>
      <c r="LM4" s="2">
        <f>308+308</f>
        <v>616</v>
      </c>
      <c r="LN4" s="2"/>
      <c r="LO4" s="2"/>
      <c r="LP4" s="2">
        <v>231</v>
      </c>
      <c r="LQ4" s="2">
        <f>77+77+77</f>
        <v>231</v>
      </c>
      <c r="LR4" s="2"/>
      <c r="LS4" s="2">
        <f>77+154+154</f>
        <v>385</v>
      </c>
      <c r="LT4" s="2"/>
      <c r="LU4" s="2">
        <f>77+77+231+231</f>
        <v>616</v>
      </c>
      <c r="LV4" s="2">
        <v>77</v>
      </c>
      <c r="LW4" s="2"/>
      <c r="LX4" s="2"/>
      <c r="LY4" s="2">
        <v>462</v>
      </c>
      <c r="LZ4" s="2"/>
      <c r="MA4" s="2"/>
      <c r="MB4" s="2">
        <f>77+279</f>
        <v>356</v>
      </c>
      <c r="MC4" s="2"/>
      <c r="MD4" s="2">
        <f>77+462+462</f>
        <v>1001</v>
      </c>
      <c r="ME4" s="2">
        <f>77+154+77+154+154</f>
        <v>616</v>
      </c>
      <c r="MF4" s="2">
        <v>308</v>
      </c>
      <c r="MG4" s="2">
        <f>154+77+154+154</f>
        <v>539</v>
      </c>
      <c r="MH4" s="2">
        <f>77+308+231+231+308</f>
        <v>1155</v>
      </c>
      <c r="MI4" s="2">
        <f>77+308+77+154</f>
        <v>616</v>
      </c>
      <c r="MJ4" s="2"/>
      <c r="MK4" s="2">
        <v>308</v>
      </c>
      <c r="ML4" s="2"/>
      <c r="MM4" s="2">
        <f>77+77</f>
        <v>154</v>
      </c>
      <c r="MN4" s="2">
        <v>13</v>
      </c>
      <c r="MO4" s="2">
        <v>1</v>
      </c>
      <c r="MP4" s="2">
        <f>154+308</f>
        <v>462</v>
      </c>
      <c r="MQ4" s="2"/>
      <c r="MR4" s="2"/>
      <c r="MS4" s="2"/>
      <c r="MT4" s="2">
        <v>231</v>
      </c>
      <c r="MU4" s="2">
        <v>77</v>
      </c>
      <c r="MV4" s="2">
        <v>77</v>
      </c>
      <c r="MW4" s="2">
        <v>154</v>
      </c>
      <c r="MX4" s="2">
        <v>154</v>
      </c>
      <c r="MY4" s="2">
        <v>3</v>
      </c>
      <c r="MZ4" s="2">
        <v>308</v>
      </c>
      <c r="NA4" s="2"/>
      <c r="NB4" s="2">
        <v>308</v>
      </c>
      <c r="NC4" s="2"/>
      <c r="ND4" s="2">
        <v>231</v>
      </c>
      <c r="NE4" s="2">
        <f>77+77+154+77</f>
        <v>385</v>
      </c>
      <c r="NF4" s="2">
        <v>77</v>
      </c>
      <c r="NG4" s="2">
        <v>77</v>
      </c>
      <c r="NH4" s="2">
        <v>616</v>
      </c>
      <c r="NI4" s="2">
        <v>154</v>
      </c>
      <c r="NJ4" s="2">
        <f>77+385</f>
        <v>462</v>
      </c>
      <c r="NK4" s="2"/>
      <c r="NL4" s="2">
        <f>77+77+77+1</f>
        <v>232</v>
      </c>
      <c r="NM4" s="2"/>
      <c r="NN4" s="2"/>
      <c r="NO4" s="2"/>
      <c r="NP4" s="2"/>
      <c r="NQ4" s="2"/>
      <c r="NR4" s="2"/>
      <c r="NS4" s="2">
        <f>154+77</f>
        <v>231</v>
      </c>
      <c r="NT4" s="2">
        <f>539+462</f>
        <v>1001</v>
      </c>
      <c r="NU4" s="2">
        <v>231</v>
      </c>
      <c r="NV4" s="2"/>
      <c r="NW4" s="2">
        <f>154+154+29+462</f>
        <v>799</v>
      </c>
      <c r="NX4" s="2">
        <v>77</v>
      </c>
      <c r="NY4" s="2"/>
      <c r="NZ4" s="2">
        <f>16+462</f>
        <v>478</v>
      </c>
      <c r="OA4" s="2"/>
      <c r="OB4" s="2">
        <v>308</v>
      </c>
      <c r="OC4" s="2"/>
      <c r="OD4" s="2">
        <f>231+6+231</f>
        <v>468</v>
      </c>
      <c r="OE4" s="2">
        <v>462</v>
      </c>
      <c r="OF4" s="2"/>
      <c r="OG4" s="2">
        <v>6</v>
      </c>
      <c r="OH4" s="2">
        <f>231+308+1</f>
        <v>540</v>
      </c>
      <c r="OI4" s="2">
        <v>77</v>
      </c>
      <c r="OJ4" s="2">
        <f>77+77</f>
        <v>154</v>
      </c>
      <c r="OK4" s="2">
        <f>154+154</f>
        <v>308</v>
      </c>
      <c r="OL4" s="2">
        <v>308</v>
      </c>
      <c r="OM4" s="2"/>
      <c r="ON4" s="2">
        <v>154</v>
      </c>
      <c r="OO4" s="2">
        <v>308</v>
      </c>
      <c r="OP4" s="2">
        <v>154</v>
      </c>
      <c r="OQ4" s="2">
        <f>154+77+77+154+77</f>
        <v>539</v>
      </c>
      <c r="OR4" s="2">
        <v>77</v>
      </c>
      <c r="OS4" s="2">
        <v>77</v>
      </c>
      <c r="OT4" s="2">
        <f>26+77+3</f>
        <v>106</v>
      </c>
      <c r="OU4" s="2">
        <v>77</v>
      </c>
      <c r="OV4" s="2"/>
      <c r="OW4" s="2"/>
      <c r="OX4" s="2"/>
      <c r="OY4" s="2"/>
      <c r="OZ4" s="2"/>
      <c r="PA4" s="2"/>
      <c r="PB4" s="2"/>
      <c r="PC4" s="2"/>
      <c r="PD4" s="2">
        <v>77</v>
      </c>
      <c r="PE4" s="2">
        <f>77+231+154</f>
        <v>462</v>
      </c>
      <c r="PF4" s="2">
        <f>154+154+77+154+154</f>
        <v>693</v>
      </c>
      <c r="PG4" s="2">
        <f>77+154+77</f>
        <v>308</v>
      </c>
      <c r="PH4" s="2"/>
      <c r="PI4" s="2">
        <f>77+77</f>
        <v>154</v>
      </c>
      <c r="PJ4" s="2">
        <v>77</v>
      </c>
      <c r="PK4" s="2">
        <f>77+77</f>
        <v>154</v>
      </c>
      <c r="PL4" s="2"/>
      <c r="PM4" s="2">
        <f>77</f>
        <v>77</v>
      </c>
      <c r="PN4" s="2">
        <f>154</f>
        <v>154</v>
      </c>
      <c r="PO4" s="2">
        <f>154</f>
        <v>154</v>
      </c>
      <c r="PP4" s="2"/>
      <c r="PQ4" s="2"/>
      <c r="PR4" s="2">
        <f>154+77+1</f>
        <v>232</v>
      </c>
      <c r="PS4" s="2">
        <f>154+231</f>
        <v>385</v>
      </c>
      <c r="PT4" s="2">
        <f>154</f>
        <v>154</v>
      </c>
      <c r="PU4" s="2"/>
      <c r="PV4" s="2">
        <f>77+308</f>
        <v>385</v>
      </c>
      <c r="PW4" s="2"/>
      <c r="PX4" s="2"/>
      <c r="PY4" s="2">
        <v>77</v>
      </c>
      <c r="PZ4" s="2">
        <v>77</v>
      </c>
      <c r="QA4" s="2">
        <f>77+77</f>
        <v>154</v>
      </c>
      <c r="QB4" s="2">
        <f>77+77</f>
        <v>154</v>
      </c>
      <c r="QC4" s="2">
        <f>77+77+154+154+308</f>
        <v>770</v>
      </c>
      <c r="QD4" s="2"/>
      <c r="QE4" s="2"/>
      <c r="QF4" s="2"/>
      <c r="QG4" s="2"/>
      <c r="QH4" s="2"/>
      <c r="QI4" s="2">
        <f>9+231+316</f>
        <v>556</v>
      </c>
      <c r="QJ4" s="2"/>
      <c r="QK4" s="2">
        <f>77+77+154</f>
        <v>308</v>
      </c>
      <c r="QL4" s="2">
        <f>77+154</f>
        <v>231</v>
      </c>
      <c r="QM4" s="2">
        <f>77+1</f>
        <v>78</v>
      </c>
      <c r="QN4" s="2"/>
      <c r="QO4" s="2"/>
      <c r="QP4" s="2">
        <f>77+77</f>
        <v>154</v>
      </c>
      <c r="QQ4" s="2">
        <f>3</f>
        <v>3</v>
      </c>
      <c r="QR4" s="2">
        <f>25</f>
        <v>25</v>
      </c>
      <c r="QS4" s="2"/>
      <c r="QT4" s="2">
        <v>13</v>
      </c>
      <c r="QU4" s="2">
        <v>1</v>
      </c>
      <c r="QV4" s="2">
        <f>231+231</f>
        <v>462</v>
      </c>
      <c r="QW4" s="2">
        <f>77</f>
        <v>77</v>
      </c>
      <c r="QX4" s="2">
        <f>154</f>
        <v>154</v>
      </c>
      <c r="QY4" s="2">
        <f>77</f>
        <v>77</v>
      </c>
      <c r="QZ4" s="2"/>
      <c r="RA4" s="2">
        <f>77</f>
        <v>77</v>
      </c>
      <c r="RB4" s="2">
        <f>77+7</f>
        <v>84</v>
      </c>
      <c r="RC4" s="2"/>
      <c r="RD4" s="2"/>
      <c r="RE4" s="2">
        <v>231</v>
      </c>
      <c r="RF4" s="2"/>
      <c r="RG4" s="2">
        <v>77</v>
      </c>
      <c r="RH4" s="2">
        <f>154</f>
        <v>154</v>
      </c>
      <c r="RI4" s="2">
        <f>77+77</f>
        <v>154</v>
      </c>
      <c r="RJ4" s="2">
        <f>1</f>
        <v>1</v>
      </c>
      <c r="RK4" s="2">
        <f>9+77</f>
        <v>86</v>
      </c>
      <c r="RL4" s="2"/>
      <c r="RM4" s="2"/>
      <c r="RN4" s="2">
        <f>77</f>
        <v>77</v>
      </c>
      <c r="RO4" s="2"/>
      <c r="RP4" s="2"/>
      <c r="RQ4" s="2"/>
      <c r="RR4" s="2"/>
      <c r="RS4" s="2">
        <f>1</f>
        <v>1</v>
      </c>
      <c r="RT4" s="2"/>
      <c r="RU4" s="2"/>
      <c r="RV4" s="2"/>
      <c r="RW4" s="2">
        <f>9</f>
        <v>9</v>
      </c>
      <c r="RX4" s="2">
        <f>77+154+154</f>
        <v>385</v>
      </c>
      <c r="RY4" s="2"/>
      <c r="RZ4" s="2">
        <f>154</f>
        <v>154</v>
      </c>
      <c r="SA4" s="2">
        <f>154+77</f>
        <v>231</v>
      </c>
      <c r="SB4" s="2"/>
      <c r="SC4" s="2"/>
      <c r="SD4" s="2">
        <f>77+154</f>
        <v>231</v>
      </c>
      <c r="SE4" s="2">
        <f>231</f>
        <v>231</v>
      </c>
      <c r="SF4" s="2">
        <f>77+77</f>
        <v>154</v>
      </c>
      <c r="SG4" s="2">
        <f>154+154</f>
        <v>308</v>
      </c>
      <c r="SH4" s="2">
        <f>77+154+308</f>
        <v>539</v>
      </c>
      <c r="SI4" s="2">
        <f>77+154+77</f>
        <v>308</v>
      </c>
      <c r="SJ4" s="2">
        <f>77+7</f>
        <v>84</v>
      </c>
      <c r="SK4" s="2">
        <f>2</f>
        <v>2</v>
      </c>
      <c r="SL4" s="2"/>
      <c r="SM4" s="2"/>
      <c r="SN4" s="2">
        <f>154</f>
        <v>154</v>
      </c>
      <c r="SO4" s="2">
        <f>154</f>
        <v>154</v>
      </c>
      <c r="SP4" s="2">
        <f>308+154+77</f>
        <v>539</v>
      </c>
      <c r="SQ4" s="2"/>
      <c r="SR4" s="2"/>
      <c r="SS4" s="2">
        <f>308</f>
        <v>308</v>
      </c>
      <c r="ST4" s="2"/>
      <c r="SU4" s="2">
        <f>77</f>
        <v>77</v>
      </c>
      <c r="SV4" s="2">
        <f>77</f>
        <v>77</v>
      </c>
      <c r="SW4" s="2">
        <f>77+231+19</f>
        <v>327</v>
      </c>
      <c r="SX4" s="2"/>
      <c r="SY4" s="2">
        <f>77</f>
        <v>77</v>
      </c>
      <c r="SZ4" s="2">
        <f>462</f>
        <v>462</v>
      </c>
      <c r="TA4" s="2"/>
      <c r="TB4" s="2">
        <f>308+77+77</f>
        <v>462</v>
      </c>
      <c r="TC4" s="2"/>
      <c r="TD4" s="2"/>
      <c r="TE4" s="2">
        <f>1+1</f>
        <v>2</v>
      </c>
      <c r="TF4" s="2">
        <f>77+372</f>
        <v>449</v>
      </c>
      <c r="TG4" s="2">
        <v>77</v>
      </c>
      <c r="TH4" s="2"/>
      <c r="TI4" s="2"/>
      <c r="TJ4" s="2">
        <f>154+308</f>
        <v>462</v>
      </c>
      <c r="TK4" s="2">
        <f>77+154+385+308</f>
        <v>924</v>
      </c>
      <c r="TL4" s="2">
        <v>77</v>
      </c>
      <c r="TM4" s="2">
        <f>154+154+14</f>
        <v>322</v>
      </c>
      <c r="TN4" s="2">
        <f>308+231</f>
        <v>539</v>
      </c>
      <c r="TO4" s="2">
        <f>77+154+308</f>
        <v>539</v>
      </c>
      <c r="TP4" s="2">
        <v>77</v>
      </c>
      <c r="TQ4" s="2">
        <v>154</v>
      </c>
      <c r="TR4" s="2"/>
      <c r="TS4" s="2">
        <v>154</v>
      </c>
      <c r="TT4" s="2">
        <v>77</v>
      </c>
      <c r="TU4" s="2">
        <f>8+154</f>
        <v>162</v>
      </c>
      <c r="TV4" s="2">
        <v>385</v>
      </c>
      <c r="TW4" s="2">
        <f>77+2+2</f>
        <v>81</v>
      </c>
      <c r="TX4" s="2">
        <v>154</v>
      </c>
      <c r="TY4" s="2"/>
      <c r="TZ4" s="2"/>
      <c r="UA4" s="2"/>
      <c r="UB4" s="2"/>
      <c r="UC4" s="2">
        <v>385</v>
      </c>
      <c r="UD4" s="2">
        <f>24+77</f>
        <v>101</v>
      </c>
      <c r="UE4" s="2"/>
      <c r="UF4" s="2"/>
      <c r="UG4" s="2"/>
      <c r="UH4" s="2"/>
      <c r="UI4" s="12">
        <v>77</v>
      </c>
      <c r="UJ4" s="2"/>
      <c r="UK4" s="9">
        <f>77+77</f>
        <v>154</v>
      </c>
      <c r="UL4" s="2">
        <f>77+77+154+462+77</f>
        <v>847</v>
      </c>
      <c r="UM4" s="2">
        <f>231+77</f>
        <v>308</v>
      </c>
      <c r="UN4" s="2">
        <f>77+77</f>
        <v>154</v>
      </c>
      <c r="UO4" s="2">
        <f>21+231</f>
        <v>252</v>
      </c>
      <c r="UP4" s="2"/>
      <c r="UQ4" s="2">
        <v>77</v>
      </c>
      <c r="UR4" s="2"/>
      <c r="US4" s="2"/>
      <c r="UT4" s="2">
        <f>10+2</f>
        <v>12</v>
      </c>
      <c r="UU4" s="2">
        <v>231</v>
      </c>
      <c r="UV4" s="2">
        <v>308</v>
      </c>
      <c r="UW4" s="2"/>
      <c r="UX4" s="2"/>
      <c r="UY4" s="2">
        <v>154</v>
      </c>
      <c r="UZ4" s="2">
        <v>7</v>
      </c>
      <c r="VA4" s="2"/>
      <c r="VB4" s="2"/>
      <c r="VC4" s="2">
        <f>154+231+77</f>
        <v>462</v>
      </c>
      <c r="VD4" s="2">
        <v>154</v>
      </c>
      <c r="VE4" s="2">
        <v>385</v>
      </c>
      <c r="VF4" s="2">
        <v>77</v>
      </c>
      <c r="VG4" s="2">
        <v>154</v>
      </c>
      <c r="VH4" s="2">
        <f>154+77</f>
        <v>231</v>
      </c>
      <c r="VI4" s="2">
        <v>77</v>
      </c>
      <c r="VJ4" s="2"/>
      <c r="VK4" s="2">
        <f>385+107</f>
        <v>492</v>
      </c>
      <c r="VL4" s="2"/>
      <c r="VM4" s="2"/>
      <c r="VN4" s="2">
        <v>9</v>
      </c>
      <c r="VO4" s="2"/>
      <c r="VP4" s="2">
        <v>33</v>
      </c>
      <c r="VQ4" s="2">
        <v>77</v>
      </c>
      <c r="VR4" s="2">
        <v>308</v>
      </c>
      <c r="VS4" s="2">
        <v>77</v>
      </c>
      <c r="VT4" s="2"/>
      <c r="VU4" s="2"/>
      <c r="VV4" s="2"/>
      <c r="VW4" s="2"/>
      <c r="VX4" s="2">
        <v>30</v>
      </c>
      <c r="VY4" s="2">
        <f>77+38+154</f>
        <v>269</v>
      </c>
      <c r="VZ4" s="2">
        <v>1</v>
      </c>
      <c r="WA4" s="2">
        <v>77</v>
      </c>
      <c r="WB4" s="2">
        <f>308+154</f>
        <v>462</v>
      </c>
      <c r="WC4" s="2">
        <f>77+231</f>
        <v>308</v>
      </c>
      <c r="WD4" s="2">
        <v>231</v>
      </c>
      <c r="WE4" s="2">
        <f>231+77</f>
        <v>308</v>
      </c>
      <c r="WF4" s="2"/>
      <c r="WG4" s="2"/>
      <c r="WH4" s="2">
        <v>1</v>
      </c>
      <c r="WI4" s="2"/>
      <c r="WJ4" s="2"/>
      <c r="WK4" s="2">
        <v>2</v>
      </c>
      <c r="WL4" s="2"/>
      <c r="WM4" s="2"/>
      <c r="WN4" s="2"/>
      <c r="WO4" s="2">
        <v>2</v>
      </c>
      <c r="WP4" s="2"/>
      <c r="WQ4" s="2"/>
      <c r="WR4" s="2"/>
      <c r="WS4" s="2"/>
      <c r="WT4" s="2"/>
      <c r="WU4" s="2"/>
      <c r="WV4" s="2"/>
      <c r="WW4" s="2">
        <v>154</v>
      </c>
      <c r="WX4" s="2"/>
      <c r="WY4" s="2">
        <v>8</v>
      </c>
      <c r="WZ4" s="2"/>
      <c r="XA4" s="2"/>
      <c r="XB4" s="2"/>
      <c r="XC4" s="2"/>
      <c r="XD4" s="2">
        <v>231</v>
      </c>
      <c r="XE4" s="2"/>
      <c r="XF4" s="2">
        <v>154</v>
      </c>
      <c r="XG4" s="2"/>
      <c r="XH4" s="2"/>
      <c r="XI4" s="2"/>
      <c r="XJ4" s="2">
        <f>3+2</f>
        <v>5</v>
      </c>
      <c r="XK4" s="2"/>
      <c r="XL4" s="2">
        <v>4</v>
      </c>
      <c r="XM4" s="2">
        <v>231</v>
      </c>
      <c r="XN4" s="2"/>
      <c r="XO4" s="2">
        <v>154</v>
      </c>
      <c r="XP4" s="2">
        <v>77</v>
      </c>
      <c r="XQ4" s="2">
        <f>7+77</f>
        <v>84</v>
      </c>
      <c r="XR4" s="2">
        <v>154</v>
      </c>
      <c r="XS4" s="2">
        <v>77</v>
      </c>
      <c r="XT4" s="2"/>
      <c r="XU4" s="2"/>
      <c r="XV4" s="2"/>
      <c r="XW4" s="2"/>
      <c r="XX4" s="2"/>
      <c r="XY4" s="2">
        <v>77</v>
      </c>
      <c r="XZ4" s="2"/>
      <c r="YA4" s="2"/>
      <c r="YB4" s="2"/>
      <c r="YC4" s="2"/>
      <c r="YD4" s="2"/>
      <c r="YE4" s="2">
        <v>9</v>
      </c>
      <c r="YF4" s="2"/>
      <c r="YG4" s="2"/>
      <c r="YH4" s="2"/>
      <c r="YI4" s="2">
        <v>6</v>
      </c>
      <c r="YJ4" s="2"/>
      <c r="YK4" s="2"/>
      <c r="YL4" s="2">
        <v>231</v>
      </c>
      <c r="YM4" s="2"/>
      <c r="YN4" s="2"/>
      <c r="YO4" s="2"/>
      <c r="YP4" s="2"/>
      <c r="YQ4" s="2">
        <v>1</v>
      </c>
      <c r="YR4" s="2"/>
      <c r="YS4" s="2"/>
      <c r="YT4" s="2">
        <f>77+77</f>
        <v>154</v>
      </c>
      <c r="YU4" s="2">
        <f>154+77</f>
        <v>231</v>
      </c>
      <c r="YV4" s="2">
        <v>77</v>
      </c>
      <c r="YW4" s="2">
        <f>77+154</f>
        <v>231</v>
      </c>
      <c r="YX4" s="2"/>
      <c r="YY4" s="2">
        <v>154</v>
      </c>
      <c r="YZ4" s="2">
        <f>154+8+2</f>
        <v>164</v>
      </c>
      <c r="ZA4" s="2">
        <f>77+77+77</f>
        <v>231</v>
      </c>
      <c r="ZB4" s="2">
        <v>77</v>
      </c>
      <c r="ZC4" s="2">
        <v>9</v>
      </c>
      <c r="ZD4" s="2"/>
      <c r="ZE4" s="2"/>
      <c r="ZF4" s="2"/>
      <c r="ZG4" s="2"/>
      <c r="ZH4" s="2">
        <v>9</v>
      </c>
      <c r="ZI4" s="2"/>
      <c r="ZJ4" s="2"/>
      <c r="ZK4" s="2"/>
      <c r="ZL4" s="2"/>
      <c r="ZM4" s="2"/>
      <c r="ZN4" s="2"/>
      <c r="ZO4" s="2"/>
      <c r="ZP4" s="2"/>
      <c r="ZQ4" s="2">
        <v>77</v>
      </c>
      <c r="ZR4" s="2"/>
      <c r="ZS4" s="2">
        <f>11+77</f>
        <v>88</v>
      </c>
      <c r="ZT4" s="2"/>
      <c r="ZU4" s="2">
        <v>77</v>
      </c>
      <c r="ZV4" s="2">
        <v>2</v>
      </c>
      <c r="ZW4" s="2">
        <v>77</v>
      </c>
      <c r="ZX4" s="2">
        <v>21</v>
      </c>
      <c r="ZY4" s="2"/>
      <c r="ZZ4" s="2">
        <v>77</v>
      </c>
      <c r="AAA4" s="2">
        <v>77</v>
      </c>
      <c r="AAB4" s="2">
        <v>231</v>
      </c>
      <c r="AAC4" s="2"/>
      <c r="AAD4" s="2"/>
      <c r="AAE4" s="2">
        <v>50</v>
      </c>
      <c r="AAF4" s="2">
        <v>2</v>
      </c>
      <c r="AAG4" s="2"/>
      <c r="AAH4" s="2"/>
      <c r="AAI4" s="2">
        <v>6</v>
      </c>
      <c r="AAJ4" s="2"/>
      <c r="AAK4" s="2">
        <v>154</v>
      </c>
      <c r="AAL4" s="2"/>
      <c r="AAM4" s="2"/>
      <c r="AAN4" s="2"/>
      <c r="AAO4" s="2"/>
      <c r="AAP4" s="2">
        <f>154+77+231</f>
        <v>462</v>
      </c>
      <c r="AAQ4" s="2">
        <f>77+154</f>
        <v>231</v>
      </c>
      <c r="AAR4" s="2"/>
      <c r="AAS4" s="2"/>
      <c r="AAT4" s="2">
        <v>77</v>
      </c>
      <c r="AAU4" s="2">
        <f>77+4</f>
        <v>81</v>
      </c>
      <c r="AAV4" s="2"/>
      <c r="AAW4" s="2">
        <v>308</v>
      </c>
      <c r="AAX4" s="2"/>
      <c r="AAY4" s="2">
        <v>77</v>
      </c>
      <c r="AAZ4" s="2"/>
      <c r="ABA4" s="2">
        <v>154</v>
      </c>
      <c r="ABB4" s="2">
        <v>1</v>
      </c>
      <c r="ABC4" s="2"/>
      <c r="ABD4" s="2">
        <v>308</v>
      </c>
      <c r="ABE4" s="2">
        <f>6+77</f>
        <v>83</v>
      </c>
      <c r="ABF4" s="2"/>
      <c r="ABG4" s="2"/>
      <c r="ABH4" s="2">
        <v>77</v>
      </c>
      <c r="ABI4" s="2"/>
      <c r="ABJ4" s="2">
        <f>231+77</f>
        <v>308</v>
      </c>
      <c r="ABK4" s="2"/>
      <c r="ABL4" s="2">
        <f>231+308</f>
        <v>539</v>
      </c>
      <c r="ABM4" s="2"/>
      <c r="ABN4" s="2">
        <f>77+9</f>
        <v>86</v>
      </c>
      <c r="ABO4" s="2"/>
      <c r="ABP4" s="2">
        <v>154</v>
      </c>
      <c r="ABQ4" s="2">
        <v>231</v>
      </c>
      <c r="ABR4" s="2"/>
      <c r="ABS4" s="2">
        <v>231</v>
      </c>
      <c r="ABT4" s="2">
        <f>77+231</f>
        <v>308</v>
      </c>
      <c r="ABU4" s="2">
        <v>4</v>
      </c>
      <c r="ABV4" s="2">
        <v>77</v>
      </c>
      <c r="ABW4" s="2">
        <v>1</v>
      </c>
      <c r="ABX4" s="2"/>
      <c r="ABY4" s="2"/>
      <c r="ABZ4" s="2">
        <f>231+1+154+77</f>
        <v>463</v>
      </c>
      <c r="ACA4" s="2">
        <v>154</v>
      </c>
      <c r="ACB4" s="2">
        <f>1+231</f>
        <v>232</v>
      </c>
      <c r="ACC4" s="2"/>
      <c r="ACD4" s="2"/>
      <c r="ACE4" s="2">
        <v>154</v>
      </c>
      <c r="ACF4" s="2">
        <v>154</v>
      </c>
      <c r="ACG4" s="2"/>
      <c r="ACH4" s="2">
        <v>77</v>
      </c>
      <c r="ACI4" s="2">
        <f>154+1</f>
        <v>155</v>
      </c>
      <c r="ACJ4" s="2">
        <v>308</v>
      </c>
      <c r="ACK4" s="2">
        <v>77</v>
      </c>
      <c r="ACL4" s="2"/>
      <c r="ACM4" s="2"/>
      <c r="ACN4" s="2"/>
      <c r="ACO4" s="2">
        <v>77</v>
      </c>
      <c r="ACP4" s="2"/>
      <c r="ACQ4" s="2">
        <f>1+77+77</f>
        <v>155</v>
      </c>
      <c r="ACR4" s="2"/>
      <c r="ACS4" s="2"/>
      <c r="ACT4" s="2">
        <v>1</v>
      </c>
      <c r="ACU4" s="2">
        <f>154+231</f>
        <v>385</v>
      </c>
      <c r="ACV4" s="2">
        <v>1</v>
      </c>
      <c r="ACW4" s="2">
        <v>154</v>
      </c>
      <c r="ACX4" s="2">
        <f>77+77</f>
        <v>154</v>
      </c>
      <c r="ACY4" s="2">
        <v>154</v>
      </c>
      <c r="ACZ4" s="2"/>
      <c r="ADA4" s="2"/>
      <c r="ADB4" s="2"/>
      <c r="ADC4" s="2"/>
      <c r="ADD4" s="2">
        <f>77+77+77</f>
        <v>231</v>
      </c>
      <c r="ADE4" s="2">
        <v>1</v>
      </c>
      <c r="ADF4" s="2">
        <v>77</v>
      </c>
      <c r="ADG4" s="2">
        <f>77+154+154</f>
        <v>385</v>
      </c>
      <c r="ADH4" s="2"/>
      <c r="ADI4" s="2">
        <v>1</v>
      </c>
      <c r="ADJ4" s="2"/>
      <c r="ADK4" s="2">
        <f>77+77</f>
        <v>154</v>
      </c>
      <c r="ADL4" s="2"/>
      <c r="ADM4" s="2">
        <v>154</v>
      </c>
      <c r="ADN4" s="2"/>
      <c r="ADO4" s="2">
        <v>77</v>
      </c>
      <c r="ADP4" s="2">
        <v>4</v>
      </c>
      <c r="ADQ4" s="2"/>
      <c r="ADR4" s="2"/>
      <c r="ADS4" s="2">
        <v>77</v>
      </c>
      <c r="ADT4" s="2">
        <v>231</v>
      </c>
      <c r="ADU4" s="2">
        <f>154+77</f>
        <v>231</v>
      </c>
      <c r="ADV4" s="2">
        <v>3</v>
      </c>
      <c r="ADW4" s="2">
        <v>77</v>
      </c>
      <c r="ADX4" s="2"/>
      <c r="ADY4" s="2">
        <f>77+77</f>
        <v>154</v>
      </c>
      <c r="ADZ4" s="2">
        <v>1</v>
      </c>
      <c r="AEA4" s="2"/>
      <c r="AEB4" s="2"/>
      <c r="AEC4" s="2"/>
      <c r="AED4" s="2">
        <v>45</v>
      </c>
      <c r="AEE4" s="2">
        <v>7</v>
      </c>
      <c r="AEF4" s="2">
        <v>154</v>
      </c>
      <c r="AEG4" s="2">
        <f>2+231+231</f>
        <v>464</v>
      </c>
      <c r="AEH4" s="2"/>
      <c r="AEI4" s="2">
        <f>154+77</f>
        <v>231</v>
      </c>
      <c r="AEJ4" s="2">
        <v>154</v>
      </c>
      <c r="AEK4" s="2"/>
      <c r="AEL4" s="2">
        <v>77</v>
      </c>
      <c r="AEM4" s="2">
        <v>231</v>
      </c>
      <c r="AEN4" s="2"/>
      <c r="AEO4" s="2">
        <v>6</v>
      </c>
      <c r="AEP4" s="2"/>
      <c r="AEQ4" s="2">
        <f>385+154+308</f>
        <v>847</v>
      </c>
      <c r="AER4" s="2"/>
      <c r="AES4" s="2"/>
      <c r="AET4" s="12">
        <v>1</v>
      </c>
      <c r="AEU4" s="2">
        <v>25</v>
      </c>
      <c r="AEV4" s="2"/>
      <c r="AEW4" s="2">
        <v>8</v>
      </c>
      <c r="AEX4" s="2"/>
      <c r="AEY4" s="2"/>
      <c r="AEZ4" s="2"/>
      <c r="AFA4" s="2">
        <f>77+154</f>
        <v>231</v>
      </c>
      <c r="AFB4" s="2">
        <f>1+1</f>
        <v>2</v>
      </c>
      <c r="AFC4" s="12">
        <v>1</v>
      </c>
      <c r="AFD4" s="2"/>
      <c r="AFE4" s="2">
        <v>77</v>
      </c>
      <c r="AFF4" s="2"/>
      <c r="AFG4" s="2"/>
      <c r="AFH4" s="2"/>
      <c r="AFI4" s="2"/>
      <c r="AFJ4" s="2"/>
      <c r="AFK4" s="2"/>
      <c r="AFL4" s="2">
        <f>SUM(E4:AFK4)</f>
        <v>90894</v>
      </c>
    </row>
    <row r="5" spans="1:845" s="11" customFormat="1" x14ac:dyDescent="0.3">
      <c r="B5" s="91">
        <v>44774905</v>
      </c>
      <c r="C5" s="52" t="s">
        <v>55</v>
      </c>
      <c r="D5" s="35" t="s">
        <v>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>
        <v>77</v>
      </c>
      <c r="AG5" s="2"/>
      <c r="AH5" s="2"/>
      <c r="AI5" s="2">
        <v>77</v>
      </c>
      <c r="AJ5" s="2">
        <v>77</v>
      </c>
      <c r="AK5" s="2">
        <v>77</v>
      </c>
      <c r="AL5" s="2"/>
      <c r="AM5" s="2">
        <f>77+77+77</f>
        <v>231</v>
      </c>
      <c r="AN5" s="2">
        <v>77</v>
      </c>
      <c r="AO5" s="2"/>
      <c r="AP5" s="2"/>
      <c r="AQ5" s="2"/>
      <c r="AR5" s="2"/>
      <c r="AS5" s="2"/>
      <c r="AT5" s="2"/>
      <c r="AU5" s="2">
        <v>77</v>
      </c>
      <c r="AV5" s="2"/>
      <c r="AW5" s="2">
        <v>77</v>
      </c>
      <c r="AX5" s="2"/>
      <c r="AY5" s="2"/>
      <c r="AZ5" s="2">
        <v>77</v>
      </c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>
        <v>1</v>
      </c>
      <c r="DQ5" s="2"/>
      <c r="DR5" s="2"/>
      <c r="DS5" s="2"/>
      <c r="DT5" s="2"/>
      <c r="DU5" s="2"/>
      <c r="DV5" s="2">
        <v>3</v>
      </c>
      <c r="DW5" s="2"/>
      <c r="DX5" s="2"/>
      <c r="DY5" s="2"/>
      <c r="DZ5" s="2"/>
      <c r="EA5" s="2"/>
      <c r="EB5" s="2"/>
      <c r="EC5" s="2"/>
      <c r="ED5" s="2">
        <v>1</v>
      </c>
      <c r="EE5" s="2"/>
      <c r="EF5" s="2"/>
      <c r="EG5" s="2"/>
      <c r="EH5" s="2"/>
      <c r="EI5" s="2">
        <v>77</v>
      </c>
      <c r="EJ5" s="2"/>
      <c r="EK5" s="2"/>
      <c r="EL5" s="2"/>
      <c r="EM5" s="2"/>
      <c r="EN5" s="2"/>
      <c r="EO5" s="2"/>
      <c r="EP5" s="2"/>
      <c r="EQ5" s="2">
        <v>77</v>
      </c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>
        <v>77</v>
      </c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>
        <v>77</v>
      </c>
      <c r="GR5" s="2"/>
      <c r="GS5" s="2"/>
      <c r="GT5" s="2">
        <v>77</v>
      </c>
      <c r="GU5" s="2"/>
      <c r="GV5" s="2">
        <v>77</v>
      </c>
      <c r="GW5" s="2"/>
      <c r="GX5" s="2"/>
      <c r="GY5" s="2"/>
      <c r="GZ5" s="2">
        <v>77</v>
      </c>
      <c r="HA5" s="2"/>
      <c r="HB5" s="2"/>
      <c r="HC5" s="2"/>
      <c r="HD5" s="2"/>
      <c r="HE5" s="2"/>
      <c r="HF5" s="2"/>
      <c r="HG5" s="2"/>
      <c r="HH5" s="2"/>
      <c r="HI5" s="2"/>
      <c r="HJ5" s="2">
        <v>77</v>
      </c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>
        <v>77</v>
      </c>
      <c r="IE5" s="2"/>
      <c r="IF5" s="2">
        <f>77</f>
        <v>77</v>
      </c>
      <c r="IG5" s="2"/>
      <c r="IH5" s="2"/>
      <c r="II5" s="2"/>
      <c r="IJ5" s="2"/>
      <c r="IK5" s="2"/>
      <c r="IL5" s="2"/>
      <c r="IM5" s="2"/>
      <c r="IN5" s="2"/>
      <c r="IO5" s="2"/>
      <c r="IP5" s="2">
        <v>77</v>
      </c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>
        <v>1</v>
      </c>
      <c r="JH5" s="2"/>
      <c r="JI5" s="2"/>
      <c r="JJ5" s="2"/>
      <c r="JK5" s="2"/>
      <c r="JL5" s="2"/>
      <c r="JM5" s="2"/>
      <c r="JN5" s="2"/>
      <c r="JO5" s="9">
        <f>77+77</f>
        <v>154</v>
      </c>
      <c r="JP5" s="2"/>
      <c r="JQ5" s="2">
        <v>77</v>
      </c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>
        <v>154</v>
      </c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>
        <v>77</v>
      </c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>
        <v>77</v>
      </c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>
        <v>77</v>
      </c>
      <c r="NE5" s="2">
        <v>77</v>
      </c>
      <c r="NF5" s="2"/>
      <c r="NG5" s="2"/>
      <c r="NH5" s="2">
        <v>77</v>
      </c>
      <c r="NI5" s="2"/>
      <c r="NJ5" s="2"/>
      <c r="NK5" s="2"/>
      <c r="NL5" s="2"/>
      <c r="NM5" s="2">
        <v>77</v>
      </c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>
        <v>16</v>
      </c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>
        <v>77</v>
      </c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>
        <v>77</v>
      </c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>
        <f>77</f>
        <v>77</v>
      </c>
      <c r="QM5" s="2"/>
      <c r="QN5" s="2"/>
      <c r="QO5" s="2"/>
      <c r="QP5" s="2"/>
      <c r="QQ5" s="2"/>
      <c r="QR5" s="2"/>
      <c r="QS5" s="2">
        <f>77+77</f>
        <v>154</v>
      </c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>
        <f>77</f>
        <v>77</v>
      </c>
      <c r="RY5" s="2"/>
      <c r="RZ5" s="2"/>
      <c r="SA5" s="2"/>
      <c r="SB5" s="2"/>
      <c r="SC5" s="2"/>
      <c r="SD5" s="2"/>
      <c r="SE5" s="2">
        <f>77</f>
        <v>77</v>
      </c>
      <c r="SF5" s="2"/>
      <c r="SG5" s="2">
        <f>77</f>
        <v>77</v>
      </c>
      <c r="SH5" s="2"/>
      <c r="SI5" s="2"/>
      <c r="SJ5" s="2"/>
      <c r="SK5" s="2"/>
      <c r="SL5" s="2"/>
      <c r="SM5" s="2"/>
      <c r="SN5" s="2"/>
      <c r="SO5" s="2"/>
      <c r="SP5" s="2">
        <f>77</f>
        <v>77</v>
      </c>
      <c r="SQ5" s="2"/>
      <c r="SR5" s="2"/>
      <c r="SS5" s="2"/>
      <c r="ST5" s="2"/>
      <c r="SU5" s="2"/>
      <c r="SV5" s="2"/>
      <c r="SW5" s="2"/>
      <c r="SX5" s="2"/>
      <c r="SY5" s="2"/>
      <c r="SZ5" s="2">
        <f>154</f>
        <v>154</v>
      </c>
      <c r="TA5" s="2"/>
      <c r="TB5" s="2">
        <v>77</v>
      </c>
      <c r="TC5" s="2"/>
      <c r="TD5" s="2"/>
      <c r="TE5" s="2"/>
      <c r="TF5" s="2">
        <v>13</v>
      </c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  <c r="UZ5" s="2"/>
      <c r="VA5" s="2"/>
      <c r="VB5" s="2"/>
      <c r="VC5" s="2"/>
      <c r="VD5" s="2"/>
      <c r="VE5" s="2"/>
      <c r="VF5" s="2"/>
      <c r="VG5" s="2"/>
      <c r="VH5" s="2"/>
      <c r="VI5" s="2"/>
      <c r="VJ5" s="2"/>
      <c r="VK5" s="2">
        <v>20</v>
      </c>
      <c r="VL5" s="2"/>
      <c r="VM5" s="2"/>
      <c r="VN5" s="2"/>
      <c r="VO5" s="2"/>
      <c r="VP5" s="2"/>
      <c r="VQ5" s="2"/>
      <c r="VR5" s="2"/>
      <c r="VS5" s="2"/>
      <c r="VT5" s="2"/>
      <c r="VU5" s="2"/>
      <c r="VV5" s="2"/>
      <c r="VW5" s="2"/>
      <c r="VX5" s="2"/>
      <c r="VY5" s="2"/>
      <c r="VZ5" s="2"/>
      <c r="WA5" s="2"/>
      <c r="WB5" s="2"/>
      <c r="WC5" s="2"/>
      <c r="WD5" s="2"/>
      <c r="WE5" s="2"/>
      <c r="WF5" s="2"/>
      <c r="WG5" s="2"/>
      <c r="WH5" s="2"/>
      <c r="WI5" s="2"/>
      <c r="WJ5" s="2"/>
      <c r="WK5" s="2"/>
      <c r="WL5" s="2"/>
      <c r="WM5" s="2"/>
      <c r="WN5" s="2"/>
      <c r="WO5" s="2"/>
      <c r="WP5" s="2"/>
      <c r="WQ5" s="2"/>
      <c r="WR5" s="2"/>
      <c r="WS5" s="2"/>
      <c r="WT5" s="2"/>
      <c r="WU5" s="2"/>
      <c r="WV5" s="2"/>
      <c r="WW5" s="2"/>
      <c r="WX5" s="2"/>
      <c r="WY5" s="2"/>
      <c r="WZ5" s="2"/>
      <c r="XA5" s="2"/>
      <c r="XB5" s="2"/>
      <c r="XC5" s="2"/>
      <c r="XD5" s="2"/>
      <c r="XE5" s="2"/>
      <c r="XF5" s="2"/>
      <c r="XG5" s="2"/>
      <c r="XH5" s="2"/>
      <c r="XI5" s="2"/>
      <c r="XJ5" s="2"/>
      <c r="XK5" s="2"/>
      <c r="XL5" s="2"/>
      <c r="XM5" s="2"/>
      <c r="XN5" s="2"/>
      <c r="XO5" s="2"/>
      <c r="XP5" s="2"/>
      <c r="XQ5" s="2"/>
      <c r="XR5" s="2"/>
      <c r="XS5" s="2"/>
      <c r="XT5" s="2"/>
      <c r="XU5" s="2"/>
      <c r="XV5" s="2"/>
      <c r="XW5" s="2"/>
      <c r="XX5" s="2"/>
      <c r="XY5" s="2"/>
      <c r="XZ5" s="2"/>
      <c r="YA5" s="2"/>
      <c r="YB5" s="2"/>
      <c r="YC5" s="2"/>
      <c r="YD5" s="2"/>
      <c r="YE5" s="2"/>
      <c r="YF5" s="2"/>
      <c r="YG5" s="2"/>
      <c r="YH5" s="2"/>
      <c r="YI5" s="2"/>
      <c r="YJ5" s="2"/>
      <c r="YK5" s="2"/>
      <c r="YL5" s="2"/>
      <c r="YM5" s="2"/>
      <c r="YN5" s="2"/>
      <c r="YO5" s="2"/>
      <c r="YP5" s="2"/>
      <c r="YQ5" s="2"/>
      <c r="YR5" s="2"/>
      <c r="YS5" s="2"/>
      <c r="YT5" s="2"/>
      <c r="YU5" s="2"/>
      <c r="YV5" s="2"/>
      <c r="YW5" s="2"/>
      <c r="YX5" s="2"/>
      <c r="YY5" s="2"/>
      <c r="YZ5" s="2"/>
      <c r="ZA5" s="2"/>
      <c r="ZB5" s="2"/>
      <c r="ZC5" s="2"/>
      <c r="ZD5" s="2"/>
      <c r="ZE5" s="2"/>
      <c r="ZF5" s="2"/>
      <c r="ZG5" s="2"/>
      <c r="ZH5" s="2"/>
      <c r="ZI5" s="2"/>
      <c r="ZJ5" s="2"/>
      <c r="ZK5" s="2"/>
      <c r="ZL5" s="2"/>
      <c r="ZM5" s="2"/>
      <c r="ZN5" s="2"/>
      <c r="ZO5" s="2"/>
      <c r="ZP5" s="2"/>
      <c r="ZQ5" s="2"/>
      <c r="ZR5" s="2"/>
      <c r="ZS5" s="2"/>
      <c r="ZT5" s="2"/>
      <c r="ZU5" s="2"/>
      <c r="ZV5" s="2"/>
      <c r="ZW5" s="2"/>
      <c r="ZX5" s="2"/>
      <c r="ZY5" s="2"/>
      <c r="ZZ5" s="2"/>
      <c r="AAA5" s="2"/>
      <c r="AAB5" s="2"/>
      <c r="AAC5" s="2"/>
      <c r="AAD5" s="2"/>
      <c r="AAE5" s="2"/>
      <c r="AAF5" s="2"/>
      <c r="AAG5" s="2"/>
      <c r="AAH5" s="2"/>
      <c r="AAI5" s="2"/>
      <c r="AAJ5" s="2"/>
      <c r="AAK5" s="2"/>
      <c r="AAL5" s="2"/>
      <c r="AAM5" s="2"/>
      <c r="AAN5" s="2">
        <v>1</v>
      </c>
      <c r="AAO5" s="2"/>
      <c r="AAP5" s="2"/>
      <c r="AAQ5" s="2"/>
      <c r="AAR5" s="2"/>
      <c r="AAS5" s="2"/>
      <c r="AAT5" s="2"/>
      <c r="AAU5" s="2"/>
      <c r="AAV5" s="2"/>
      <c r="AAW5" s="2"/>
      <c r="AAX5" s="2"/>
      <c r="AAY5" s="2"/>
      <c r="AAZ5" s="2">
        <v>77</v>
      </c>
      <c r="ABA5" s="2"/>
      <c r="ABB5" s="2"/>
      <c r="ABC5" s="2"/>
      <c r="ABD5" s="2"/>
      <c r="ABE5" s="2"/>
      <c r="ABF5" s="2"/>
      <c r="ABG5" s="2">
        <v>1</v>
      </c>
      <c r="ABH5" s="2"/>
      <c r="ABI5" s="2"/>
      <c r="ABJ5" s="2"/>
      <c r="ABK5" s="2"/>
      <c r="ABL5" s="2"/>
      <c r="ABM5" s="2"/>
      <c r="ABN5" s="2">
        <v>154</v>
      </c>
      <c r="ABO5" s="2"/>
      <c r="ABP5" s="2">
        <v>77</v>
      </c>
      <c r="ABQ5" s="2"/>
      <c r="ABR5" s="2"/>
      <c r="ABS5" s="2"/>
      <c r="ABT5" s="2"/>
      <c r="ABU5" s="2"/>
      <c r="ABV5" s="2"/>
      <c r="ABW5" s="2"/>
      <c r="ABX5" s="2"/>
      <c r="ABY5" s="2"/>
      <c r="ABZ5" s="2"/>
      <c r="ACA5" s="2"/>
      <c r="ACB5" s="2"/>
      <c r="ACC5" s="2"/>
      <c r="ACD5" s="2"/>
      <c r="ACE5" s="2"/>
      <c r="ACF5" s="2">
        <v>77</v>
      </c>
      <c r="ACG5" s="2"/>
      <c r="ACH5" s="2"/>
      <c r="ACI5" s="2"/>
      <c r="ACJ5" s="2">
        <v>77</v>
      </c>
      <c r="ACK5" s="2"/>
      <c r="ACL5" s="2"/>
      <c r="ACM5" s="2"/>
      <c r="ACN5" s="2"/>
      <c r="ACO5" s="2"/>
      <c r="ACP5" s="2"/>
      <c r="ACQ5" s="2"/>
      <c r="ACR5" s="2"/>
      <c r="ACS5" s="2"/>
      <c r="ACT5" s="2"/>
      <c r="ACU5" s="2"/>
      <c r="ACV5" s="2"/>
      <c r="ACW5" s="2"/>
      <c r="ACX5" s="2"/>
      <c r="ACY5" s="2"/>
      <c r="ACZ5" s="2"/>
      <c r="ADA5" s="2"/>
      <c r="ADB5" s="2"/>
      <c r="ADC5" s="2"/>
      <c r="ADD5" s="2">
        <v>77</v>
      </c>
      <c r="ADE5" s="2"/>
      <c r="ADF5" s="2"/>
      <c r="ADG5" s="2"/>
      <c r="ADH5" s="2"/>
      <c r="ADI5" s="2"/>
      <c r="ADJ5" s="2"/>
      <c r="ADK5" s="2"/>
      <c r="ADL5" s="2"/>
      <c r="ADM5" s="2">
        <v>77</v>
      </c>
      <c r="ADN5" s="2"/>
      <c r="ADO5" s="2"/>
      <c r="ADP5" s="2"/>
      <c r="ADQ5" s="2">
        <v>77</v>
      </c>
      <c r="ADR5" s="2"/>
      <c r="ADS5" s="2"/>
      <c r="ADT5" s="2"/>
      <c r="ADU5" s="2"/>
      <c r="ADV5" s="2"/>
      <c r="ADW5" s="2">
        <f>77+77</f>
        <v>154</v>
      </c>
      <c r="ADX5" s="2"/>
      <c r="ADY5" s="2"/>
      <c r="ADZ5" s="2">
        <v>2</v>
      </c>
      <c r="AEA5" s="2"/>
      <c r="AEB5" s="2"/>
      <c r="AEC5" s="2"/>
      <c r="AED5" s="2"/>
      <c r="AEE5" s="2"/>
      <c r="AEF5" s="2"/>
      <c r="AEG5" s="2"/>
      <c r="AEH5" s="2"/>
      <c r="AEI5" s="2"/>
      <c r="AEJ5" s="2"/>
      <c r="AEK5" s="2">
        <v>77</v>
      </c>
      <c r="AEL5" s="2"/>
      <c r="AEM5" s="2"/>
      <c r="AEN5" s="2"/>
      <c r="AEO5" s="2"/>
      <c r="AEP5" s="2"/>
      <c r="AEQ5" s="2"/>
      <c r="AER5" s="2"/>
      <c r="AES5" s="2"/>
      <c r="AET5" s="12">
        <v>1</v>
      </c>
      <c r="AEU5" s="2"/>
      <c r="AEV5" s="2"/>
      <c r="AEW5" s="2"/>
      <c r="AEX5" s="2"/>
      <c r="AEY5" s="2"/>
      <c r="AEZ5" s="2"/>
      <c r="AFA5" s="2"/>
      <c r="AFB5" s="2"/>
      <c r="AFC5" s="2"/>
      <c r="AFD5" s="2"/>
      <c r="AFE5" s="2"/>
      <c r="AFF5" s="2"/>
      <c r="AFG5" s="2"/>
      <c r="AFH5" s="2"/>
      <c r="AFI5" s="2"/>
      <c r="AFJ5" s="2"/>
      <c r="AFK5" s="2"/>
      <c r="AFL5" s="2">
        <f t="shared" ref="AFL5:AFL70" si="0">SUM(E5:AFK5)</f>
        <v>4449</v>
      </c>
    </row>
    <row r="6" spans="1:845" s="4" customFormat="1" x14ac:dyDescent="0.3">
      <c r="A6" s="11"/>
      <c r="B6" s="91">
        <v>550059865</v>
      </c>
      <c r="C6" s="52" t="s">
        <v>992</v>
      </c>
      <c r="D6" s="35" t="s">
        <v>2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>
        <f>SUM(E6:JQ6)</f>
        <v>0</v>
      </c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>
        <f t="shared" si="0"/>
        <v>0</v>
      </c>
    </row>
    <row r="7" spans="1:845" s="4" customFormat="1" x14ac:dyDescent="0.3">
      <c r="A7" s="11"/>
      <c r="B7" s="91">
        <v>550053587</v>
      </c>
      <c r="C7" s="53" t="s">
        <v>971</v>
      </c>
      <c r="D7" s="35" t="s">
        <v>3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9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  <c r="AAA7" s="2"/>
      <c r="AAB7" s="2"/>
      <c r="AAC7" s="2"/>
      <c r="AAD7" s="2"/>
      <c r="AAE7" s="2"/>
      <c r="AAF7" s="2"/>
      <c r="AAG7" s="2"/>
      <c r="AAH7" s="2"/>
      <c r="AAI7" s="2"/>
      <c r="AAJ7" s="2"/>
      <c r="AAK7" s="2"/>
      <c r="AAL7" s="2"/>
      <c r="AAM7" s="2"/>
      <c r="AAN7" s="2"/>
      <c r="AAO7" s="2"/>
      <c r="AAP7" s="2"/>
      <c r="AAQ7" s="2"/>
      <c r="AAR7" s="2"/>
      <c r="AAS7" s="2"/>
      <c r="AAT7" s="2"/>
      <c r="AAU7" s="2"/>
      <c r="AAV7" s="2"/>
      <c r="AAW7" s="2"/>
      <c r="AAX7" s="2"/>
      <c r="AAY7" s="2"/>
      <c r="AAZ7" s="2"/>
      <c r="ABA7" s="2"/>
      <c r="ABB7" s="2"/>
      <c r="ABC7" s="2"/>
      <c r="ABD7" s="2"/>
      <c r="ABE7" s="2"/>
      <c r="ABF7" s="2"/>
      <c r="ABG7" s="2"/>
      <c r="ABH7" s="2"/>
      <c r="ABI7" s="2"/>
      <c r="ABJ7" s="2"/>
      <c r="ABK7" s="2"/>
      <c r="ABL7" s="2"/>
      <c r="ABM7" s="2"/>
      <c r="ABN7" s="2"/>
      <c r="ABO7" s="2"/>
      <c r="ABP7" s="2"/>
      <c r="ABQ7" s="2"/>
      <c r="ABR7" s="2"/>
      <c r="ABS7" s="2"/>
      <c r="ABT7" s="2"/>
      <c r="ABU7" s="2"/>
      <c r="ABV7" s="2"/>
      <c r="ABW7" s="2"/>
      <c r="ABX7" s="2"/>
      <c r="ABY7" s="2"/>
      <c r="ABZ7" s="2"/>
      <c r="ACA7" s="2"/>
      <c r="ACB7" s="2"/>
      <c r="ACC7" s="2"/>
      <c r="ACD7" s="2"/>
      <c r="ACE7" s="2"/>
      <c r="ACF7" s="2"/>
      <c r="ACG7" s="2"/>
      <c r="ACH7" s="2"/>
      <c r="ACI7" s="2"/>
      <c r="ACJ7" s="2"/>
      <c r="ACK7" s="2"/>
      <c r="ACL7" s="2"/>
      <c r="ACM7" s="2"/>
      <c r="ACN7" s="2"/>
      <c r="ACO7" s="2"/>
      <c r="ACP7" s="2"/>
      <c r="ACQ7" s="2"/>
      <c r="ACR7" s="2"/>
      <c r="ACS7" s="2"/>
      <c r="ACT7" s="2"/>
      <c r="ACU7" s="2"/>
      <c r="ACV7" s="2"/>
      <c r="ACW7" s="2"/>
      <c r="ACX7" s="2"/>
      <c r="ACY7" s="2"/>
      <c r="ACZ7" s="2"/>
      <c r="ADA7" s="2"/>
      <c r="ADB7" s="2"/>
      <c r="ADC7" s="2"/>
      <c r="ADD7" s="2"/>
      <c r="ADE7" s="2"/>
      <c r="ADF7" s="2"/>
      <c r="ADG7" s="2"/>
      <c r="ADH7" s="2"/>
      <c r="ADI7" s="2"/>
      <c r="ADJ7" s="2"/>
      <c r="ADK7" s="2"/>
      <c r="ADL7" s="2"/>
      <c r="ADM7" s="2"/>
      <c r="ADN7" s="2"/>
      <c r="ADO7" s="2"/>
      <c r="ADP7" s="2"/>
      <c r="ADQ7" s="2"/>
      <c r="ADR7" s="2"/>
      <c r="ADS7" s="2"/>
      <c r="ADT7" s="2"/>
      <c r="ADU7" s="2"/>
      <c r="ADV7" s="2"/>
      <c r="ADW7" s="2"/>
      <c r="ADX7" s="2"/>
      <c r="ADY7" s="2"/>
      <c r="ADZ7" s="2"/>
      <c r="AEA7" s="2"/>
      <c r="AEB7" s="2"/>
      <c r="AEC7" s="2"/>
      <c r="AED7" s="2"/>
      <c r="AEE7" s="2"/>
      <c r="AEF7" s="2"/>
      <c r="AEG7" s="2"/>
      <c r="AEH7" s="2"/>
      <c r="AEI7" s="2"/>
      <c r="AEJ7" s="2"/>
      <c r="AEK7" s="2"/>
      <c r="AEL7" s="2"/>
      <c r="AEM7" s="2"/>
      <c r="AEN7" s="2"/>
      <c r="AEO7" s="2"/>
      <c r="AEP7" s="2"/>
      <c r="AEQ7" s="2"/>
      <c r="AER7" s="2"/>
      <c r="AES7" s="2"/>
      <c r="AET7" s="2"/>
      <c r="AEU7" s="2"/>
      <c r="AEV7" s="2"/>
      <c r="AEW7" s="2"/>
      <c r="AEX7" s="2"/>
      <c r="AEY7" s="2"/>
      <c r="AEZ7" s="2"/>
      <c r="AFA7" s="2"/>
      <c r="AFB7" s="2"/>
      <c r="AFC7" s="2"/>
      <c r="AFD7" s="2"/>
      <c r="AFE7" s="2"/>
      <c r="AFF7" s="2"/>
      <c r="AFG7" s="2"/>
      <c r="AFH7" s="2"/>
      <c r="AFI7" s="2"/>
      <c r="AFJ7" s="2"/>
      <c r="AFK7" s="2"/>
      <c r="AFL7" s="2">
        <f t="shared" si="0"/>
        <v>0</v>
      </c>
    </row>
    <row r="8" spans="1:845" s="4" customFormat="1" x14ac:dyDescent="0.3">
      <c r="A8" s="11"/>
      <c r="B8" s="91">
        <v>550059866</v>
      </c>
      <c r="C8" s="52" t="s">
        <v>993</v>
      </c>
      <c r="D8" s="35" t="s">
        <v>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9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  <c r="AAA8" s="2"/>
      <c r="AAB8" s="2"/>
      <c r="AAC8" s="2"/>
      <c r="AAD8" s="2"/>
      <c r="AAE8" s="2"/>
      <c r="AAF8" s="2"/>
      <c r="AAG8" s="2"/>
      <c r="AAH8" s="2"/>
      <c r="AAI8" s="2"/>
      <c r="AAJ8" s="2"/>
      <c r="AAK8" s="2"/>
      <c r="AAL8" s="2"/>
      <c r="AAM8" s="2"/>
      <c r="AAN8" s="2"/>
      <c r="AAO8" s="2"/>
      <c r="AAP8" s="2"/>
      <c r="AAQ8" s="2"/>
      <c r="AAR8" s="2"/>
      <c r="AAS8" s="2"/>
      <c r="AAT8" s="2"/>
      <c r="AAU8" s="2"/>
      <c r="AAV8" s="2"/>
      <c r="AAW8" s="2"/>
      <c r="AAX8" s="2"/>
      <c r="AAY8" s="2"/>
      <c r="AAZ8" s="2"/>
      <c r="ABA8" s="2"/>
      <c r="ABB8" s="2"/>
      <c r="ABC8" s="2"/>
      <c r="ABD8" s="2"/>
      <c r="ABE8" s="2"/>
      <c r="ABF8" s="2"/>
      <c r="ABG8" s="2"/>
      <c r="ABH8" s="2"/>
      <c r="ABI8" s="2"/>
      <c r="ABJ8" s="2"/>
      <c r="ABK8" s="2"/>
      <c r="ABL8" s="2"/>
      <c r="ABM8" s="2"/>
      <c r="ABN8" s="2"/>
      <c r="ABO8" s="2"/>
      <c r="ABP8" s="2"/>
      <c r="ABQ8" s="2"/>
      <c r="ABR8" s="2"/>
      <c r="ABS8" s="2"/>
      <c r="ABT8" s="2"/>
      <c r="ABU8" s="2"/>
      <c r="ABV8" s="2"/>
      <c r="ABW8" s="2"/>
      <c r="ABX8" s="2"/>
      <c r="ABY8" s="2"/>
      <c r="ABZ8" s="2"/>
      <c r="ACA8" s="2"/>
      <c r="ACB8" s="2"/>
      <c r="ACC8" s="2"/>
      <c r="ACD8" s="2">
        <v>175</v>
      </c>
      <c r="ACE8" s="2"/>
      <c r="ACF8" s="2"/>
      <c r="ACG8" s="2"/>
      <c r="ACH8" s="2"/>
      <c r="ACI8" s="2"/>
      <c r="ACJ8" s="2">
        <f>1+175</f>
        <v>176</v>
      </c>
      <c r="ACK8" s="2">
        <v>175</v>
      </c>
      <c r="ACL8" s="2"/>
      <c r="ACM8" s="2"/>
      <c r="ACN8" s="2"/>
      <c r="ACO8" s="2"/>
      <c r="ACP8" s="2"/>
      <c r="ACQ8" s="2">
        <v>175</v>
      </c>
      <c r="ACR8" s="2"/>
      <c r="ACS8" s="2"/>
      <c r="ACT8" s="2"/>
      <c r="ACU8" s="2"/>
      <c r="ACV8" s="2"/>
      <c r="ACW8" s="2"/>
      <c r="ACX8" s="2"/>
      <c r="ACY8" s="2"/>
      <c r="ACZ8" s="2"/>
      <c r="ADA8" s="2"/>
      <c r="ADB8" s="2"/>
      <c r="ADC8" s="2"/>
      <c r="ADD8" s="2"/>
      <c r="ADE8" s="2"/>
      <c r="ADF8" s="2"/>
      <c r="ADG8" s="2">
        <v>175</v>
      </c>
      <c r="ADH8" s="2"/>
      <c r="ADI8" s="2"/>
      <c r="ADJ8" s="2"/>
      <c r="ADK8" s="2">
        <v>175</v>
      </c>
      <c r="ADL8" s="2"/>
      <c r="ADM8" s="2">
        <v>175</v>
      </c>
      <c r="ADN8" s="2"/>
      <c r="ADO8" s="2"/>
      <c r="ADP8" s="2">
        <v>175</v>
      </c>
      <c r="ADQ8" s="2"/>
      <c r="ADR8" s="2"/>
      <c r="ADS8" s="2"/>
      <c r="ADT8" s="2"/>
      <c r="ADU8" s="2">
        <v>175</v>
      </c>
      <c r="ADV8" s="2"/>
      <c r="ADW8" s="2"/>
      <c r="ADX8" s="2"/>
      <c r="ADY8" s="2"/>
      <c r="ADZ8" s="2"/>
      <c r="AEA8" s="2"/>
      <c r="AEB8" s="2"/>
      <c r="AEC8" s="2"/>
      <c r="AED8" s="2"/>
      <c r="AEE8" s="2"/>
      <c r="AEF8" s="2"/>
      <c r="AEG8" s="2"/>
      <c r="AEH8" s="2"/>
      <c r="AEI8" s="2"/>
      <c r="AEJ8" s="2"/>
      <c r="AEK8" s="2"/>
      <c r="AEL8" s="2"/>
      <c r="AEM8" s="2"/>
      <c r="AEN8" s="2"/>
      <c r="AEO8" s="2"/>
      <c r="AEP8" s="2"/>
      <c r="AEQ8" s="2"/>
      <c r="AER8" s="2"/>
      <c r="AES8" s="2"/>
      <c r="AET8" s="12">
        <v>1</v>
      </c>
      <c r="AEU8" s="2"/>
      <c r="AEV8" s="2"/>
      <c r="AEW8" s="2"/>
      <c r="AEX8" s="2"/>
      <c r="AEY8" s="2"/>
      <c r="AEZ8" s="2"/>
      <c r="AFA8" s="2"/>
      <c r="AFB8" s="2"/>
      <c r="AFC8" s="2"/>
      <c r="AFD8" s="2"/>
      <c r="AFE8" s="2"/>
      <c r="AFF8" s="2"/>
      <c r="AFG8" s="2"/>
      <c r="AFH8" s="2"/>
      <c r="AFI8" s="2"/>
      <c r="AFJ8" s="2"/>
      <c r="AFK8" s="2"/>
      <c r="AFL8" s="2">
        <f t="shared" si="0"/>
        <v>1577</v>
      </c>
    </row>
    <row r="9" spans="1:845" s="11" customFormat="1" x14ac:dyDescent="0.3">
      <c r="B9" s="91">
        <v>550052774</v>
      </c>
      <c r="C9" s="52" t="s">
        <v>57</v>
      </c>
      <c r="D9" s="35" t="s">
        <v>18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>
        <v>12</v>
      </c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>
        <v>4</v>
      </c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>
        <v>8</v>
      </c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>
        <v>15</v>
      </c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  <c r="AAA9" s="2"/>
      <c r="AAB9" s="2"/>
      <c r="AAC9" s="2"/>
      <c r="AAD9" s="2"/>
      <c r="AAE9" s="2"/>
      <c r="AAF9" s="2"/>
      <c r="AAG9" s="2">
        <v>15</v>
      </c>
      <c r="AAH9" s="2"/>
      <c r="AAI9" s="2"/>
      <c r="AAJ9" s="2"/>
      <c r="AAK9" s="2"/>
      <c r="AAL9" s="2"/>
      <c r="AAM9" s="2"/>
      <c r="AAN9" s="2"/>
      <c r="AAO9" s="2"/>
      <c r="AAP9" s="2"/>
      <c r="AAQ9" s="2"/>
      <c r="AAR9" s="2"/>
      <c r="AAS9" s="2"/>
      <c r="AAT9" s="2"/>
      <c r="AAU9" s="2"/>
      <c r="AAV9" s="2"/>
      <c r="AAW9" s="2"/>
      <c r="AAX9" s="2"/>
      <c r="AAY9" s="2"/>
      <c r="AAZ9" s="2"/>
      <c r="ABA9" s="2"/>
      <c r="ABB9" s="2"/>
      <c r="ABC9" s="2"/>
      <c r="ABD9" s="2"/>
      <c r="ABE9" s="2"/>
      <c r="ABF9" s="2"/>
      <c r="ABG9" s="2"/>
      <c r="ABH9" s="2"/>
      <c r="ABI9" s="2"/>
      <c r="ABJ9" s="2"/>
      <c r="ABK9" s="2"/>
      <c r="ABL9" s="2"/>
      <c r="ABM9" s="2"/>
      <c r="ABN9" s="2"/>
      <c r="ABO9" s="2"/>
      <c r="ABP9" s="2"/>
      <c r="ABQ9" s="2"/>
      <c r="ABR9" s="2"/>
      <c r="ABS9" s="2"/>
      <c r="ABT9" s="2"/>
      <c r="ABU9" s="2"/>
      <c r="ABV9" s="2"/>
      <c r="ABW9" s="2"/>
      <c r="ABX9" s="2"/>
      <c r="ABY9" s="2"/>
      <c r="ABZ9" s="2"/>
      <c r="ACA9" s="2"/>
      <c r="ACB9" s="2"/>
      <c r="ACC9" s="2"/>
      <c r="ACD9" s="2"/>
      <c r="ACE9" s="2"/>
      <c r="ACF9" s="2"/>
      <c r="ACG9" s="2"/>
      <c r="ACH9" s="2"/>
      <c r="ACI9" s="2"/>
      <c r="ACJ9" s="2"/>
      <c r="ACK9" s="2"/>
      <c r="ACL9" s="2"/>
      <c r="ACM9" s="2"/>
      <c r="ACN9" s="2"/>
      <c r="ACO9" s="2"/>
      <c r="ACP9" s="2"/>
      <c r="ACQ9" s="2"/>
      <c r="ACR9" s="2"/>
      <c r="ACS9" s="2"/>
      <c r="ACT9" s="2"/>
      <c r="ACU9" s="2"/>
      <c r="ACV9" s="2"/>
      <c r="ACW9" s="2"/>
      <c r="ACX9" s="2"/>
      <c r="ACY9" s="2"/>
      <c r="ACZ9" s="2"/>
      <c r="ADA9" s="2"/>
      <c r="ADB9" s="2"/>
      <c r="ADC9" s="2"/>
      <c r="ADD9" s="2"/>
      <c r="ADE9" s="2"/>
      <c r="ADF9" s="2"/>
      <c r="ADG9" s="2"/>
      <c r="ADH9" s="2"/>
      <c r="ADI9" s="2"/>
      <c r="ADJ9" s="2"/>
      <c r="ADK9" s="2"/>
      <c r="ADL9" s="2"/>
      <c r="ADM9" s="2"/>
      <c r="ADN9" s="2">
        <v>5</v>
      </c>
      <c r="ADO9" s="2"/>
      <c r="ADP9" s="2"/>
      <c r="ADQ9" s="2"/>
      <c r="ADR9" s="2"/>
      <c r="ADS9" s="2"/>
      <c r="ADT9" s="2"/>
      <c r="ADU9" s="2"/>
      <c r="ADV9" s="2"/>
      <c r="ADW9" s="2"/>
      <c r="ADX9" s="2"/>
      <c r="ADY9" s="2"/>
      <c r="ADZ9" s="2"/>
      <c r="AEA9" s="2"/>
      <c r="AEB9" s="2"/>
      <c r="AEC9" s="2"/>
      <c r="AED9" s="2"/>
      <c r="AEE9" s="2"/>
      <c r="AEF9" s="2"/>
      <c r="AEG9" s="2"/>
      <c r="AEH9" s="2"/>
      <c r="AEI9" s="2"/>
      <c r="AEJ9" s="2"/>
      <c r="AEK9" s="2"/>
      <c r="AEL9" s="2"/>
      <c r="AEM9" s="2"/>
      <c r="AEN9" s="2"/>
      <c r="AEO9" s="2"/>
      <c r="AEP9" s="2"/>
      <c r="AEQ9" s="2"/>
      <c r="AER9" s="2"/>
      <c r="AES9" s="2"/>
      <c r="AET9" s="2"/>
      <c r="AEU9" s="2"/>
      <c r="AEV9" s="2"/>
      <c r="AEW9" s="2"/>
      <c r="AEX9" s="2"/>
      <c r="AEY9" s="2"/>
      <c r="AEZ9" s="2"/>
      <c r="AFA9" s="2"/>
      <c r="AFB9" s="2"/>
      <c r="AFC9" s="2"/>
      <c r="AFD9" s="2"/>
      <c r="AFE9" s="2"/>
      <c r="AFF9" s="2"/>
      <c r="AFG9" s="2"/>
      <c r="AFH9" s="2"/>
      <c r="AFI9" s="2"/>
      <c r="AFJ9" s="2"/>
      <c r="AFK9" s="2"/>
      <c r="AFL9" s="2">
        <f t="shared" si="0"/>
        <v>59</v>
      </c>
    </row>
    <row r="10" spans="1:845" x14ac:dyDescent="0.3">
      <c r="B10" s="91">
        <v>550052775</v>
      </c>
      <c r="C10" s="52" t="s">
        <v>59</v>
      </c>
      <c r="D10" s="35" t="s">
        <v>18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>
        <f>8+8</f>
        <v>16</v>
      </c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>
        <v>16</v>
      </c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>
        <v>20</v>
      </c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>
        <v>5</v>
      </c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>
        <v>5</v>
      </c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>
        <f t="shared" si="0"/>
        <v>62</v>
      </c>
    </row>
    <row r="11" spans="1:845" x14ac:dyDescent="0.3">
      <c r="B11" s="91">
        <v>550054547</v>
      </c>
      <c r="C11" s="52" t="s">
        <v>61</v>
      </c>
      <c r="D11" s="35" t="s">
        <v>18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>
        <v>8</v>
      </c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>
        <v>4</v>
      </c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>
        <v>8</v>
      </c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>
        <v>10</v>
      </c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>
        <v>4</v>
      </c>
      <c r="ADU11" s="2"/>
      <c r="ADV11" s="2"/>
      <c r="ADW11" s="2"/>
      <c r="ADX11" s="2"/>
      <c r="ADY11" s="2"/>
      <c r="ADZ11" s="2">
        <v>5</v>
      </c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>
        <f t="shared" si="0"/>
        <v>39</v>
      </c>
    </row>
    <row r="12" spans="1:845" s="11" customFormat="1" x14ac:dyDescent="0.3">
      <c r="B12" s="42">
        <v>550047079</v>
      </c>
      <c r="C12" s="13" t="s">
        <v>63</v>
      </c>
      <c r="D12" s="35" t="s">
        <v>18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>
        <v>10</v>
      </c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  <c r="AAA12" s="2"/>
      <c r="AAB12" s="2"/>
      <c r="AAC12" s="2"/>
      <c r="AAD12" s="2"/>
      <c r="AAE12" s="2"/>
      <c r="AAF12" s="2"/>
      <c r="AAG12" s="2">
        <v>10</v>
      </c>
      <c r="AAH12" s="2"/>
      <c r="AAI12" s="2"/>
      <c r="AAJ12" s="2"/>
      <c r="AAK12" s="2"/>
      <c r="AAL12" s="2"/>
      <c r="AAM12" s="2"/>
      <c r="AAN12" s="2"/>
      <c r="AAO12" s="2"/>
      <c r="AAP12" s="2"/>
      <c r="AAQ12" s="2"/>
      <c r="AAR12" s="2"/>
      <c r="AAS12" s="2"/>
      <c r="AAT12" s="2"/>
      <c r="AAU12" s="2"/>
      <c r="AAV12" s="2"/>
      <c r="AAW12" s="2"/>
      <c r="AAX12" s="2"/>
      <c r="AAY12" s="2"/>
      <c r="AAZ12" s="2">
        <v>6</v>
      </c>
      <c r="ABA12" s="2"/>
      <c r="ABB12" s="2"/>
      <c r="ABC12" s="2"/>
      <c r="ABD12" s="2"/>
      <c r="ABE12" s="2"/>
      <c r="ABF12" s="2"/>
      <c r="ABG12" s="2"/>
      <c r="ABH12" s="2"/>
      <c r="ABI12" s="2"/>
      <c r="ABJ12" s="2"/>
      <c r="ABK12" s="2"/>
      <c r="ABL12" s="2"/>
      <c r="ABM12" s="2"/>
      <c r="ABN12" s="2"/>
      <c r="ABO12" s="2"/>
      <c r="ABP12" s="2"/>
      <c r="ABQ12" s="2"/>
      <c r="ABR12" s="2"/>
      <c r="ABS12" s="2"/>
      <c r="ABT12" s="2"/>
      <c r="ABU12" s="2"/>
      <c r="ABV12" s="2"/>
      <c r="ABW12" s="2"/>
      <c r="ABX12" s="2"/>
      <c r="ABY12" s="2"/>
      <c r="ABZ12" s="2"/>
      <c r="ACA12" s="2"/>
      <c r="ACB12" s="2"/>
      <c r="ACC12" s="2"/>
      <c r="ACD12" s="2"/>
      <c r="ACE12" s="2"/>
      <c r="ACF12" s="2"/>
      <c r="ACG12" s="2"/>
      <c r="ACH12" s="2"/>
      <c r="ACI12" s="2"/>
      <c r="ACJ12" s="2"/>
      <c r="ACK12" s="2"/>
      <c r="ACL12" s="2"/>
      <c r="ACM12" s="2"/>
      <c r="ACN12" s="2"/>
      <c r="ACO12" s="2"/>
      <c r="ACP12" s="2"/>
      <c r="ACQ12" s="2"/>
      <c r="ACR12" s="2"/>
      <c r="ACS12" s="2"/>
      <c r="ACT12" s="2"/>
      <c r="ACU12" s="2"/>
      <c r="ACV12" s="2"/>
      <c r="ACW12" s="2"/>
      <c r="ACX12" s="2"/>
      <c r="ACY12" s="2"/>
      <c r="ACZ12" s="2"/>
      <c r="ADA12" s="2"/>
      <c r="ADB12" s="2"/>
      <c r="ADC12" s="2"/>
      <c r="ADD12" s="2"/>
      <c r="ADE12" s="2"/>
      <c r="ADF12" s="2"/>
      <c r="ADG12" s="2"/>
      <c r="ADH12" s="2"/>
      <c r="ADI12" s="2"/>
      <c r="ADJ12" s="2"/>
      <c r="ADK12" s="2"/>
      <c r="ADL12" s="2"/>
      <c r="ADM12" s="2"/>
      <c r="ADN12" s="2"/>
      <c r="ADO12" s="2"/>
      <c r="ADP12" s="2"/>
      <c r="ADQ12" s="2"/>
      <c r="ADR12" s="2"/>
      <c r="ADS12" s="2"/>
      <c r="ADT12" s="2"/>
      <c r="ADU12" s="2"/>
      <c r="ADV12" s="2"/>
      <c r="ADW12" s="2"/>
      <c r="ADX12" s="2"/>
      <c r="ADY12" s="2"/>
      <c r="ADZ12" s="2"/>
      <c r="AEA12" s="2"/>
      <c r="AEB12" s="2"/>
      <c r="AEC12" s="2"/>
      <c r="AED12" s="2"/>
      <c r="AEE12" s="2"/>
      <c r="AEF12" s="2"/>
      <c r="AEG12" s="2"/>
      <c r="AEH12" s="2"/>
      <c r="AEI12" s="2"/>
      <c r="AEJ12" s="2"/>
      <c r="AEK12" s="2"/>
      <c r="AEL12" s="2"/>
      <c r="AEM12" s="2"/>
      <c r="AEN12" s="2"/>
      <c r="AEO12" s="2"/>
      <c r="AEP12" s="2"/>
      <c r="AEQ12" s="2"/>
      <c r="AER12" s="2"/>
      <c r="AES12" s="2"/>
      <c r="AET12" s="2"/>
      <c r="AEU12" s="2"/>
      <c r="AEV12" s="2"/>
      <c r="AEW12" s="2"/>
      <c r="AEX12" s="2"/>
      <c r="AEY12" s="2"/>
      <c r="AEZ12" s="2"/>
      <c r="AFA12" s="2"/>
      <c r="AFB12" s="2"/>
      <c r="AFC12" s="2"/>
      <c r="AFD12" s="2"/>
      <c r="AFE12" s="2"/>
      <c r="AFF12" s="2"/>
      <c r="AFG12" s="2"/>
      <c r="AFH12" s="2"/>
      <c r="AFI12" s="2"/>
      <c r="AFJ12" s="2"/>
      <c r="AFK12" s="2"/>
      <c r="AFL12" s="2">
        <f t="shared" si="0"/>
        <v>26</v>
      </c>
    </row>
    <row r="13" spans="1:845" s="11" customFormat="1" x14ac:dyDescent="0.3">
      <c r="B13" s="10">
        <v>550022409</v>
      </c>
      <c r="C13" s="89" t="s">
        <v>989</v>
      </c>
      <c r="D13" s="64" t="s">
        <v>905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>
        <f>SUM(E13:JQ13)</f>
        <v>0</v>
      </c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  <c r="AAA13" s="2"/>
      <c r="AAB13" s="2"/>
      <c r="AAC13" s="2"/>
      <c r="AAD13" s="2"/>
      <c r="AAE13" s="2"/>
      <c r="AAF13" s="2"/>
      <c r="AAG13" s="2"/>
      <c r="AAH13" s="2"/>
      <c r="AAI13" s="2"/>
      <c r="AAJ13" s="2"/>
      <c r="AAK13" s="2"/>
      <c r="AAL13" s="2"/>
      <c r="AAM13" s="2"/>
      <c r="AAN13" s="2"/>
      <c r="AAO13" s="2"/>
      <c r="AAP13" s="2"/>
      <c r="AAQ13" s="2"/>
      <c r="AAR13" s="2"/>
      <c r="AAS13" s="2"/>
      <c r="AAT13" s="2"/>
      <c r="AAU13" s="2"/>
      <c r="AAV13" s="2"/>
      <c r="AAW13" s="2"/>
      <c r="AAX13" s="2"/>
      <c r="AAY13" s="2"/>
      <c r="AAZ13" s="2"/>
      <c r="ABA13" s="2"/>
      <c r="ABB13" s="2"/>
      <c r="ABC13" s="2"/>
      <c r="ABD13" s="2"/>
      <c r="ABE13" s="2"/>
      <c r="ABF13" s="2"/>
      <c r="ABG13" s="2"/>
      <c r="ABH13" s="2"/>
      <c r="ABI13" s="2"/>
      <c r="ABJ13" s="2"/>
      <c r="ABK13" s="2"/>
      <c r="ABL13" s="2"/>
      <c r="ABM13" s="2"/>
      <c r="ABN13" s="2"/>
      <c r="ABO13" s="2"/>
      <c r="ABP13" s="2"/>
      <c r="ABQ13" s="2"/>
      <c r="ABR13" s="2"/>
      <c r="ABS13" s="2"/>
      <c r="ABT13" s="2"/>
      <c r="ABU13" s="2"/>
      <c r="ABV13" s="2"/>
      <c r="ABW13" s="2"/>
      <c r="ABX13" s="2"/>
      <c r="ABY13" s="2"/>
      <c r="ABZ13" s="2"/>
      <c r="ACA13" s="2"/>
      <c r="ACB13" s="2"/>
      <c r="ACC13" s="2"/>
      <c r="ACD13" s="2"/>
      <c r="ACE13" s="2">
        <v>2</v>
      </c>
      <c r="ACF13" s="2"/>
      <c r="ACG13" s="2"/>
      <c r="ACH13" s="2"/>
      <c r="ACI13" s="2"/>
      <c r="ACJ13" s="2"/>
      <c r="ACK13" s="2"/>
      <c r="ACL13" s="2"/>
      <c r="ACM13" s="2"/>
      <c r="ACN13" s="2"/>
      <c r="ACO13" s="2"/>
      <c r="ACP13" s="2"/>
      <c r="ACQ13" s="2"/>
      <c r="ACR13" s="2"/>
      <c r="ACS13" s="2"/>
      <c r="ACT13" s="2"/>
      <c r="ACU13" s="2"/>
      <c r="ACV13" s="2"/>
      <c r="ACW13" s="2"/>
      <c r="ACX13" s="2"/>
      <c r="ACY13" s="2"/>
      <c r="ACZ13" s="2"/>
      <c r="ADA13" s="2"/>
      <c r="ADB13" s="2"/>
      <c r="ADC13" s="2"/>
      <c r="ADD13" s="2"/>
      <c r="ADE13" s="2"/>
      <c r="ADF13" s="2"/>
      <c r="ADG13" s="2"/>
      <c r="ADH13" s="2"/>
      <c r="ADI13" s="2"/>
      <c r="ADJ13" s="2"/>
      <c r="ADK13" s="2"/>
      <c r="ADL13" s="2"/>
      <c r="ADM13" s="2"/>
      <c r="ADN13" s="2"/>
      <c r="ADO13" s="2"/>
      <c r="ADP13" s="2"/>
      <c r="ADQ13" s="2"/>
      <c r="ADR13" s="2"/>
      <c r="ADS13" s="2"/>
      <c r="ADT13" s="2"/>
      <c r="ADU13" s="2"/>
      <c r="ADV13" s="2"/>
      <c r="ADW13" s="2"/>
      <c r="ADX13" s="2"/>
      <c r="ADY13" s="2"/>
      <c r="ADZ13" s="2"/>
      <c r="AEA13" s="2"/>
      <c r="AEB13" s="2"/>
      <c r="AEC13" s="2"/>
      <c r="AED13" s="2"/>
      <c r="AEE13" s="2"/>
      <c r="AEF13" s="2"/>
      <c r="AEG13" s="2"/>
      <c r="AEH13" s="2"/>
      <c r="AEI13" s="2"/>
      <c r="AEJ13" s="2"/>
      <c r="AEK13" s="2"/>
      <c r="AEL13" s="2"/>
      <c r="AEM13" s="2"/>
      <c r="AEN13" s="2"/>
      <c r="AEO13" s="2"/>
      <c r="AEP13" s="2"/>
      <c r="AEQ13" s="2"/>
      <c r="AER13" s="2"/>
      <c r="AES13" s="2"/>
      <c r="AET13" s="2"/>
      <c r="AEU13" s="2"/>
      <c r="AEV13" s="2"/>
      <c r="AEW13" s="2"/>
      <c r="AEX13" s="2"/>
      <c r="AEY13" s="2"/>
      <c r="AEZ13" s="2"/>
      <c r="AFA13" s="2"/>
      <c r="AFB13" s="2"/>
      <c r="AFC13" s="2"/>
      <c r="AFD13" s="2"/>
      <c r="AFE13" s="2"/>
      <c r="AFF13" s="2"/>
      <c r="AFG13" s="2"/>
      <c r="AFH13" s="2"/>
      <c r="AFI13" s="2"/>
      <c r="AFJ13" s="2"/>
      <c r="AFK13" s="2"/>
      <c r="AFL13" s="2">
        <f t="shared" si="0"/>
        <v>2</v>
      </c>
    </row>
    <row r="14" spans="1:845" s="11" customFormat="1" x14ac:dyDescent="0.3">
      <c r="B14" s="42">
        <v>550014136</v>
      </c>
      <c r="C14" s="13" t="s">
        <v>65</v>
      </c>
      <c r="D14" s="35" t="s">
        <v>27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>
        <v>16</v>
      </c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>
        <v>5</v>
      </c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>
        <v>4</v>
      </c>
      <c r="PZ14" s="2"/>
      <c r="QA14" s="2"/>
      <c r="QB14" s="2"/>
      <c r="QC14" s="2">
        <v>31</v>
      </c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  <c r="AAA14" s="2"/>
      <c r="AAB14" s="2"/>
      <c r="AAC14" s="2"/>
      <c r="AAD14" s="2"/>
      <c r="AAE14" s="2"/>
      <c r="AAF14" s="2"/>
      <c r="AAG14" s="2"/>
      <c r="AAH14" s="2"/>
      <c r="AAI14" s="2"/>
      <c r="AAJ14" s="2"/>
      <c r="AAK14" s="2"/>
      <c r="AAL14" s="2"/>
      <c r="AAM14" s="2"/>
      <c r="AAN14" s="2"/>
      <c r="AAO14" s="2"/>
      <c r="AAP14" s="2"/>
      <c r="AAQ14" s="2"/>
      <c r="AAR14" s="2"/>
      <c r="AAS14" s="2"/>
      <c r="AAT14" s="2"/>
      <c r="AAU14" s="2"/>
      <c r="AAV14" s="2"/>
      <c r="AAW14" s="2"/>
      <c r="AAX14" s="2"/>
      <c r="AAY14" s="2"/>
      <c r="AAZ14" s="2"/>
      <c r="ABA14" s="2"/>
      <c r="ABB14" s="2"/>
      <c r="ABC14" s="2"/>
      <c r="ABD14" s="2"/>
      <c r="ABE14" s="2"/>
      <c r="ABF14" s="2"/>
      <c r="ABG14" s="2"/>
      <c r="ABH14" s="2"/>
      <c r="ABI14" s="2"/>
      <c r="ABJ14" s="2"/>
      <c r="ABK14" s="2"/>
      <c r="ABL14" s="2"/>
      <c r="ABM14" s="2"/>
      <c r="ABN14" s="2"/>
      <c r="ABO14" s="2"/>
      <c r="ABP14" s="2"/>
      <c r="ABQ14" s="2"/>
      <c r="ABR14" s="2"/>
      <c r="ABS14" s="2"/>
      <c r="ABT14" s="2"/>
      <c r="ABU14" s="2"/>
      <c r="ABV14" s="2"/>
      <c r="ABW14" s="2"/>
      <c r="ABX14" s="2"/>
      <c r="ABY14" s="2"/>
      <c r="ABZ14" s="2"/>
      <c r="ACA14" s="2"/>
      <c r="ACB14" s="2"/>
      <c r="ACC14" s="2"/>
      <c r="ACD14" s="2"/>
      <c r="ACE14" s="2"/>
      <c r="ACF14" s="2"/>
      <c r="ACG14" s="2"/>
      <c r="ACH14" s="2"/>
      <c r="ACI14" s="2"/>
      <c r="ACJ14" s="2"/>
      <c r="ACK14" s="2"/>
      <c r="ACL14" s="2"/>
      <c r="ACM14" s="2"/>
      <c r="ACN14" s="2"/>
      <c r="ACO14" s="2"/>
      <c r="ACP14" s="2"/>
      <c r="ACQ14" s="2"/>
      <c r="ACR14" s="2"/>
      <c r="ACS14" s="2"/>
      <c r="ACT14" s="2"/>
      <c r="ACU14" s="2"/>
      <c r="ACV14" s="2"/>
      <c r="ACW14" s="2"/>
      <c r="ACX14" s="2"/>
      <c r="ACY14" s="2"/>
      <c r="ACZ14" s="2"/>
      <c r="ADA14" s="2"/>
      <c r="ADB14" s="2"/>
      <c r="ADC14" s="2"/>
      <c r="ADD14" s="2"/>
      <c r="ADE14" s="2"/>
      <c r="ADF14" s="2"/>
      <c r="ADG14" s="2"/>
      <c r="ADH14" s="2"/>
      <c r="ADI14" s="2"/>
      <c r="ADJ14" s="2"/>
      <c r="ADK14" s="2"/>
      <c r="ADL14" s="2"/>
      <c r="ADM14" s="2"/>
      <c r="ADN14" s="2"/>
      <c r="ADO14" s="2"/>
      <c r="ADP14" s="2"/>
      <c r="ADQ14" s="2"/>
      <c r="ADR14" s="2"/>
      <c r="ADS14" s="2"/>
      <c r="ADT14" s="2"/>
      <c r="ADU14" s="2"/>
      <c r="ADV14" s="2"/>
      <c r="ADW14" s="2"/>
      <c r="ADX14" s="2"/>
      <c r="ADY14" s="2"/>
      <c r="ADZ14" s="2"/>
      <c r="AEA14" s="2"/>
      <c r="AEB14" s="2"/>
      <c r="AEC14" s="2"/>
      <c r="AED14" s="2"/>
      <c r="AEE14" s="2"/>
      <c r="AEF14" s="2"/>
      <c r="AEG14" s="2"/>
      <c r="AEH14" s="2"/>
      <c r="AEI14" s="2"/>
      <c r="AEJ14" s="2"/>
      <c r="AEK14" s="2"/>
      <c r="AEL14" s="2"/>
      <c r="AEM14" s="2"/>
      <c r="AEN14" s="2"/>
      <c r="AEO14" s="2"/>
      <c r="AEP14" s="2"/>
      <c r="AEQ14" s="2"/>
      <c r="AER14" s="2"/>
      <c r="AES14" s="2"/>
      <c r="AET14" s="2"/>
      <c r="AEU14" s="2"/>
      <c r="AEV14" s="2"/>
      <c r="AEW14" s="2"/>
      <c r="AEX14" s="2"/>
      <c r="AEY14" s="2"/>
      <c r="AEZ14" s="2"/>
      <c r="AFA14" s="2"/>
      <c r="AFB14" s="2"/>
      <c r="AFC14" s="2"/>
      <c r="AFD14" s="2"/>
      <c r="AFE14" s="2"/>
      <c r="AFF14" s="2"/>
      <c r="AFG14" s="2"/>
      <c r="AFH14" s="2"/>
      <c r="AFI14" s="2"/>
      <c r="AFJ14" s="2"/>
      <c r="AFK14" s="2"/>
      <c r="AFL14" s="2">
        <f t="shared" si="0"/>
        <v>56</v>
      </c>
    </row>
    <row r="15" spans="1:845" s="11" customFormat="1" x14ac:dyDescent="0.3">
      <c r="B15" s="91">
        <v>550026301</v>
      </c>
      <c r="C15" s="52" t="s">
        <v>986</v>
      </c>
      <c r="D15" s="35" t="s">
        <v>987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>
        <f t="shared" si="0"/>
        <v>0</v>
      </c>
    </row>
    <row r="16" spans="1:845" s="11" customFormat="1" x14ac:dyDescent="0.3">
      <c r="B16" s="91">
        <v>550027265</v>
      </c>
      <c r="C16" s="52" t="s">
        <v>67</v>
      </c>
      <c r="D16" s="35" t="s">
        <v>4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>
        <v>42</v>
      </c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>
        <v>42</v>
      </c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>
        <v>42</v>
      </c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>
        <v>21</v>
      </c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>
        <v>21</v>
      </c>
      <c r="KV16" s="2"/>
      <c r="KW16" s="2"/>
      <c r="KX16" s="2"/>
      <c r="KY16" s="2">
        <v>21</v>
      </c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>
        <v>20</v>
      </c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>
        <v>42</v>
      </c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>
        <v>42</v>
      </c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>
        <v>1</v>
      </c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>
        <f>84</f>
        <v>84</v>
      </c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>
        <v>42</v>
      </c>
      <c r="UK16" s="2"/>
      <c r="UL16" s="2">
        <v>42</v>
      </c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>
        <v>3</v>
      </c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>
        <v>42</v>
      </c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  <c r="AAA16" s="2"/>
      <c r="AAB16" s="2"/>
      <c r="AAC16" s="2"/>
      <c r="AAD16" s="2"/>
      <c r="AAE16" s="2"/>
      <c r="AAF16" s="2">
        <v>42</v>
      </c>
      <c r="AAG16" s="2"/>
      <c r="AAH16" s="2"/>
      <c r="AAI16" s="2"/>
      <c r="AAJ16" s="2"/>
      <c r="AAK16" s="2"/>
      <c r="AAL16" s="2"/>
      <c r="AAM16" s="2"/>
      <c r="AAN16" s="2"/>
      <c r="AAO16" s="2"/>
      <c r="AAP16" s="2"/>
      <c r="AAQ16" s="2"/>
      <c r="AAR16" s="2"/>
      <c r="AAS16" s="2"/>
      <c r="AAT16" s="2"/>
      <c r="AAU16" s="2"/>
      <c r="AAV16" s="2"/>
      <c r="AAW16" s="2"/>
      <c r="AAX16" s="2"/>
      <c r="AAY16" s="2"/>
      <c r="AAZ16" s="2"/>
      <c r="ABA16" s="2"/>
      <c r="ABB16" s="2"/>
      <c r="ABC16" s="2">
        <v>42</v>
      </c>
      <c r="ABD16" s="2"/>
      <c r="ABE16" s="2"/>
      <c r="ABF16" s="2"/>
      <c r="ABG16" s="2"/>
      <c r="ABH16" s="2"/>
      <c r="ABI16" s="2"/>
      <c r="ABJ16" s="2"/>
      <c r="ABK16" s="2"/>
      <c r="ABL16" s="2"/>
      <c r="ABM16" s="2"/>
      <c r="ABN16" s="2"/>
      <c r="ABO16" s="2"/>
      <c r="ABP16" s="2"/>
      <c r="ABQ16" s="2"/>
      <c r="ABR16" s="2"/>
      <c r="ABS16" s="2"/>
      <c r="ABT16" s="2"/>
      <c r="ABU16" s="2"/>
      <c r="ABV16" s="2"/>
      <c r="ABW16" s="2"/>
      <c r="ABX16" s="2"/>
      <c r="ABY16" s="2"/>
      <c r="ABZ16" s="2"/>
      <c r="ACA16" s="2"/>
      <c r="ACB16" s="2"/>
      <c r="ACC16" s="2"/>
      <c r="ACD16" s="2"/>
      <c r="ACE16" s="2"/>
      <c r="ACF16" s="2"/>
      <c r="ACG16" s="2"/>
      <c r="ACH16" s="2"/>
      <c r="ACI16" s="2"/>
      <c r="ACJ16" s="2"/>
      <c r="ACK16" s="2"/>
      <c r="ACL16" s="2"/>
      <c r="ACM16" s="2"/>
      <c r="ACN16" s="2"/>
      <c r="ACO16" s="2"/>
      <c r="ACP16" s="2">
        <v>21</v>
      </c>
      <c r="ACQ16" s="2"/>
      <c r="ACR16" s="2"/>
      <c r="ACS16" s="2"/>
      <c r="ACT16" s="2"/>
      <c r="ACU16" s="2"/>
      <c r="ACV16" s="2"/>
      <c r="ACW16" s="2"/>
      <c r="ACX16" s="2"/>
      <c r="ACY16" s="2"/>
      <c r="ACZ16" s="2"/>
      <c r="ADA16" s="2"/>
      <c r="ADB16" s="2"/>
      <c r="ADC16" s="2"/>
      <c r="ADD16" s="2"/>
      <c r="ADE16" s="2"/>
      <c r="ADF16" s="2"/>
      <c r="ADG16" s="2"/>
      <c r="ADH16" s="2"/>
      <c r="ADI16" s="2"/>
      <c r="ADJ16" s="2"/>
      <c r="ADK16" s="2">
        <v>3</v>
      </c>
      <c r="ADL16" s="2"/>
      <c r="ADM16" s="2"/>
      <c r="ADN16" s="2"/>
      <c r="ADO16" s="2"/>
      <c r="ADP16" s="2"/>
      <c r="ADQ16" s="2"/>
      <c r="ADR16" s="2"/>
      <c r="ADS16" s="2"/>
      <c r="ADT16" s="2"/>
      <c r="ADU16" s="2"/>
      <c r="ADV16" s="2"/>
      <c r="ADW16" s="2"/>
      <c r="ADX16" s="2"/>
      <c r="ADY16" s="2"/>
      <c r="ADZ16" s="2"/>
      <c r="AEA16" s="2"/>
      <c r="AEB16" s="2"/>
      <c r="AEC16" s="2"/>
      <c r="AED16" s="2"/>
      <c r="AEE16" s="2"/>
      <c r="AEF16" s="2"/>
      <c r="AEG16" s="2"/>
      <c r="AEH16" s="2">
        <v>42</v>
      </c>
      <c r="AEI16" s="2"/>
      <c r="AEJ16" s="2"/>
      <c r="AEK16" s="2"/>
      <c r="AEL16" s="2"/>
      <c r="AEM16" s="2"/>
      <c r="AEN16" s="2"/>
      <c r="AEO16" s="2"/>
      <c r="AEP16" s="2"/>
      <c r="AEQ16" s="2"/>
      <c r="AER16" s="2"/>
      <c r="AES16" s="2"/>
      <c r="AET16" s="2"/>
      <c r="AEU16" s="2"/>
      <c r="AEV16" s="2"/>
      <c r="AEW16" s="2"/>
      <c r="AEX16" s="2"/>
      <c r="AEY16" s="2"/>
      <c r="AEZ16" s="2"/>
      <c r="AFA16" s="2"/>
      <c r="AFB16" s="2"/>
      <c r="AFC16" s="2"/>
      <c r="AFD16" s="2"/>
      <c r="AFE16" s="2"/>
      <c r="AFF16" s="2"/>
      <c r="AFG16" s="2"/>
      <c r="AFH16" s="2"/>
      <c r="AFI16" s="2"/>
      <c r="AFJ16" s="2"/>
      <c r="AFK16" s="2"/>
      <c r="AFL16" s="2">
        <f t="shared" si="0"/>
        <v>657</v>
      </c>
    </row>
    <row r="17" spans="1:844" s="11" customFormat="1" x14ac:dyDescent="0.3">
      <c r="B17" s="91">
        <v>550026300</v>
      </c>
      <c r="C17" s="52" t="s">
        <v>69</v>
      </c>
      <c r="D17" s="35" t="s">
        <v>5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>
        <v>42</v>
      </c>
      <c r="DT17" s="2">
        <v>42</v>
      </c>
      <c r="DU17" s="2"/>
      <c r="DV17" s="2"/>
      <c r="DW17" s="2"/>
      <c r="DX17" s="2"/>
      <c r="DY17" s="2"/>
      <c r="DZ17" s="2"/>
      <c r="EA17" s="2"/>
      <c r="EB17" s="2"/>
      <c r="EC17" s="2"/>
      <c r="ED17" s="2">
        <v>21</v>
      </c>
      <c r="EE17" s="2">
        <v>42</v>
      </c>
      <c r="EF17" s="2">
        <v>42</v>
      </c>
      <c r="EG17" s="2">
        <v>42</v>
      </c>
      <c r="EH17" s="2"/>
      <c r="EI17" s="2"/>
      <c r="EJ17" s="2"/>
      <c r="EK17" s="2"/>
      <c r="EL17" s="2">
        <v>1</v>
      </c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>
        <v>42</v>
      </c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>
        <v>15</v>
      </c>
      <c r="FN17" s="2"/>
      <c r="FO17" s="2"/>
      <c r="FP17" s="2"/>
      <c r="FQ17" s="2"/>
      <c r="FR17" s="2"/>
      <c r="FS17" s="2"/>
      <c r="FT17" s="2"/>
      <c r="FU17" s="2">
        <v>42</v>
      </c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>
        <v>21</v>
      </c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>
        <v>42</v>
      </c>
      <c r="GW17" s="2"/>
      <c r="GX17" s="2"/>
      <c r="GY17" s="2"/>
      <c r="GZ17" s="2"/>
      <c r="HA17" s="2"/>
      <c r="HB17" s="2"/>
      <c r="HC17" s="2">
        <v>42</v>
      </c>
      <c r="HD17" s="2"/>
      <c r="HE17" s="2"/>
      <c r="HF17" s="2"/>
      <c r="HG17" s="2"/>
      <c r="HH17" s="2"/>
      <c r="HI17" s="2"/>
      <c r="HJ17" s="2"/>
      <c r="HK17" s="2"/>
      <c r="HL17" s="2"/>
      <c r="HM17" s="2">
        <v>42</v>
      </c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>
        <v>42</v>
      </c>
      <c r="IX17" s="2"/>
      <c r="IY17" s="2"/>
      <c r="IZ17" s="2"/>
      <c r="JA17" s="2"/>
      <c r="JB17" s="2"/>
      <c r="JC17" s="2"/>
      <c r="JD17" s="2">
        <v>1</v>
      </c>
      <c r="JE17" s="2"/>
      <c r="JF17" s="2"/>
      <c r="JG17" s="2"/>
      <c r="JH17" s="2"/>
      <c r="JI17" s="2">
        <v>84</v>
      </c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>
        <v>25</v>
      </c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>
        <f>42+21+42+21</f>
        <v>126</v>
      </c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>
        <f>42</f>
        <v>42</v>
      </c>
      <c r="QS17" s="2">
        <f>42+42+42</f>
        <v>126</v>
      </c>
      <c r="QT17" s="2"/>
      <c r="QU17" s="2"/>
      <c r="QV17" s="2">
        <f>126+42+42</f>
        <v>210</v>
      </c>
      <c r="QW17" s="2"/>
      <c r="QX17" s="2"/>
      <c r="QY17" s="2">
        <f>42</f>
        <v>42</v>
      </c>
      <c r="QZ17" s="2">
        <f>84</f>
        <v>84</v>
      </c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>
        <f>3</f>
        <v>3</v>
      </c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>
        <f>42</f>
        <v>42</v>
      </c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>
        <v>42</v>
      </c>
      <c r="UK17" s="2">
        <v>42</v>
      </c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>
        <f>42+42</f>
        <v>84</v>
      </c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>
        <v>1</v>
      </c>
      <c r="VN17" s="2"/>
      <c r="VO17" s="2"/>
      <c r="VP17" s="2"/>
      <c r="VQ17" s="2"/>
      <c r="VR17" s="2">
        <v>42</v>
      </c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>
        <v>42</v>
      </c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>
        <v>21</v>
      </c>
      <c r="XQ17" s="2">
        <v>42</v>
      </c>
      <c r="XR17" s="2"/>
      <c r="XS17" s="2">
        <f>42+84</f>
        <v>126</v>
      </c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>
        <v>42</v>
      </c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>
        <v>42</v>
      </c>
      <c r="ABD17" s="2"/>
      <c r="ABE17" s="2"/>
      <c r="ABF17" s="2"/>
      <c r="ABG17" s="2"/>
      <c r="ABH17" s="2"/>
      <c r="ABI17" s="2"/>
      <c r="ABJ17" s="2">
        <v>42</v>
      </c>
      <c r="ABK17" s="2"/>
      <c r="ABL17" s="2"/>
      <c r="ABM17" s="2"/>
      <c r="ABN17" s="2">
        <v>42</v>
      </c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>
        <v>42</v>
      </c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>
        <v>42</v>
      </c>
      <c r="ADE17" s="2"/>
      <c r="ADF17" s="2">
        <v>42</v>
      </c>
      <c r="ADG17" s="2"/>
      <c r="ADH17" s="2"/>
      <c r="ADI17" s="2"/>
      <c r="ADJ17" s="2"/>
      <c r="ADK17" s="2"/>
      <c r="ADL17" s="2"/>
      <c r="ADM17" s="2"/>
      <c r="ADN17" s="2"/>
      <c r="ADO17" s="2"/>
      <c r="ADP17" s="2">
        <v>42</v>
      </c>
      <c r="ADQ17" s="2"/>
      <c r="ADR17" s="2"/>
      <c r="ADS17" s="2"/>
      <c r="ADT17" s="2"/>
      <c r="ADU17" s="2"/>
      <c r="ADV17" s="2"/>
      <c r="ADW17" s="2"/>
      <c r="ADX17" s="2"/>
      <c r="ADY17" s="2">
        <v>42</v>
      </c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>
        <v>42</v>
      </c>
      <c r="AEL17" s="2">
        <v>42</v>
      </c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>
        <v>42</v>
      </c>
      <c r="AEX17" s="2"/>
      <c r="AEY17" s="12">
        <v>1</v>
      </c>
      <c r="AEZ17" s="2"/>
      <c r="AFA17" s="2"/>
      <c r="AFB17" s="2"/>
      <c r="AFC17" s="2"/>
      <c r="AFD17" s="2"/>
      <c r="AFE17" s="2">
        <v>42</v>
      </c>
      <c r="AFF17" s="2"/>
      <c r="AFG17" s="2"/>
      <c r="AFH17" s="2"/>
      <c r="AFI17" s="2"/>
      <c r="AFJ17" s="2"/>
      <c r="AFK17" s="2"/>
      <c r="AFL17" s="2">
        <f t="shared" si="0"/>
        <v>2294</v>
      </c>
    </row>
    <row r="18" spans="1:844" s="11" customFormat="1" x14ac:dyDescent="0.3">
      <c r="B18" s="91">
        <v>550047075</v>
      </c>
      <c r="C18" s="52" t="s">
        <v>71</v>
      </c>
      <c r="D18" s="35" t="s">
        <v>18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>
        <f>8+8</f>
        <v>16</v>
      </c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>
        <v>8</v>
      </c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>
        <v>8</v>
      </c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>
        <v>8</v>
      </c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>
        <v>16</v>
      </c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>
        <v>8</v>
      </c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>
        <v>72</v>
      </c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>
        <v>10</v>
      </c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>
        <v>8</v>
      </c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>
        <v>14</v>
      </c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  <c r="AAA18" s="2"/>
      <c r="AAB18" s="2"/>
      <c r="AAC18" s="2"/>
      <c r="AAD18" s="2"/>
      <c r="AAE18" s="2"/>
      <c r="AAF18" s="2"/>
      <c r="AAG18" s="2"/>
      <c r="AAH18" s="2"/>
      <c r="AAI18" s="2"/>
      <c r="AAJ18" s="2"/>
      <c r="AAK18" s="2"/>
      <c r="AAL18" s="2"/>
      <c r="AAM18" s="2"/>
      <c r="AAN18" s="2"/>
      <c r="AAO18" s="2"/>
      <c r="AAP18" s="2"/>
      <c r="AAQ18" s="2"/>
      <c r="AAR18" s="2"/>
      <c r="AAS18" s="2"/>
      <c r="AAT18" s="2"/>
      <c r="AAU18" s="2"/>
      <c r="AAV18" s="2"/>
      <c r="AAW18" s="2"/>
      <c r="AAX18" s="2"/>
      <c r="AAY18" s="2"/>
      <c r="AAZ18" s="2"/>
      <c r="ABA18" s="2"/>
      <c r="ABB18" s="2"/>
      <c r="ABC18" s="2"/>
      <c r="ABD18" s="2"/>
      <c r="ABE18" s="2"/>
      <c r="ABF18" s="2"/>
      <c r="ABG18" s="2"/>
      <c r="ABH18" s="2"/>
      <c r="ABI18" s="2"/>
      <c r="ABJ18" s="2"/>
      <c r="ABK18" s="2"/>
      <c r="ABL18" s="2"/>
      <c r="ABM18" s="2"/>
      <c r="ABN18" s="2"/>
      <c r="ABO18" s="2"/>
      <c r="ABP18" s="2"/>
      <c r="ABQ18" s="2"/>
      <c r="ABR18" s="2"/>
      <c r="ABS18" s="2"/>
      <c r="ABT18" s="2"/>
      <c r="ABU18" s="2"/>
      <c r="ABV18" s="2"/>
      <c r="ABW18" s="2"/>
      <c r="ABX18" s="2"/>
      <c r="ABY18" s="2"/>
      <c r="ABZ18" s="2"/>
      <c r="ACA18" s="2"/>
      <c r="ACB18" s="2"/>
      <c r="ACC18" s="2"/>
      <c r="ACD18" s="2"/>
      <c r="ACE18" s="2"/>
      <c r="ACF18" s="2"/>
      <c r="ACG18" s="2"/>
      <c r="ACH18" s="2"/>
      <c r="ACI18" s="2"/>
      <c r="ACJ18" s="2"/>
      <c r="ACK18" s="2"/>
      <c r="ACL18" s="2"/>
      <c r="ACM18" s="2"/>
      <c r="ACN18" s="2"/>
      <c r="ACO18" s="2"/>
      <c r="ACP18" s="2"/>
      <c r="ACQ18" s="2"/>
      <c r="ACR18" s="2"/>
      <c r="ACS18" s="2"/>
      <c r="ACT18" s="2"/>
      <c r="ACU18" s="2"/>
      <c r="ACV18" s="2"/>
      <c r="ACW18" s="2"/>
      <c r="ACX18" s="2"/>
      <c r="ACY18" s="2"/>
      <c r="ACZ18" s="2"/>
      <c r="ADA18" s="2"/>
      <c r="ADB18" s="2"/>
      <c r="ADC18" s="2"/>
      <c r="ADD18" s="2"/>
      <c r="ADE18" s="2"/>
      <c r="ADF18" s="2"/>
      <c r="ADG18" s="2"/>
      <c r="ADH18" s="2"/>
      <c r="ADI18" s="2"/>
      <c r="ADJ18" s="2"/>
      <c r="ADK18" s="2"/>
      <c r="ADL18" s="2"/>
      <c r="ADM18" s="2"/>
      <c r="ADN18" s="2"/>
      <c r="ADO18" s="2"/>
      <c r="ADP18" s="2"/>
      <c r="ADQ18" s="2"/>
      <c r="ADR18" s="2"/>
      <c r="ADS18" s="2"/>
      <c r="ADT18" s="2"/>
      <c r="ADU18" s="2"/>
      <c r="ADV18" s="2"/>
      <c r="ADW18" s="2"/>
      <c r="ADX18" s="2"/>
      <c r="ADY18" s="2"/>
      <c r="ADZ18" s="2"/>
      <c r="AEA18" s="2"/>
      <c r="AEB18" s="2"/>
      <c r="AEC18" s="2"/>
      <c r="AED18" s="2"/>
      <c r="AEE18" s="2"/>
      <c r="AEF18" s="2"/>
      <c r="AEG18" s="2"/>
      <c r="AEH18" s="2"/>
      <c r="AEI18" s="2"/>
      <c r="AEJ18" s="2"/>
      <c r="AEK18" s="2"/>
      <c r="AEL18" s="2"/>
      <c r="AEM18" s="2"/>
      <c r="AEN18" s="2"/>
      <c r="AEO18" s="2"/>
      <c r="AEP18" s="2"/>
      <c r="AEQ18" s="2"/>
      <c r="AER18" s="2"/>
      <c r="AES18" s="2"/>
      <c r="AET18" s="2"/>
      <c r="AEU18" s="2"/>
      <c r="AEV18" s="2"/>
      <c r="AEW18" s="2"/>
      <c r="AEX18" s="2"/>
      <c r="AEY18" s="2"/>
      <c r="AEZ18" s="2"/>
      <c r="AFA18" s="2"/>
      <c r="AFB18" s="2"/>
      <c r="AFC18" s="2"/>
      <c r="AFD18" s="2"/>
      <c r="AFE18" s="2"/>
      <c r="AFF18" s="2"/>
      <c r="AFG18" s="2"/>
      <c r="AFH18" s="2"/>
      <c r="AFI18" s="2"/>
      <c r="AFJ18" s="2"/>
      <c r="AFK18" s="2"/>
      <c r="AFL18" s="2">
        <f t="shared" si="0"/>
        <v>168</v>
      </c>
    </row>
    <row r="19" spans="1:844" s="11" customFormat="1" x14ac:dyDescent="0.3">
      <c r="B19" s="35">
        <v>550052219</v>
      </c>
      <c r="C19" s="52" t="s">
        <v>977</v>
      </c>
      <c r="D19" s="35" t="s">
        <v>982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  <c r="AAA19" s="2"/>
      <c r="AAB19" s="2"/>
      <c r="AAC19" s="2"/>
      <c r="AAD19" s="2"/>
      <c r="AAE19" s="2"/>
      <c r="AAF19" s="2"/>
      <c r="AAG19" s="2"/>
      <c r="AAH19" s="2"/>
      <c r="AAI19" s="2"/>
      <c r="AAJ19" s="2"/>
      <c r="AAK19" s="2"/>
      <c r="AAL19" s="2"/>
      <c r="AAM19" s="2"/>
      <c r="AAN19" s="2"/>
      <c r="AAO19" s="2"/>
      <c r="AAP19" s="2"/>
      <c r="AAQ19" s="2"/>
      <c r="AAR19" s="2"/>
      <c r="AAS19" s="2"/>
      <c r="AAT19" s="2"/>
      <c r="AAU19" s="2"/>
      <c r="AAV19" s="2"/>
      <c r="AAW19" s="2"/>
      <c r="AAX19" s="2"/>
      <c r="AAY19" s="2"/>
      <c r="AAZ19" s="2"/>
      <c r="ABA19" s="2"/>
      <c r="ABB19" s="2"/>
      <c r="ABC19" s="2"/>
      <c r="ABD19" s="2"/>
      <c r="ABE19" s="2"/>
      <c r="ABF19" s="2"/>
      <c r="ABG19" s="2"/>
      <c r="ABH19" s="2"/>
      <c r="ABI19" s="2"/>
      <c r="ABJ19" s="2"/>
      <c r="ABK19" s="2"/>
      <c r="ABL19" s="2"/>
      <c r="ABM19" s="2"/>
      <c r="ABN19" s="2"/>
      <c r="ABO19" s="2"/>
      <c r="ABP19" s="2"/>
      <c r="ABQ19" s="2"/>
      <c r="ABR19" s="2"/>
      <c r="ABS19" s="2"/>
      <c r="ABT19" s="2"/>
      <c r="ABU19" s="2"/>
      <c r="ABV19" s="2"/>
      <c r="ABW19" s="2"/>
      <c r="ABX19" s="2"/>
      <c r="ABY19" s="2"/>
      <c r="ABZ19" s="2"/>
      <c r="ACA19" s="2"/>
      <c r="ACB19" s="2"/>
      <c r="ACC19" s="2"/>
      <c r="ACD19" s="2"/>
      <c r="ACE19" s="2"/>
      <c r="ACF19" s="2"/>
      <c r="ACG19" s="2"/>
      <c r="ACH19" s="2"/>
      <c r="ACI19" s="2"/>
      <c r="ACJ19" s="2"/>
      <c r="ACK19" s="2"/>
      <c r="ACL19" s="2"/>
      <c r="ACM19" s="2"/>
      <c r="ACN19" s="2"/>
      <c r="ACO19" s="2"/>
      <c r="ACP19" s="2"/>
      <c r="ACQ19" s="2"/>
      <c r="ACR19" s="2"/>
      <c r="ACS19" s="2"/>
      <c r="ACT19" s="2"/>
      <c r="ACU19" s="2"/>
      <c r="ACV19" s="2"/>
      <c r="ACW19" s="2"/>
      <c r="ACX19" s="2"/>
      <c r="ACY19" s="2"/>
      <c r="ACZ19" s="2"/>
      <c r="ADA19" s="2"/>
      <c r="ADB19" s="2"/>
      <c r="ADC19" s="2"/>
      <c r="ADD19" s="2"/>
      <c r="ADE19" s="2"/>
      <c r="ADF19" s="2"/>
      <c r="ADG19" s="2"/>
      <c r="ADH19" s="2"/>
      <c r="ADI19" s="2"/>
      <c r="ADJ19" s="2"/>
      <c r="ADK19" s="2"/>
      <c r="ADL19" s="2"/>
      <c r="ADM19" s="2"/>
      <c r="ADN19" s="2"/>
      <c r="ADO19" s="2"/>
      <c r="ADP19" s="2"/>
      <c r="ADQ19" s="2"/>
      <c r="ADR19" s="2"/>
      <c r="ADS19" s="2"/>
      <c r="ADT19" s="2"/>
      <c r="ADU19" s="2"/>
      <c r="ADV19" s="2"/>
      <c r="ADW19" s="2"/>
      <c r="ADX19" s="2"/>
      <c r="ADY19" s="2"/>
      <c r="ADZ19" s="2"/>
      <c r="AEA19" s="2"/>
      <c r="AEB19" s="2"/>
      <c r="AEC19" s="2"/>
      <c r="AED19" s="2"/>
      <c r="AEE19" s="2"/>
      <c r="AEF19" s="2"/>
      <c r="AEG19" s="2"/>
      <c r="AEH19" s="2"/>
      <c r="AEI19" s="2"/>
      <c r="AEJ19" s="2"/>
      <c r="AEK19" s="2"/>
      <c r="AEL19" s="2"/>
      <c r="AEM19" s="2"/>
      <c r="AEN19" s="2"/>
      <c r="AEO19" s="2"/>
      <c r="AEP19" s="2"/>
      <c r="AEQ19" s="2"/>
      <c r="AER19" s="2"/>
      <c r="AES19" s="2"/>
      <c r="AET19" s="2"/>
      <c r="AEU19" s="2"/>
      <c r="AEV19" s="2"/>
      <c r="AEW19" s="2"/>
      <c r="AEX19" s="2"/>
      <c r="AEY19" s="2"/>
      <c r="AEZ19" s="2"/>
      <c r="AFA19" s="2"/>
      <c r="AFB19" s="2"/>
      <c r="AFC19" s="2"/>
      <c r="AFD19" s="2"/>
      <c r="AFE19" s="2"/>
      <c r="AFF19" s="2"/>
      <c r="AFG19" s="2"/>
      <c r="AFH19" s="2"/>
      <c r="AFI19" s="2"/>
      <c r="AFJ19" s="2"/>
      <c r="AFK19" s="2"/>
      <c r="AFL19" s="2">
        <f t="shared" si="0"/>
        <v>0</v>
      </c>
    </row>
    <row r="20" spans="1:844" s="11" customFormat="1" x14ac:dyDescent="0.3">
      <c r="B20" s="91">
        <v>550027631</v>
      </c>
      <c r="C20" s="52" t="s">
        <v>73</v>
      </c>
      <c r="D20" s="35" t="s">
        <v>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>
        <v>115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>
        <v>165</v>
      </c>
      <c r="BD20" s="2">
        <v>1</v>
      </c>
      <c r="BE20" s="2"/>
      <c r="BF20" s="2"/>
      <c r="BG20" s="2"/>
      <c r="BH20" s="2"/>
      <c r="BI20" s="2">
        <v>330</v>
      </c>
      <c r="BJ20" s="2">
        <v>330</v>
      </c>
      <c r="BK20" s="2">
        <v>165</v>
      </c>
      <c r="BL20" s="2">
        <v>330</v>
      </c>
      <c r="BM20" s="2">
        <f>1+165</f>
        <v>166</v>
      </c>
      <c r="BN20" s="2"/>
      <c r="BO20" s="2"/>
      <c r="BP20" s="2"/>
      <c r="BQ20" s="2"/>
      <c r="BR20" s="2"/>
      <c r="BS20" s="2"/>
      <c r="BT20" s="2"/>
      <c r="BU20" s="2">
        <v>330</v>
      </c>
      <c r="BV20" s="2"/>
      <c r="BW20" s="2"/>
      <c r="BX20" s="2"/>
      <c r="BY20" s="2"/>
      <c r="BZ20" s="2"/>
      <c r="CA20" s="2"/>
      <c r="CB20" s="2">
        <f>165+1</f>
        <v>166</v>
      </c>
      <c r="CC20" s="2"/>
      <c r="CD20" s="2"/>
      <c r="CE20" s="2"/>
      <c r="CF20" s="2"/>
      <c r="CG20" s="2">
        <v>1</v>
      </c>
      <c r="CH20" s="2"/>
      <c r="CI20" s="2"/>
      <c r="CJ20" s="2"/>
      <c r="CK20" s="2">
        <v>165</v>
      </c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>
        <v>1</v>
      </c>
      <c r="DG20" s="2"/>
      <c r="DH20" s="2"/>
      <c r="DI20" s="2">
        <v>1</v>
      </c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>
        <v>165</v>
      </c>
      <c r="DW20" s="2"/>
      <c r="DX20" s="2"/>
      <c r="DY20" s="2"/>
      <c r="DZ20" s="2"/>
      <c r="EA20" s="2"/>
      <c r="EB20" s="2">
        <v>1</v>
      </c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>
        <v>165</v>
      </c>
      <c r="EX20" s="2"/>
      <c r="EY20" s="2"/>
      <c r="EZ20" s="2"/>
      <c r="FA20" s="2"/>
      <c r="FB20" s="2"/>
      <c r="FC20" s="2"/>
      <c r="FD20" s="2"/>
      <c r="FE20" s="2"/>
      <c r="FF20" s="2">
        <v>165</v>
      </c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>
        <v>165</v>
      </c>
      <c r="FT20" s="2"/>
      <c r="FU20" s="2"/>
      <c r="FV20" s="2"/>
      <c r="FW20" s="2"/>
      <c r="FX20" s="2"/>
      <c r="FY20" s="2"/>
      <c r="FZ20" s="2">
        <v>165</v>
      </c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>
        <v>165</v>
      </c>
      <c r="GU20" s="2">
        <v>1</v>
      </c>
      <c r="GV20" s="2">
        <v>165</v>
      </c>
      <c r="GW20" s="2"/>
      <c r="GX20" s="2"/>
      <c r="GY20" s="2"/>
      <c r="GZ20" s="2"/>
      <c r="HA20" s="2"/>
      <c r="HB20" s="2">
        <f>2+165</f>
        <v>167</v>
      </c>
      <c r="HC20" s="2"/>
      <c r="HD20" s="2"/>
      <c r="HE20" s="2"/>
      <c r="HF20" s="2"/>
      <c r="HG20" s="2"/>
      <c r="HH20" s="2"/>
      <c r="HI20" s="2"/>
      <c r="HJ20" s="2"/>
      <c r="HK20" s="2">
        <v>165</v>
      </c>
      <c r="HL20" s="2"/>
      <c r="HM20" s="2"/>
      <c r="HN20" s="2">
        <v>1</v>
      </c>
      <c r="HO20" s="2"/>
      <c r="HP20" s="2"/>
      <c r="HQ20" s="2"/>
      <c r="HR20" s="2">
        <f>165</f>
        <v>165</v>
      </c>
      <c r="HS20" s="2">
        <v>165</v>
      </c>
      <c r="HT20" s="2">
        <v>165</v>
      </c>
      <c r="HU20" s="2"/>
      <c r="HV20" s="2"/>
      <c r="HW20" s="2"/>
      <c r="HX20" s="2"/>
      <c r="HY20" s="2"/>
      <c r="HZ20" s="2"/>
      <c r="IA20" s="2"/>
      <c r="IB20" s="2"/>
      <c r="IC20" s="2"/>
      <c r="ID20" s="2">
        <v>165</v>
      </c>
      <c r="IE20" s="2"/>
      <c r="IF20" s="2">
        <v>165</v>
      </c>
      <c r="IG20" s="2"/>
      <c r="IH20" s="2"/>
      <c r="II20" s="2"/>
      <c r="IJ20" s="2"/>
      <c r="IK20" s="2">
        <v>3</v>
      </c>
      <c r="IL20" s="2"/>
      <c r="IM20" s="2"/>
      <c r="IN20" s="2"/>
      <c r="IO20" s="2"/>
      <c r="IP20" s="2"/>
      <c r="IQ20" s="2"/>
      <c r="IR20" s="2"/>
      <c r="IS20" s="2"/>
      <c r="IT20" s="2">
        <v>165</v>
      </c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>
        <v>165</v>
      </c>
      <c r="KA20" s="2"/>
      <c r="KB20" s="2">
        <v>165</v>
      </c>
      <c r="KC20" s="2"/>
      <c r="KD20" s="2"/>
      <c r="KE20" s="2">
        <v>165</v>
      </c>
      <c r="KF20" s="2"/>
      <c r="KG20" s="2"/>
      <c r="KH20" s="2"/>
      <c r="KI20" s="2"/>
      <c r="KJ20" s="2">
        <v>165</v>
      </c>
      <c r="KK20" s="2"/>
      <c r="KL20" s="2"/>
      <c r="KM20" s="2"/>
      <c r="KN20" s="2"/>
      <c r="KO20" s="2"/>
      <c r="KP20" s="2"/>
      <c r="KQ20" s="2"/>
      <c r="KR20" s="2"/>
      <c r="KS20" s="2"/>
      <c r="KT20" s="2">
        <v>165</v>
      </c>
      <c r="KU20" s="2"/>
      <c r="KV20" s="2"/>
      <c r="KW20" s="2"/>
      <c r="KX20" s="2"/>
      <c r="KY20" s="2"/>
      <c r="KZ20" s="2"/>
      <c r="LA20" s="2">
        <v>82</v>
      </c>
      <c r="LB20" s="2"/>
      <c r="LC20" s="2">
        <v>1</v>
      </c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>
        <v>165</v>
      </c>
      <c r="MA20" s="2"/>
      <c r="MB20" s="2"/>
      <c r="MC20" s="2"/>
      <c r="MD20" s="2"/>
      <c r="ME20" s="2"/>
      <c r="MF20" s="2"/>
      <c r="MG20" s="2"/>
      <c r="MH20" s="2">
        <f>165+165</f>
        <v>330</v>
      </c>
      <c r="MI20" s="2">
        <v>165</v>
      </c>
      <c r="MJ20" s="2"/>
      <c r="MK20" s="2"/>
      <c r="ML20" s="2"/>
      <c r="MM20" s="2"/>
      <c r="MN20" s="2"/>
      <c r="MO20" s="2"/>
      <c r="MP20" s="2">
        <f>165+165</f>
        <v>330</v>
      </c>
      <c r="MQ20" s="2"/>
      <c r="MR20" s="2"/>
      <c r="MS20" s="2"/>
      <c r="MT20" s="2">
        <v>165</v>
      </c>
      <c r="MU20" s="2"/>
      <c r="MV20" s="2"/>
      <c r="MW20" s="2"/>
      <c r="MX20" s="2"/>
      <c r="MY20" s="2"/>
      <c r="MZ20" s="2"/>
      <c r="NA20" s="2"/>
      <c r="NB20" s="2">
        <v>165</v>
      </c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>
        <v>165</v>
      </c>
      <c r="NN20" s="2"/>
      <c r="NO20" s="2"/>
      <c r="NP20" s="2"/>
      <c r="NQ20" s="2"/>
      <c r="NR20" s="2"/>
      <c r="NS20" s="2"/>
      <c r="NT20" s="2"/>
      <c r="NU20" s="2"/>
      <c r="NV20" s="2"/>
      <c r="NW20" s="2">
        <v>165</v>
      </c>
      <c r="NX20" s="2">
        <v>165</v>
      </c>
      <c r="NY20" s="2"/>
      <c r="NZ20" s="2">
        <v>1</v>
      </c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>
        <v>165</v>
      </c>
      <c r="OL20" s="2"/>
      <c r="OM20" s="2"/>
      <c r="ON20" s="2"/>
      <c r="OO20" s="2"/>
      <c r="OP20" s="2">
        <v>165</v>
      </c>
      <c r="OQ20" s="2">
        <f>165+165</f>
        <v>330</v>
      </c>
      <c r="OR20" s="2"/>
      <c r="OS20" s="2">
        <v>165</v>
      </c>
      <c r="OT20" s="2">
        <f>165+2</f>
        <v>167</v>
      </c>
      <c r="OU20" s="2">
        <v>165</v>
      </c>
      <c r="OV20" s="2"/>
      <c r="OW20" s="2"/>
      <c r="OX20" s="2"/>
      <c r="OY20" s="2"/>
      <c r="OZ20" s="2"/>
      <c r="PA20" s="2">
        <v>165</v>
      </c>
      <c r="PB20" s="2">
        <v>5</v>
      </c>
      <c r="PC20" s="2"/>
      <c r="PD20" s="2"/>
      <c r="PE20" s="2">
        <f>165+165</f>
        <v>330</v>
      </c>
      <c r="PF20" s="2"/>
      <c r="PG20" s="2"/>
      <c r="PH20" s="2"/>
      <c r="PI20" s="2">
        <v>50</v>
      </c>
      <c r="PJ20" s="2"/>
      <c r="PK20" s="2"/>
      <c r="PL20" s="2"/>
      <c r="PM20" s="2"/>
      <c r="PN20" s="2"/>
      <c r="PO20" s="2"/>
      <c r="PP20" s="2"/>
      <c r="PQ20" s="2"/>
      <c r="PR20" s="2">
        <v>165</v>
      </c>
      <c r="PS20" s="2">
        <v>165</v>
      </c>
      <c r="PT20" s="2"/>
      <c r="PU20" s="2"/>
      <c r="PV20" s="2">
        <v>1</v>
      </c>
      <c r="PW20" s="2"/>
      <c r="PX20" s="2"/>
      <c r="PY20" s="2"/>
      <c r="PZ20" s="2"/>
      <c r="QA20" s="2">
        <v>165</v>
      </c>
      <c r="QB20" s="2"/>
      <c r="QC20" s="2"/>
      <c r="QD20" s="2"/>
      <c r="QE20" s="2"/>
      <c r="QF20" s="2"/>
      <c r="QG20" s="2"/>
      <c r="QH20" s="2"/>
      <c r="QI20" s="2">
        <f>14+165</f>
        <v>179</v>
      </c>
      <c r="QJ20" s="2"/>
      <c r="QK20" s="2"/>
      <c r="QL20" s="2"/>
      <c r="QM20" s="2">
        <f>165</f>
        <v>165</v>
      </c>
      <c r="QN20" s="2"/>
      <c r="QO20" s="2"/>
      <c r="QP20" s="2"/>
      <c r="QQ20" s="2">
        <f>165+6</f>
        <v>171</v>
      </c>
      <c r="QR20" s="2"/>
      <c r="QS20" s="2"/>
      <c r="QT20" s="2"/>
      <c r="QU20" s="2"/>
      <c r="QV20" s="2"/>
      <c r="QW20" s="2"/>
      <c r="QX20" s="2"/>
      <c r="QY20" s="2"/>
      <c r="QZ20" s="2"/>
      <c r="RA20" s="2">
        <f>165</f>
        <v>165</v>
      </c>
      <c r="RB20" s="2"/>
      <c r="RC20" s="2"/>
      <c r="RD20" s="2"/>
      <c r="RE20" s="2"/>
      <c r="RF20" s="2"/>
      <c r="RG20" s="2"/>
      <c r="RH20" s="2"/>
      <c r="RI20" s="2"/>
      <c r="RJ20" s="2"/>
      <c r="RK20" s="2">
        <f>3</f>
        <v>3</v>
      </c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>
        <f>165</f>
        <v>165</v>
      </c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>
        <f>4</f>
        <v>4</v>
      </c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>
        <f>165</f>
        <v>165</v>
      </c>
      <c r="SW20" s="2">
        <f>5</f>
        <v>5</v>
      </c>
      <c r="SX20" s="2"/>
      <c r="SY20" s="2"/>
      <c r="SZ20" s="2"/>
      <c r="TA20" s="2"/>
      <c r="TB20" s="2">
        <f>165+165</f>
        <v>330</v>
      </c>
      <c r="TC20" s="2"/>
      <c r="TD20" s="2"/>
      <c r="TE20" s="2">
        <v>165</v>
      </c>
      <c r="TF20" s="2"/>
      <c r="TG20" s="2">
        <v>165</v>
      </c>
      <c r="TH20" s="2"/>
      <c r="TI20" s="2"/>
      <c r="TJ20" s="2"/>
      <c r="TK20" s="2"/>
      <c r="TL20" s="2"/>
      <c r="TM20" s="2">
        <f>165+13</f>
        <v>178</v>
      </c>
      <c r="TN20" s="2"/>
      <c r="TO20" s="2">
        <v>165</v>
      </c>
      <c r="TP20" s="2"/>
      <c r="TQ20" s="2">
        <v>165</v>
      </c>
      <c r="TR20" s="2"/>
      <c r="TS20" s="2"/>
      <c r="TT20" s="2"/>
      <c r="TU20" s="2">
        <v>3</v>
      </c>
      <c r="TV20" s="2">
        <v>165</v>
      </c>
      <c r="TW20" s="2"/>
      <c r="TX20" s="2"/>
      <c r="TY20" s="2"/>
      <c r="TZ20" s="2"/>
      <c r="UA20" s="2"/>
      <c r="UB20" s="2"/>
      <c r="UC20" s="2"/>
      <c r="UD20" s="2">
        <v>18</v>
      </c>
      <c r="UE20" s="2"/>
      <c r="UF20" s="2">
        <v>432</v>
      </c>
      <c r="UG20" s="2"/>
      <c r="UH20" s="2"/>
      <c r="UI20" s="2"/>
      <c r="UJ20" s="2"/>
      <c r="UK20" s="2">
        <v>165</v>
      </c>
      <c r="UL20" s="2">
        <f>10+165</f>
        <v>175</v>
      </c>
      <c r="UM20" s="2"/>
      <c r="UN20" s="2">
        <v>165</v>
      </c>
      <c r="UO20" s="2">
        <f>10+440</f>
        <v>450</v>
      </c>
      <c r="UP20" s="2"/>
      <c r="UQ20" s="2"/>
      <c r="UR20" s="2"/>
      <c r="US20" s="2"/>
      <c r="UT20" s="2">
        <v>8</v>
      </c>
      <c r="UU20" s="2">
        <v>165</v>
      </c>
      <c r="UV20" s="2"/>
      <c r="UW20" s="2"/>
      <c r="UX20" s="2"/>
      <c r="UY20" s="2">
        <v>165</v>
      </c>
      <c r="UZ20" s="2">
        <v>10</v>
      </c>
      <c r="VA20" s="2"/>
      <c r="VB20" s="2"/>
      <c r="VC20" s="2"/>
      <c r="VD20" s="2"/>
      <c r="VE20" s="2">
        <v>165</v>
      </c>
      <c r="VF20" s="2"/>
      <c r="VG20" s="2"/>
      <c r="VH20" s="2"/>
      <c r="VI20" s="2"/>
      <c r="VJ20" s="2"/>
      <c r="VK20" s="2">
        <v>45</v>
      </c>
      <c r="VL20" s="2"/>
      <c r="VM20" s="2"/>
      <c r="VN20" s="2">
        <v>7</v>
      </c>
      <c r="VO20" s="2"/>
      <c r="VP20" s="2">
        <v>7</v>
      </c>
      <c r="VQ20" s="2"/>
      <c r="VR20" s="2"/>
      <c r="VS20" s="2"/>
      <c r="VT20" s="2"/>
      <c r="VU20" s="2"/>
      <c r="VV20" s="2"/>
      <c r="VW20" s="2"/>
      <c r="VX20" s="2">
        <v>8</v>
      </c>
      <c r="VY20" s="2">
        <f>15+165+165</f>
        <v>345</v>
      </c>
      <c r="VZ20" s="2"/>
      <c r="WA20" s="2"/>
      <c r="WB20" s="2">
        <v>165</v>
      </c>
      <c r="WC20" s="2">
        <v>165</v>
      </c>
      <c r="WD20" s="2"/>
      <c r="WE20" s="2">
        <f>165+165</f>
        <v>330</v>
      </c>
      <c r="WF20" s="2"/>
      <c r="WG20" s="2"/>
      <c r="WH20" s="2"/>
      <c r="WI20" s="2"/>
      <c r="WJ20" s="2"/>
      <c r="WK20" s="2">
        <v>5</v>
      </c>
      <c r="WL20" s="2"/>
      <c r="WM20" s="2"/>
      <c r="WN20" s="2"/>
      <c r="WO20" s="2">
        <v>5</v>
      </c>
      <c r="WP20" s="2"/>
      <c r="WQ20" s="2"/>
      <c r="WR20" s="2"/>
      <c r="WS20" s="2"/>
      <c r="WT20" s="2"/>
      <c r="WU20" s="2"/>
      <c r="WV20" s="2"/>
      <c r="WW20" s="2">
        <v>165</v>
      </c>
      <c r="WX20" s="2"/>
      <c r="WY20" s="2">
        <v>5</v>
      </c>
      <c r="WZ20" s="2"/>
      <c r="XA20" s="2"/>
      <c r="XB20" s="2"/>
      <c r="XC20" s="2"/>
      <c r="XD20" s="2"/>
      <c r="XE20" s="2">
        <v>1</v>
      </c>
      <c r="XF20" s="2">
        <v>165</v>
      </c>
      <c r="XG20" s="2"/>
      <c r="XH20" s="2"/>
      <c r="XI20" s="2"/>
      <c r="XJ20" s="2">
        <v>12</v>
      </c>
      <c r="XK20" s="2"/>
      <c r="XL20" s="2"/>
      <c r="XM20" s="2">
        <v>165</v>
      </c>
      <c r="XN20" s="2"/>
      <c r="XO20" s="2"/>
      <c r="XP20" s="2"/>
      <c r="XQ20" s="2">
        <v>3</v>
      </c>
      <c r="XR20" s="2"/>
      <c r="XS20" s="2">
        <f>165+165</f>
        <v>330</v>
      </c>
      <c r="XT20" s="2"/>
      <c r="XU20" s="2"/>
      <c r="XV20" s="2"/>
      <c r="XW20" s="2"/>
      <c r="XX20" s="2"/>
      <c r="XY20" s="2">
        <v>165</v>
      </c>
      <c r="XZ20" s="2"/>
      <c r="YA20" s="2"/>
      <c r="YB20" s="2"/>
      <c r="YC20" s="2"/>
      <c r="YD20" s="2"/>
      <c r="YE20" s="2">
        <v>8</v>
      </c>
      <c r="YF20" s="2"/>
      <c r="YG20" s="2"/>
      <c r="YH20" s="2"/>
      <c r="YI20" s="2">
        <v>8</v>
      </c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>
        <f>165+165</f>
        <v>330</v>
      </c>
      <c r="YZ20" s="2">
        <v>3</v>
      </c>
      <c r="ZA20" s="2"/>
      <c r="ZB20" s="2"/>
      <c r="ZC20" s="2">
        <v>6</v>
      </c>
      <c r="ZD20" s="2"/>
      <c r="ZE20" s="2"/>
      <c r="ZF20" s="2"/>
      <c r="ZG20" s="2"/>
      <c r="ZH20" s="2">
        <v>5</v>
      </c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>
        <f>6+165</f>
        <v>171</v>
      </c>
      <c r="ZT20" s="2"/>
      <c r="ZU20" s="2">
        <v>165</v>
      </c>
      <c r="ZV20" s="2"/>
      <c r="ZW20" s="2"/>
      <c r="ZX20" s="2">
        <v>6</v>
      </c>
      <c r="ZY20" s="2"/>
      <c r="ZZ20" s="2"/>
      <c r="AAA20" s="2"/>
      <c r="AAB20" s="2"/>
      <c r="AAC20" s="2"/>
      <c r="AAD20" s="2"/>
      <c r="AAE20" s="2"/>
      <c r="AAF20" s="2"/>
      <c r="AAG20" s="2"/>
      <c r="AAH20" s="2"/>
      <c r="AAI20" s="2">
        <v>1</v>
      </c>
      <c r="AAJ20" s="2"/>
      <c r="AAK20" s="2"/>
      <c r="AAL20" s="2"/>
      <c r="AAM20" s="2"/>
      <c r="AAN20" s="2"/>
      <c r="AAO20" s="2"/>
      <c r="AAP20" s="2"/>
      <c r="AAQ20" s="2">
        <v>165</v>
      </c>
      <c r="AAR20" s="2"/>
      <c r="AAS20" s="2"/>
      <c r="AAT20" s="2">
        <v>165</v>
      </c>
      <c r="AAU20" s="2">
        <v>3</v>
      </c>
      <c r="AAV20" s="2"/>
      <c r="AAW20" s="2"/>
      <c r="AAX20" s="2"/>
      <c r="AAY20" s="2"/>
      <c r="AAZ20" s="2"/>
      <c r="ABA20" s="2"/>
      <c r="ABB20" s="2"/>
      <c r="ABC20" s="2"/>
      <c r="ABD20" s="2"/>
      <c r="ABE20" s="2">
        <v>5</v>
      </c>
      <c r="ABF20" s="2"/>
      <c r="ABG20" s="2"/>
      <c r="ABH20" s="2">
        <v>396</v>
      </c>
      <c r="ABI20" s="2">
        <v>165</v>
      </c>
      <c r="ABJ20" s="2">
        <v>165</v>
      </c>
      <c r="ABK20" s="2">
        <v>165</v>
      </c>
      <c r="ABL20" s="2">
        <v>165</v>
      </c>
      <c r="ABM20" s="2"/>
      <c r="ABN20" s="2">
        <v>7</v>
      </c>
      <c r="ABO20" s="2"/>
      <c r="ABP20" s="2"/>
      <c r="ABQ20" s="2"/>
      <c r="ABR20" s="2"/>
      <c r="ABS20" s="2"/>
      <c r="ABT20" s="2">
        <v>1</v>
      </c>
      <c r="ABU20" s="2">
        <v>6</v>
      </c>
      <c r="ABV20" s="2"/>
      <c r="ABW20" s="2">
        <v>1</v>
      </c>
      <c r="ABX20" s="2"/>
      <c r="ABY20" s="2"/>
      <c r="ABZ20" s="2"/>
      <c r="ACA20" s="2"/>
      <c r="ACB20" s="2"/>
      <c r="ACC20" s="2">
        <v>165</v>
      </c>
      <c r="ACD20" s="2"/>
      <c r="ACE20" s="2">
        <v>165</v>
      </c>
      <c r="ACF20" s="2"/>
      <c r="ACG20" s="2"/>
      <c r="ACH20" s="2"/>
      <c r="ACI20" s="2">
        <f>165+6</f>
        <v>171</v>
      </c>
      <c r="ACJ20" s="2">
        <v>165</v>
      </c>
      <c r="ACK20" s="2"/>
      <c r="ACL20" s="2"/>
      <c r="ACM20" s="2">
        <f>165+6</f>
        <v>171</v>
      </c>
      <c r="ACN20" s="2">
        <v>165</v>
      </c>
      <c r="ACO20" s="2"/>
      <c r="ACP20" s="2"/>
      <c r="ACQ20" s="2"/>
      <c r="ACR20" s="2"/>
      <c r="ACS20" s="2"/>
      <c r="ACT20" s="2">
        <v>8</v>
      </c>
      <c r="ACU20" s="2"/>
      <c r="ACV20" s="2"/>
      <c r="ACW20" s="2"/>
      <c r="ACX20" s="2"/>
      <c r="ACY20" s="2"/>
      <c r="ACZ20" s="2"/>
      <c r="ADA20" s="2"/>
      <c r="ADB20" s="2"/>
      <c r="ADC20" s="2">
        <v>2</v>
      </c>
      <c r="ADD20" s="2"/>
      <c r="ADE20" s="2"/>
      <c r="ADF20" s="2"/>
      <c r="ADG20" s="2"/>
      <c r="ADH20" s="2"/>
      <c r="ADI20" s="2">
        <v>1</v>
      </c>
      <c r="ADJ20" s="2"/>
      <c r="ADK20" s="2">
        <f>165+165</f>
        <v>330</v>
      </c>
      <c r="ADL20" s="2">
        <v>1</v>
      </c>
      <c r="ADM20" s="2">
        <v>165</v>
      </c>
      <c r="ADN20" s="2"/>
      <c r="ADO20" s="2">
        <v>330</v>
      </c>
      <c r="ADP20" s="2">
        <v>5</v>
      </c>
      <c r="ADQ20" s="2"/>
      <c r="ADR20" s="2"/>
      <c r="ADS20" s="2"/>
      <c r="ADT20" s="2"/>
      <c r="ADU20" s="2"/>
      <c r="ADV20" s="2"/>
      <c r="ADW20" s="2"/>
      <c r="ADX20" s="2"/>
      <c r="ADY20" s="2"/>
      <c r="ADZ20" s="2"/>
      <c r="AEA20" s="2"/>
      <c r="AEB20" s="2"/>
      <c r="AEC20" s="2"/>
      <c r="AED20" s="2"/>
      <c r="AEE20" s="2"/>
      <c r="AEF20" s="2"/>
      <c r="AEG20" s="2"/>
      <c r="AEH20" s="2"/>
      <c r="AEI20" s="2"/>
      <c r="AEJ20" s="2"/>
      <c r="AEK20" s="2"/>
      <c r="AEL20" s="2"/>
      <c r="AEM20" s="2"/>
      <c r="AEN20" s="2"/>
      <c r="AEO20" s="2"/>
      <c r="AEP20" s="2"/>
      <c r="AEQ20" s="2"/>
      <c r="AER20" s="2"/>
      <c r="AES20" s="2"/>
      <c r="AET20" s="12">
        <v>1</v>
      </c>
      <c r="AEU20" s="2"/>
      <c r="AEV20" s="2"/>
      <c r="AEW20" s="2"/>
      <c r="AEX20" s="2"/>
      <c r="AEY20" s="2">
        <v>1</v>
      </c>
      <c r="AEZ20" s="2"/>
      <c r="AFA20" s="2"/>
      <c r="AFB20" s="2"/>
      <c r="AFC20" s="2"/>
      <c r="AFD20" s="2"/>
      <c r="AFE20" s="2"/>
      <c r="AFF20" s="2"/>
      <c r="AFG20" s="2"/>
      <c r="AFH20" s="2"/>
      <c r="AFI20" s="2"/>
      <c r="AFJ20" s="2"/>
      <c r="AFK20" s="2"/>
      <c r="AFL20" s="2">
        <f t="shared" si="0"/>
        <v>20003</v>
      </c>
    </row>
    <row r="21" spans="1:844" s="11" customFormat="1" x14ac:dyDescent="0.3">
      <c r="B21" s="42">
        <v>550050706</v>
      </c>
      <c r="C21" s="52" t="s">
        <v>75</v>
      </c>
      <c r="D21" s="35" t="s">
        <v>17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>
        <v>26</v>
      </c>
      <c r="BZ21" s="2"/>
      <c r="CA21" s="2"/>
      <c r="CB21" s="2">
        <v>36</v>
      </c>
      <c r="CC21" s="2"/>
      <c r="CD21" s="2">
        <v>26</v>
      </c>
      <c r="CE21" s="2"/>
      <c r="CF21" s="2"/>
      <c r="CG21" s="2"/>
      <c r="CH21" s="2"/>
      <c r="CI21" s="2"/>
      <c r="CJ21" s="2"/>
      <c r="CK21" s="2"/>
      <c r="CL21" s="2"/>
      <c r="CM21" s="2"/>
      <c r="CN21" s="2">
        <v>2</v>
      </c>
      <c r="CO21" s="2"/>
      <c r="CP21" s="2"/>
      <c r="CQ21" s="2">
        <v>36</v>
      </c>
      <c r="CR21" s="2"/>
      <c r="CS21" s="2">
        <f>36+36</f>
        <v>72</v>
      </c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>
        <v>36</v>
      </c>
      <c r="DU21" s="2"/>
      <c r="DV21" s="2">
        <v>36</v>
      </c>
      <c r="DW21" s="2"/>
      <c r="DX21" s="2"/>
      <c r="DY21" s="2"/>
      <c r="DZ21" s="2">
        <v>36</v>
      </c>
      <c r="EA21" s="2"/>
      <c r="EB21" s="2">
        <v>36</v>
      </c>
      <c r="EC21" s="2"/>
      <c r="ED21" s="2">
        <v>24</v>
      </c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>
        <v>36</v>
      </c>
      <c r="EP21" s="2">
        <v>25</v>
      </c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>
        <v>36</v>
      </c>
      <c r="GJ21" s="2"/>
      <c r="GK21" s="2">
        <f>18+72+36</f>
        <v>126</v>
      </c>
      <c r="GL21" s="2"/>
      <c r="GM21" s="2"/>
      <c r="GN21" s="2"/>
      <c r="GO21" s="2"/>
      <c r="GP21" s="2">
        <v>36</v>
      </c>
      <c r="GQ21" s="2"/>
      <c r="GR21" s="2"/>
      <c r="GS21" s="2"/>
      <c r="GT21" s="2"/>
      <c r="GU21" s="2"/>
      <c r="GV21" s="2"/>
      <c r="GW21" s="2"/>
      <c r="GX21" s="2"/>
      <c r="GY21" s="2">
        <f>3+3</f>
        <v>6</v>
      </c>
      <c r="GZ21" s="2"/>
      <c r="HA21" s="2"/>
      <c r="HB21" s="2">
        <v>18</v>
      </c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>
        <v>36</v>
      </c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>
        <v>36</v>
      </c>
      <c r="IF21" s="2">
        <v>36</v>
      </c>
      <c r="IG21" s="2"/>
      <c r="IH21" s="2"/>
      <c r="II21" s="2"/>
      <c r="IJ21" s="2"/>
      <c r="IK21" s="2">
        <v>3</v>
      </c>
      <c r="IL21" s="2"/>
      <c r="IM21" s="2"/>
      <c r="IN21" s="2"/>
      <c r="IO21" s="2"/>
      <c r="IP21" s="2"/>
      <c r="IQ21" s="2">
        <v>36</v>
      </c>
      <c r="IR21" s="2"/>
      <c r="IS21" s="2"/>
      <c r="IT21" s="2"/>
      <c r="IU21" s="2">
        <v>36</v>
      </c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>
        <v>54</v>
      </c>
      <c r="JS21" s="2"/>
      <c r="JT21" s="2"/>
      <c r="JU21" s="2"/>
      <c r="JV21" s="2"/>
      <c r="JW21" s="2"/>
      <c r="JX21" s="2"/>
      <c r="JY21" s="2">
        <v>36</v>
      </c>
      <c r="JZ21" s="2"/>
      <c r="KA21" s="2">
        <v>21</v>
      </c>
      <c r="KB21" s="2"/>
      <c r="KC21" s="2"/>
      <c r="KD21" s="2"/>
      <c r="KE21" s="2">
        <v>36</v>
      </c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>
        <v>16</v>
      </c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>
        <v>36</v>
      </c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>
        <v>36</v>
      </c>
      <c r="MA21" s="2"/>
      <c r="MB21" s="2"/>
      <c r="MC21" s="2"/>
      <c r="MD21" s="2"/>
      <c r="ME21" s="2"/>
      <c r="MF21" s="2"/>
      <c r="MG21" s="2"/>
      <c r="MH21" s="2"/>
      <c r="MI21" s="2">
        <v>36</v>
      </c>
      <c r="MJ21" s="2"/>
      <c r="MK21" s="2"/>
      <c r="ML21" s="2"/>
      <c r="MM21" s="2">
        <v>36</v>
      </c>
      <c r="MN21" s="2"/>
      <c r="MO21" s="2"/>
      <c r="MP21" s="2"/>
      <c r="MQ21" s="2"/>
      <c r="MR21" s="2">
        <v>36</v>
      </c>
      <c r="MS21" s="2"/>
      <c r="MT21" s="2">
        <f>36+36</f>
        <v>72</v>
      </c>
      <c r="MU21" s="2"/>
      <c r="MV21" s="2"/>
      <c r="MW21" s="2"/>
      <c r="MX21" s="2">
        <v>36</v>
      </c>
      <c r="MY21" s="2"/>
      <c r="MZ21" s="2">
        <v>36</v>
      </c>
      <c r="NA21" s="2"/>
      <c r="NB21" s="2"/>
      <c r="NC21" s="2"/>
      <c r="ND21" s="2"/>
      <c r="NE21" s="2"/>
      <c r="NF21" s="2">
        <v>72</v>
      </c>
      <c r="NG21" s="2">
        <v>36</v>
      </c>
      <c r="NH21" s="2"/>
      <c r="NI21" s="2"/>
      <c r="NJ21" s="2">
        <v>4</v>
      </c>
      <c r="NK21" s="2"/>
      <c r="NL21" s="2"/>
      <c r="NM21" s="2"/>
      <c r="NN21" s="2"/>
      <c r="NO21" s="2"/>
      <c r="NP21" s="2"/>
      <c r="NQ21" s="2"/>
      <c r="NR21" s="2"/>
      <c r="NS21" s="2">
        <v>36</v>
      </c>
      <c r="NT21" s="2"/>
      <c r="NU21" s="2">
        <v>36</v>
      </c>
      <c r="NV21" s="2"/>
      <c r="NW21" s="2"/>
      <c r="NX21" s="2"/>
      <c r="NY21" s="2"/>
      <c r="NZ21" s="2">
        <v>36</v>
      </c>
      <c r="OA21" s="2"/>
      <c r="OB21" s="2">
        <v>72</v>
      </c>
      <c r="OC21" s="2"/>
      <c r="OD21" s="2"/>
      <c r="OE21" s="2"/>
      <c r="OF21" s="2"/>
      <c r="OG21" s="2">
        <v>5</v>
      </c>
      <c r="OH21" s="2">
        <v>36</v>
      </c>
      <c r="OI21" s="2"/>
      <c r="OJ21" s="2"/>
      <c r="OK21" s="2">
        <v>36</v>
      </c>
      <c r="OL21" s="2">
        <v>24</v>
      </c>
      <c r="OM21" s="2">
        <v>72</v>
      </c>
      <c r="ON21" s="2"/>
      <c r="OO21" s="2"/>
      <c r="OP21" s="2"/>
      <c r="OQ21" s="2">
        <v>36</v>
      </c>
      <c r="OR21" s="2"/>
      <c r="OS21" s="2">
        <v>36</v>
      </c>
      <c r="OT21" s="2">
        <v>36</v>
      </c>
      <c r="OU21" s="2">
        <v>36</v>
      </c>
      <c r="OV21" s="2"/>
      <c r="OW21" s="2"/>
      <c r="OX21" s="2"/>
      <c r="OY21" s="2"/>
      <c r="OZ21" s="2"/>
      <c r="PA21" s="2">
        <v>36</v>
      </c>
      <c r="PB21" s="2"/>
      <c r="PC21" s="2"/>
      <c r="PD21" s="2"/>
      <c r="PE21" s="2">
        <v>36</v>
      </c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>
        <v>36</v>
      </c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>
        <f>1</f>
        <v>1</v>
      </c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>
        <v>72</v>
      </c>
      <c r="SW21" s="2"/>
      <c r="SX21" s="2"/>
      <c r="SY21" s="2"/>
      <c r="SZ21" s="2"/>
      <c r="TA21" s="2">
        <v>2</v>
      </c>
      <c r="TB21" s="2"/>
      <c r="TC21" s="2"/>
      <c r="TD21" s="2"/>
      <c r="TE21" s="2"/>
      <c r="TF21" s="2">
        <v>72</v>
      </c>
      <c r="TG21" s="2">
        <v>36</v>
      </c>
      <c r="TH21" s="2"/>
      <c r="TI21" s="2"/>
      <c r="TJ21" s="2"/>
      <c r="TK21" s="2">
        <f>36+36</f>
        <v>72</v>
      </c>
      <c r="TL21" s="2">
        <v>36</v>
      </c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>
        <v>72</v>
      </c>
      <c r="UC21" s="2"/>
      <c r="UD21" s="2">
        <v>72</v>
      </c>
      <c r="UE21" s="2">
        <v>36</v>
      </c>
      <c r="UF21" s="2"/>
      <c r="UG21" s="2"/>
      <c r="UH21" s="2"/>
      <c r="UI21" s="2"/>
      <c r="UJ21" s="2"/>
      <c r="UK21" s="2">
        <v>36</v>
      </c>
      <c r="UL21" s="2"/>
      <c r="UM21" s="2">
        <v>36</v>
      </c>
      <c r="UN21" s="2">
        <v>36</v>
      </c>
      <c r="UO21" s="2">
        <v>72</v>
      </c>
      <c r="UP21" s="2"/>
      <c r="UQ21" s="2"/>
      <c r="UR21" s="2"/>
      <c r="US21" s="2"/>
      <c r="UT21" s="2"/>
      <c r="UU21" s="2"/>
      <c r="UV21" s="2"/>
      <c r="UW21" s="2"/>
      <c r="UX21" s="2"/>
      <c r="UY21" s="2">
        <v>72</v>
      </c>
      <c r="UZ21" s="2"/>
      <c r="VA21" s="2"/>
      <c r="VB21" s="2"/>
      <c r="VC21" s="2"/>
      <c r="VD21" s="2">
        <v>36</v>
      </c>
      <c r="VE21" s="2">
        <v>108</v>
      </c>
      <c r="VF21" s="2"/>
      <c r="VG21" s="2"/>
      <c r="VH21" s="2"/>
      <c r="VI21" s="2"/>
      <c r="VJ21" s="2"/>
      <c r="VK21" s="2"/>
      <c r="VL21" s="2"/>
      <c r="VM21" s="2">
        <v>3</v>
      </c>
      <c r="VN21" s="2"/>
      <c r="VO21" s="2"/>
      <c r="VP21" s="2"/>
      <c r="VQ21" s="2"/>
      <c r="VR21" s="2"/>
      <c r="VS21" s="2"/>
      <c r="VT21" s="2">
        <v>72</v>
      </c>
      <c r="VU21" s="2"/>
      <c r="VV21" s="2"/>
      <c r="VW21" s="2"/>
      <c r="VX21" s="2"/>
      <c r="VY21" s="2"/>
      <c r="VZ21" s="2">
        <v>36</v>
      </c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>
        <v>36</v>
      </c>
      <c r="WO21" s="2"/>
      <c r="WP21" s="2"/>
      <c r="WQ21" s="2"/>
      <c r="WR21" s="2"/>
      <c r="WS21" s="2"/>
      <c r="WT21" s="2">
        <v>72</v>
      </c>
      <c r="WU21" s="2"/>
      <c r="WV21" s="2">
        <v>72</v>
      </c>
      <c r="WW21" s="2">
        <v>36</v>
      </c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>
        <v>10</v>
      </c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>
        <f>72+72</f>
        <v>144</v>
      </c>
      <c r="ZV21" s="2"/>
      <c r="ZW21" s="2">
        <f>36+36</f>
        <v>72</v>
      </c>
      <c r="ZX21" s="2"/>
      <c r="ZY21" s="2"/>
      <c r="ZZ21" s="2">
        <f>108+36</f>
        <v>144</v>
      </c>
      <c r="AAA21" s="2"/>
      <c r="AAB21" s="2"/>
      <c r="AAC21" s="2"/>
      <c r="AAD21" s="2"/>
      <c r="AAE21" s="2"/>
      <c r="AAF21" s="2">
        <v>36</v>
      </c>
      <c r="AAG21" s="2"/>
      <c r="AAH21" s="2"/>
      <c r="AAI21" s="2"/>
      <c r="AAJ21" s="2"/>
      <c r="AAK21" s="2"/>
      <c r="AAL21" s="2"/>
      <c r="AAM21" s="2"/>
      <c r="AAN21" s="2"/>
      <c r="AAO21" s="2"/>
      <c r="AAP21" s="2"/>
      <c r="AAQ21" s="2"/>
      <c r="AAR21" s="2"/>
      <c r="AAS21" s="2"/>
      <c r="AAT21" s="2">
        <v>36</v>
      </c>
      <c r="AAU21" s="2"/>
      <c r="AAV21" s="2"/>
      <c r="AAW21" s="2"/>
      <c r="AAX21" s="2"/>
      <c r="AAY21" s="2"/>
      <c r="AAZ21" s="2">
        <v>108</v>
      </c>
      <c r="ABA21" s="2"/>
      <c r="ABB21" s="2"/>
      <c r="ABC21" s="2">
        <v>36</v>
      </c>
      <c r="ABD21" s="2"/>
      <c r="ABE21" s="2"/>
      <c r="ABF21" s="2"/>
      <c r="ABG21" s="2"/>
      <c r="ABH21" s="2"/>
      <c r="ABI21" s="2"/>
      <c r="ABJ21" s="2"/>
      <c r="ABK21" s="2">
        <v>72</v>
      </c>
      <c r="ABL21" s="2"/>
      <c r="ABM21" s="2"/>
      <c r="ABN21" s="2">
        <v>156</v>
      </c>
      <c r="ABO21" s="2"/>
      <c r="ABP21" s="2"/>
      <c r="ABQ21" s="2"/>
      <c r="ABR21" s="2"/>
      <c r="ABS21" s="2"/>
      <c r="ABT21" s="2"/>
      <c r="ABU21" s="2"/>
      <c r="ABV21" s="2">
        <v>36</v>
      </c>
      <c r="ABW21" s="2"/>
      <c r="ABX21" s="2"/>
      <c r="ABY21" s="2"/>
      <c r="ABZ21" s="2">
        <f>36+36</f>
        <v>72</v>
      </c>
      <c r="ACA21" s="2"/>
      <c r="ACB21" s="2"/>
      <c r="ACC21" s="2"/>
      <c r="ACD21" s="2">
        <v>6</v>
      </c>
      <c r="ACE21" s="2">
        <v>36</v>
      </c>
      <c r="ACF21" s="2"/>
      <c r="ACG21" s="2"/>
      <c r="ACH21" s="2"/>
      <c r="ACI21" s="2"/>
      <c r="ACJ21" s="2"/>
      <c r="ACK21" s="2">
        <v>36</v>
      </c>
      <c r="ACL21" s="2"/>
      <c r="ACM21" s="2"/>
      <c r="ACN21" s="2">
        <v>36</v>
      </c>
      <c r="ACO21" s="2">
        <v>108</v>
      </c>
      <c r="ACP21" s="2"/>
      <c r="ACQ21" s="2"/>
      <c r="ACR21" s="2"/>
      <c r="ACS21" s="2"/>
      <c r="ACT21" s="2"/>
      <c r="ACU21" s="2">
        <v>36</v>
      </c>
      <c r="ACV21" s="2"/>
      <c r="ACW21" s="2">
        <v>36</v>
      </c>
      <c r="ACX21" s="2"/>
      <c r="ACY21" s="2">
        <v>36</v>
      </c>
      <c r="ACZ21" s="2">
        <v>36</v>
      </c>
      <c r="ADA21" s="2"/>
      <c r="ADB21" s="2"/>
      <c r="ADC21" s="2"/>
      <c r="ADD21" s="2">
        <v>72</v>
      </c>
      <c r="ADE21" s="2"/>
      <c r="ADF21" s="2"/>
      <c r="ADG21" s="2">
        <v>36</v>
      </c>
      <c r="ADH21" s="2"/>
      <c r="ADI21" s="2"/>
      <c r="ADJ21" s="2"/>
      <c r="ADK21" s="2"/>
      <c r="ADL21" s="2"/>
      <c r="ADM21" s="2"/>
      <c r="ADN21" s="2"/>
      <c r="ADO21" s="2"/>
      <c r="ADP21" s="2">
        <v>36</v>
      </c>
      <c r="ADQ21" s="2"/>
      <c r="ADR21" s="2"/>
      <c r="ADS21" s="2">
        <v>36</v>
      </c>
      <c r="ADT21" s="2"/>
      <c r="ADU21" s="2">
        <v>36</v>
      </c>
      <c r="ADV21" s="2"/>
      <c r="ADW21" s="2"/>
      <c r="ADX21" s="2"/>
      <c r="ADY21" s="2"/>
      <c r="ADZ21" s="2"/>
      <c r="AEA21" s="2"/>
      <c r="AEB21" s="2"/>
      <c r="AEC21" s="2"/>
      <c r="AED21" s="2"/>
      <c r="AEE21" s="2"/>
      <c r="AEF21" s="2"/>
      <c r="AEG21" s="2"/>
      <c r="AEH21" s="2"/>
      <c r="AEI21" s="2"/>
      <c r="AEJ21" s="2"/>
      <c r="AEK21" s="2"/>
      <c r="AEL21" s="2">
        <v>36</v>
      </c>
      <c r="AEM21" s="2">
        <v>36</v>
      </c>
      <c r="AEN21" s="2"/>
      <c r="AEO21" s="2"/>
      <c r="AEP21" s="2"/>
      <c r="AEQ21" s="2"/>
      <c r="AER21" s="2"/>
      <c r="AES21" s="2"/>
      <c r="AET21" s="2"/>
      <c r="AEU21" s="2"/>
      <c r="AEV21" s="2"/>
      <c r="AEW21" s="2"/>
      <c r="AEX21" s="2">
        <v>72</v>
      </c>
      <c r="AEY21" s="2"/>
      <c r="AEZ21" s="2"/>
      <c r="AFA21" s="2"/>
      <c r="AFB21" s="2"/>
      <c r="AFC21" s="2"/>
      <c r="AFD21" s="2"/>
      <c r="AFE21" s="2"/>
      <c r="AFF21" s="2"/>
      <c r="AFG21" s="2"/>
      <c r="AFH21" s="2"/>
      <c r="AFI21" s="2"/>
      <c r="AFJ21" s="2"/>
      <c r="AFK21" s="2"/>
      <c r="AFL21" s="2">
        <f t="shared" si="0"/>
        <v>4878</v>
      </c>
    </row>
    <row r="22" spans="1:844" s="4" customFormat="1" x14ac:dyDescent="0.3">
      <c r="A22" s="11"/>
      <c r="B22" s="91">
        <v>550050708</v>
      </c>
      <c r="C22" s="52" t="s">
        <v>77</v>
      </c>
      <c r="D22" s="35" t="s">
        <v>17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>
        <v>10</v>
      </c>
      <c r="BZ22" s="2"/>
      <c r="CA22" s="2"/>
      <c r="CB22" s="2">
        <v>36</v>
      </c>
      <c r="CC22" s="2"/>
      <c r="CD22" s="2">
        <v>10</v>
      </c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>
        <v>36</v>
      </c>
      <c r="CR22" s="2"/>
      <c r="CS22" s="2">
        <f>36+36+20</f>
        <v>92</v>
      </c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>
        <v>36</v>
      </c>
      <c r="EC22" s="2"/>
      <c r="ED22" s="2">
        <v>12</v>
      </c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>
        <v>36</v>
      </c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>
        <v>36</v>
      </c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>
        <v>18</v>
      </c>
      <c r="GL22" s="2"/>
      <c r="GM22" s="2"/>
      <c r="GN22" s="2"/>
      <c r="GO22" s="2"/>
      <c r="GP22" s="2"/>
      <c r="GQ22" s="2"/>
      <c r="GR22" s="2"/>
      <c r="GS22" s="2">
        <v>14</v>
      </c>
      <c r="GT22" s="2"/>
      <c r="GU22" s="2"/>
      <c r="GV22" s="2"/>
      <c r="GW22" s="2"/>
      <c r="GX22" s="2"/>
      <c r="GY22" s="2"/>
      <c r="GZ22" s="2"/>
      <c r="HA22" s="2"/>
      <c r="HB22" s="2">
        <v>18</v>
      </c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>
        <v>6</v>
      </c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>
        <v>3</v>
      </c>
      <c r="IZ22" s="2"/>
      <c r="JA22" s="2"/>
      <c r="JB22" s="2"/>
      <c r="JC22" s="2"/>
      <c r="JD22" s="2"/>
      <c r="JE22" s="2">
        <v>36</v>
      </c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>
        <v>18</v>
      </c>
      <c r="JS22" s="2"/>
      <c r="JT22" s="2"/>
      <c r="JU22" s="2"/>
      <c r="JV22" s="2"/>
      <c r="JW22" s="2"/>
      <c r="JX22" s="2"/>
      <c r="JY22" s="2"/>
      <c r="JZ22" s="2"/>
      <c r="KA22" s="2">
        <v>15</v>
      </c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>
        <v>36</v>
      </c>
      <c r="MH22" s="2"/>
      <c r="MI22" s="2">
        <v>36</v>
      </c>
      <c r="MJ22" s="2"/>
      <c r="MK22" s="2"/>
      <c r="ML22" s="2"/>
      <c r="MM22" s="2">
        <v>36</v>
      </c>
      <c r="MN22" s="2"/>
      <c r="MO22" s="2"/>
      <c r="MP22" s="2"/>
      <c r="MQ22" s="2"/>
      <c r="MR22" s="2"/>
      <c r="MS22" s="2"/>
      <c r="MT22" s="2"/>
      <c r="MU22" s="2"/>
      <c r="MV22" s="2">
        <v>36</v>
      </c>
      <c r="MW22" s="2"/>
      <c r="MX22" s="2"/>
      <c r="MY22" s="2"/>
      <c r="MZ22" s="2"/>
      <c r="NA22" s="2"/>
      <c r="NB22" s="2"/>
      <c r="NC22" s="2"/>
      <c r="ND22" s="2"/>
      <c r="NE22" s="2">
        <v>36</v>
      </c>
      <c r="NF22" s="2">
        <v>36</v>
      </c>
      <c r="NG22" s="2">
        <v>36</v>
      </c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>
        <v>36</v>
      </c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>
        <f>12+24-24</f>
        <v>12</v>
      </c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>
        <v>36</v>
      </c>
      <c r="PB22" s="2"/>
      <c r="PC22" s="2"/>
      <c r="PD22" s="2"/>
      <c r="PE22" s="2"/>
      <c r="PF22" s="2"/>
      <c r="PG22" s="2"/>
      <c r="PH22" s="2"/>
      <c r="PI22" s="2">
        <v>36</v>
      </c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>
        <v>72</v>
      </c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>
        <f>36</f>
        <v>36</v>
      </c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>
        <f>108</f>
        <v>108</v>
      </c>
      <c r="SB22" s="2"/>
      <c r="SC22" s="2"/>
      <c r="SD22" s="2"/>
      <c r="SE22" s="2"/>
      <c r="SF22" s="2"/>
      <c r="SG22" s="2"/>
      <c r="SH22" s="2">
        <f>108</f>
        <v>108</v>
      </c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>
        <v>36</v>
      </c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>
        <v>36</v>
      </c>
      <c r="TR22" s="2"/>
      <c r="TS22" s="2"/>
      <c r="TT22" s="2"/>
      <c r="TU22" s="2"/>
      <c r="TV22" s="2">
        <v>36</v>
      </c>
      <c r="TW22" s="2"/>
      <c r="TX22" s="2">
        <v>36</v>
      </c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>
        <v>36</v>
      </c>
      <c r="UN22" s="2"/>
      <c r="UO22" s="2">
        <v>72</v>
      </c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>
        <v>36</v>
      </c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>
        <v>36</v>
      </c>
      <c r="WC22" s="2"/>
      <c r="WD22" s="2">
        <v>36</v>
      </c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>
        <v>36</v>
      </c>
      <c r="XN22" s="2">
        <v>36</v>
      </c>
      <c r="XO22" s="2"/>
      <c r="XP22" s="2">
        <v>36</v>
      </c>
      <c r="XQ22" s="2"/>
      <c r="XR22" s="2">
        <v>36</v>
      </c>
      <c r="XS22" s="2">
        <v>36</v>
      </c>
      <c r="XT22" s="2"/>
      <c r="XU22" s="2"/>
      <c r="XV22" s="2"/>
      <c r="XW22" s="2"/>
      <c r="XX22" s="2"/>
      <c r="XY22" s="2"/>
      <c r="XZ22" s="2"/>
      <c r="YA22" s="2">
        <v>72</v>
      </c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>
        <v>72</v>
      </c>
      <c r="YV22" s="2"/>
      <c r="YW22" s="2"/>
      <c r="YX22" s="2"/>
      <c r="YY22" s="2">
        <v>36</v>
      </c>
      <c r="YZ22" s="2"/>
      <c r="ZA22" s="2"/>
      <c r="ZB22" s="2"/>
      <c r="ZC22" s="2">
        <v>84</v>
      </c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>
        <v>36</v>
      </c>
      <c r="AAA22" s="2"/>
      <c r="AAB22" s="2"/>
      <c r="AAC22" s="2"/>
      <c r="AAD22" s="2"/>
      <c r="AAE22" s="2"/>
      <c r="AAF22" s="2"/>
      <c r="AAG22" s="2"/>
      <c r="AAH22" s="2"/>
      <c r="AAI22" s="2"/>
      <c r="AAJ22" s="2"/>
      <c r="AAK22" s="2"/>
      <c r="AAL22" s="2"/>
      <c r="AAM22" s="2"/>
      <c r="AAN22" s="2"/>
      <c r="AAO22" s="2"/>
      <c r="AAP22" s="2"/>
      <c r="AAQ22" s="2"/>
      <c r="AAR22" s="2"/>
      <c r="AAS22" s="2"/>
      <c r="AAT22" s="2"/>
      <c r="AAU22" s="2"/>
      <c r="AAV22" s="2">
        <f>72+36</f>
        <v>108</v>
      </c>
      <c r="AAW22" s="2"/>
      <c r="AAX22" s="2"/>
      <c r="AAY22" s="2"/>
      <c r="AAZ22" s="2">
        <v>36</v>
      </c>
      <c r="ABA22" s="2"/>
      <c r="ABB22" s="2"/>
      <c r="ABC22" s="2"/>
      <c r="ABD22" s="2"/>
      <c r="ABE22" s="2"/>
      <c r="ABF22" s="2"/>
      <c r="ABG22" s="2"/>
      <c r="ABH22" s="2">
        <v>36</v>
      </c>
      <c r="ABI22" s="2"/>
      <c r="ABJ22" s="2"/>
      <c r="ABK22" s="2"/>
      <c r="ABL22" s="2"/>
      <c r="ABM22" s="2"/>
      <c r="ABN22" s="2">
        <v>24</v>
      </c>
      <c r="ABO22" s="2"/>
      <c r="ABP22" s="2"/>
      <c r="ABQ22" s="2"/>
      <c r="ABR22" s="2"/>
      <c r="ABS22" s="2"/>
      <c r="ABT22" s="2"/>
      <c r="ABU22" s="2"/>
      <c r="ABV22" s="2"/>
      <c r="ABW22" s="2"/>
      <c r="ABX22" s="2"/>
      <c r="ABY22" s="2"/>
      <c r="ABZ22" s="2"/>
      <c r="ACA22" s="2"/>
      <c r="ACB22" s="2"/>
      <c r="ACC22" s="2"/>
      <c r="ACD22" s="2"/>
      <c r="ACE22" s="2"/>
      <c r="ACF22" s="2"/>
      <c r="ACG22" s="2"/>
      <c r="ACH22" s="2"/>
      <c r="ACI22" s="2"/>
      <c r="ACJ22" s="2"/>
      <c r="ACK22" s="2"/>
      <c r="ACL22" s="2"/>
      <c r="ACM22" s="2"/>
      <c r="ACN22" s="2"/>
      <c r="ACO22" s="2"/>
      <c r="ACP22" s="2"/>
      <c r="ACQ22" s="2"/>
      <c r="ACR22" s="2"/>
      <c r="ACS22" s="2"/>
      <c r="ACT22" s="2"/>
      <c r="ACU22" s="2"/>
      <c r="ACV22" s="2"/>
      <c r="ACW22" s="2"/>
      <c r="ACX22" s="2"/>
      <c r="ACY22" s="2"/>
      <c r="ACZ22" s="2"/>
      <c r="ADA22" s="2"/>
      <c r="ADB22" s="2"/>
      <c r="ADC22" s="2"/>
      <c r="ADD22" s="2"/>
      <c r="ADE22" s="2"/>
      <c r="ADF22" s="2"/>
      <c r="ADG22" s="2"/>
      <c r="ADH22" s="2"/>
      <c r="ADI22" s="2"/>
      <c r="ADJ22" s="2"/>
      <c r="ADK22" s="2"/>
      <c r="ADL22" s="2"/>
      <c r="ADM22" s="2"/>
      <c r="ADN22" s="2"/>
      <c r="ADO22" s="2"/>
      <c r="ADP22" s="2"/>
      <c r="ADQ22" s="2"/>
      <c r="ADR22" s="2"/>
      <c r="ADS22" s="2"/>
      <c r="ADT22" s="2"/>
      <c r="ADU22" s="2"/>
      <c r="ADV22" s="2"/>
      <c r="ADW22" s="2"/>
      <c r="ADX22" s="2"/>
      <c r="ADY22" s="2"/>
      <c r="ADZ22" s="2"/>
      <c r="AEA22" s="2"/>
      <c r="AEB22" s="2"/>
      <c r="AEC22" s="2"/>
      <c r="AED22" s="2"/>
      <c r="AEE22" s="2"/>
      <c r="AEF22" s="2"/>
      <c r="AEG22" s="2"/>
      <c r="AEH22" s="2"/>
      <c r="AEI22" s="2"/>
      <c r="AEJ22" s="2"/>
      <c r="AEK22" s="2"/>
      <c r="AEL22" s="2"/>
      <c r="AEM22" s="2"/>
      <c r="AEN22" s="2"/>
      <c r="AEO22" s="2"/>
      <c r="AEP22" s="2"/>
      <c r="AEQ22" s="2"/>
      <c r="AER22" s="2"/>
      <c r="AES22" s="2"/>
      <c r="AET22" s="2"/>
      <c r="AEU22" s="2"/>
      <c r="AEV22" s="2"/>
      <c r="AEW22" s="2"/>
      <c r="AEX22" s="2"/>
      <c r="AEY22" s="2"/>
      <c r="AEZ22" s="2"/>
      <c r="AFA22" s="2"/>
      <c r="AFB22" s="2"/>
      <c r="AFC22" s="2"/>
      <c r="AFD22" s="2"/>
      <c r="AFE22" s="2"/>
      <c r="AFF22" s="2"/>
      <c r="AFG22" s="2"/>
      <c r="AFH22" s="2"/>
      <c r="AFI22" s="2"/>
      <c r="AFJ22" s="2"/>
      <c r="AFK22" s="2"/>
      <c r="AFL22" s="2">
        <f t="shared" si="0"/>
        <v>2172</v>
      </c>
    </row>
    <row r="23" spans="1:844" s="4" customFormat="1" x14ac:dyDescent="0.3">
      <c r="A23" s="11"/>
      <c r="B23" s="91">
        <v>550027680</v>
      </c>
      <c r="C23" s="52" t="s">
        <v>974</v>
      </c>
      <c r="D23" s="35" t="s">
        <v>983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  <c r="AAA23" s="2"/>
      <c r="AAB23" s="2"/>
      <c r="AAC23" s="2"/>
      <c r="AAD23" s="2"/>
      <c r="AAE23" s="2"/>
      <c r="AAF23" s="2"/>
      <c r="AAG23" s="2"/>
      <c r="AAH23" s="2"/>
      <c r="AAI23" s="2"/>
      <c r="AAJ23" s="2"/>
      <c r="AAK23" s="2"/>
      <c r="AAL23" s="2"/>
      <c r="AAM23" s="2"/>
      <c r="AAN23" s="2"/>
      <c r="AAO23" s="2"/>
      <c r="AAP23" s="2"/>
      <c r="AAQ23" s="2"/>
      <c r="AAR23" s="2"/>
      <c r="AAS23" s="2"/>
      <c r="AAT23" s="2"/>
      <c r="AAU23" s="2"/>
      <c r="AAV23" s="2"/>
      <c r="AAW23" s="2"/>
      <c r="AAX23" s="2"/>
      <c r="AAY23" s="2"/>
      <c r="AAZ23" s="2"/>
      <c r="ABA23" s="2"/>
      <c r="ABB23" s="2"/>
      <c r="ABC23" s="2"/>
      <c r="ABD23" s="2"/>
      <c r="ABE23" s="2"/>
      <c r="ABF23" s="2"/>
      <c r="ABG23" s="2"/>
      <c r="ABH23" s="2"/>
      <c r="ABI23" s="2"/>
      <c r="ABJ23" s="2"/>
      <c r="ABK23" s="2"/>
      <c r="ABL23" s="2"/>
      <c r="ABM23" s="2"/>
      <c r="ABN23" s="2"/>
      <c r="ABO23" s="2"/>
      <c r="ABP23" s="2"/>
      <c r="ABQ23" s="2"/>
      <c r="ABR23" s="2"/>
      <c r="ABS23" s="2"/>
      <c r="ABT23" s="2"/>
      <c r="ABU23" s="2"/>
      <c r="ABV23" s="2"/>
      <c r="ABW23" s="2"/>
      <c r="ABX23" s="2"/>
      <c r="ABY23" s="2"/>
      <c r="ABZ23" s="2"/>
      <c r="ACA23" s="2"/>
      <c r="ACB23" s="2"/>
      <c r="ACC23" s="2"/>
      <c r="ACD23" s="2"/>
      <c r="ACE23" s="2"/>
      <c r="ACF23" s="2"/>
      <c r="ACG23" s="2"/>
      <c r="ACH23" s="2"/>
      <c r="ACI23" s="2"/>
      <c r="ACJ23" s="2"/>
      <c r="ACK23" s="2"/>
      <c r="ACL23" s="2"/>
      <c r="ACM23" s="2"/>
      <c r="ACN23" s="2"/>
      <c r="ACO23" s="2"/>
      <c r="ACP23" s="2"/>
      <c r="ACQ23" s="2"/>
      <c r="ACR23" s="2"/>
      <c r="ACS23" s="2"/>
      <c r="ACT23" s="2"/>
      <c r="ACU23" s="2"/>
      <c r="ACV23" s="2"/>
      <c r="ACW23" s="2"/>
      <c r="ACX23" s="2"/>
      <c r="ACY23" s="2"/>
      <c r="ACZ23" s="2"/>
      <c r="ADA23" s="2"/>
      <c r="ADB23" s="2"/>
      <c r="ADC23" s="2"/>
      <c r="ADD23" s="2">
        <v>2</v>
      </c>
      <c r="ADE23" s="2"/>
      <c r="ADF23" s="2"/>
      <c r="ADG23" s="2"/>
      <c r="ADH23" s="2"/>
      <c r="ADI23" s="2"/>
      <c r="ADJ23" s="2"/>
      <c r="ADK23" s="2"/>
      <c r="ADL23" s="2"/>
      <c r="ADM23" s="2"/>
      <c r="ADN23" s="2"/>
      <c r="ADO23" s="2"/>
      <c r="ADP23" s="2"/>
      <c r="ADQ23" s="2"/>
      <c r="ADR23" s="2"/>
      <c r="ADS23" s="2"/>
      <c r="ADT23" s="2"/>
      <c r="ADU23" s="2"/>
      <c r="ADV23" s="2"/>
      <c r="ADW23" s="2"/>
      <c r="ADX23" s="2"/>
      <c r="ADY23" s="2"/>
      <c r="ADZ23" s="2"/>
      <c r="AEA23" s="2"/>
      <c r="AEB23" s="2"/>
      <c r="AEC23" s="2"/>
      <c r="AED23" s="2"/>
      <c r="AEE23" s="2"/>
      <c r="AEF23" s="2"/>
      <c r="AEG23" s="2"/>
      <c r="AEH23" s="2"/>
      <c r="AEI23" s="2"/>
      <c r="AEJ23" s="2"/>
      <c r="AEK23" s="2"/>
      <c r="AEL23" s="2"/>
      <c r="AEM23" s="2"/>
      <c r="AEN23" s="2"/>
      <c r="AEO23" s="2"/>
      <c r="AEP23" s="2"/>
      <c r="AEQ23" s="2"/>
      <c r="AER23" s="2"/>
      <c r="AES23" s="2"/>
      <c r="AET23" s="2"/>
      <c r="AEU23" s="2"/>
      <c r="AEV23" s="2"/>
      <c r="AEW23" s="2"/>
      <c r="AEX23" s="2"/>
      <c r="AEY23" s="2"/>
      <c r="AEZ23" s="2"/>
      <c r="AFA23" s="2"/>
      <c r="AFB23" s="2"/>
      <c r="AFC23" s="2"/>
      <c r="AFD23" s="2"/>
      <c r="AFE23" s="2"/>
      <c r="AFF23" s="2"/>
      <c r="AFG23" s="2"/>
      <c r="AFH23" s="2"/>
      <c r="AFI23" s="2"/>
      <c r="AFJ23" s="2"/>
      <c r="AFK23" s="2"/>
      <c r="AFL23" s="2">
        <f t="shared" si="0"/>
        <v>2</v>
      </c>
    </row>
    <row r="24" spans="1:844" x14ac:dyDescent="0.3">
      <c r="B24" s="91">
        <v>550025731</v>
      </c>
      <c r="C24" s="52" t="s">
        <v>79</v>
      </c>
      <c r="D24" s="35">
        <v>209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>
        <f>4</f>
        <v>4</v>
      </c>
      <c r="SV24" s="2"/>
      <c r="SW24" s="2"/>
      <c r="SX24" s="2"/>
      <c r="SY24" s="2"/>
      <c r="SZ24" s="2"/>
      <c r="TA24" s="2"/>
      <c r="TB24" s="2">
        <v>4</v>
      </c>
      <c r="TC24" s="2"/>
      <c r="TD24" s="2"/>
      <c r="TE24" s="2"/>
      <c r="TF24" s="2">
        <v>4</v>
      </c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>
        <v>48</v>
      </c>
      <c r="TX24" s="2"/>
      <c r="TY24" s="2"/>
      <c r="TZ24" s="2"/>
      <c r="UA24" s="2">
        <v>8</v>
      </c>
      <c r="UB24" s="2"/>
      <c r="UC24" s="2"/>
      <c r="UD24" s="2"/>
      <c r="UE24" s="2">
        <v>50</v>
      </c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>
        <v>4</v>
      </c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>
        <v>1</v>
      </c>
      <c r="YM24" s="2"/>
      <c r="YN24" s="2">
        <v>16</v>
      </c>
      <c r="YO24" s="2"/>
      <c r="YP24" s="2"/>
      <c r="YQ24" s="2"/>
      <c r="YR24" s="2"/>
      <c r="YS24" s="2"/>
      <c r="YT24" s="2">
        <v>1</v>
      </c>
      <c r="YU24" s="2"/>
      <c r="YV24" s="2"/>
      <c r="YW24" s="2">
        <v>16</v>
      </c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  <c r="AAA24" s="2"/>
      <c r="AAB24" s="2"/>
      <c r="AAC24" s="2"/>
      <c r="AAD24" s="2"/>
      <c r="AAE24" s="2"/>
      <c r="AAF24" s="2"/>
      <c r="AAG24" s="2"/>
      <c r="AAH24" s="2"/>
      <c r="AAI24" s="2"/>
      <c r="AAJ24" s="2"/>
      <c r="AAK24" s="2"/>
      <c r="AAL24" s="2"/>
      <c r="AAM24" s="2"/>
      <c r="AAN24" s="2"/>
      <c r="AAO24" s="2"/>
      <c r="AAP24" s="2"/>
      <c r="AAQ24" s="2"/>
      <c r="AAR24" s="2"/>
      <c r="AAS24" s="2">
        <v>2</v>
      </c>
      <c r="AAT24" s="2"/>
      <c r="AAU24" s="2"/>
      <c r="AAV24" s="2"/>
      <c r="AAW24" s="2"/>
      <c r="AAX24" s="2"/>
      <c r="AAY24" s="2"/>
      <c r="AAZ24" s="2"/>
      <c r="ABA24" s="2"/>
      <c r="ABB24" s="2"/>
      <c r="ABC24" s="2"/>
      <c r="ABD24" s="2"/>
      <c r="ABE24" s="2"/>
      <c r="ABF24" s="2"/>
      <c r="ABG24" s="2"/>
      <c r="ABH24" s="2"/>
      <c r="ABI24" s="2"/>
      <c r="ABJ24" s="2"/>
      <c r="ABK24" s="2"/>
      <c r="ABL24" s="2"/>
      <c r="ABM24" s="2"/>
      <c r="ABN24" s="2"/>
      <c r="ABO24" s="2"/>
      <c r="ABP24" s="2"/>
      <c r="ABQ24" s="2"/>
      <c r="ABR24" s="2"/>
      <c r="ABS24" s="2"/>
      <c r="ABT24" s="2"/>
      <c r="ABU24" s="2"/>
      <c r="ABV24" s="2"/>
      <c r="ABW24" s="2"/>
      <c r="ABX24" s="2"/>
      <c r="ABY24" s="2">
        <v>2</v>
      </c>
      <c r="ABZ24" s="2"/>
      <c r="ACA24" s="2"/>
      <c r="ACB24" s="2"/>
      <c r="ACC24" s="2"/>
      <c r="ACD24" s="2"/>
      <c r="ACE24" s="2"/>
      <c r="ACF24" s="2"/>
      <c r="ACG24" s="2"/>
      <c r="ACH24" s="2"/>
      <c r="ACI24" s="2"/>
      <c r="ACJ24" s="2"/>
      <c r="ACK24" s="2"/>
      <c r="ACL24" s="2"/>
      <c r="ACM24" s="2"/>
      <c r="ACN24" s="2"/>
      <c r="ACO24" s="2"/>
      <c r="ACP24" s="2"/>
      <c r="ACQ24" s="2"/>
      <c r="ACR24" s="2"/>
      <c r="ACS24" s="2"/>
      <c r="ACT24" s="2"/>
      <c r="ACU24" s="2"/>
      <c r="ACV24" s="2"/>
      <c r="ACW24" s="2"/>
      <c r="ACX24" s="2"/>
      <c r="ACY24" s="2"/>
      <c r="ACZ24" s="2"/>
      <c r="ADA24" s="2"/>
      <c r="ADB24" s="2"/>
      <c r="ADC24" s="2"/>
      <c r="ADD24" s="2"/>
      <c r="ADE24" s="2"/>
      <c r="ADF24" s="2"/>
      <c r="ADG24" s="2"/>
      <c r="ADH24" s="2"/>
      <c r="ADI24" s="2"/>
      <c r="ADJ24" s="2"/>
      <c r="ADK24" s="2"/>
      <c r="ADL24" s="2"/>
      <c r="ADM24" s="2"/>
      <c r="ADN24" s="2"/>
      <c r="ADO24" s="2"/>
      <c r="ADP24" s="2"/>
      <c r="ADQ24" s="2"/>
      <c r="ADR24" s="2"/>
      <c r="ADS24" s="2"/>
      <c r="ADT24" s="2"/>
      <c r="ADU24" s="2"/>
      <c r="ADV24" s="2"/>
      <c r="ADW24" s="2"/>
      <c r="ADX24" s="2"/>
      <c r="ADY24" s="2"/>
      <c r="ADZ24" s="2"/>
      <c r="AEA24" s="2"/>
      <c r="AEB24" s="2"/>
      <c r="AEC24" s="2"/>
      <c r="AED24" s="2"/>
      <c r="AEE24" s="2"/>
      <c r="AEF24" s="2"/>
      <c r="AEG24" s="2"/>
      <c r="AEH24" s="2"/>
      <c r="AEI24" s="2"/>
      <c r="AEJ24" s="2"/>
      <c r="AEK24" s="2"/>
      <c r="AEL24" s="2"/>
      <c r="AEM24" s="2"/>
      <c r="AEN24" s="2"/>
      <c r="AEO24" s="2"/>
      <c r="AEP24" s="2">
        <v>1</v>
      </c>
      <c r="AEQ24" s="2"/>
      <c r="AER24" s="2"/>
      <c r="AES24" s="2"/>
      <c r="AET24" s="2"/>
      <c r="AEU24" s="2"/>
      <c r="AEV24" s="2"/>
      <c r="AEW24" s="2"/>
      <c r="AEX24" s="2"/>
      <c r="AEY24" s="2"/>
      <c r="AEZ24" s="2"/>
      <c r="AFA24" s="2"/>
      <c r="AFB24" s="2"/>
      <c r="AFC24" s="2"/>
      <c r="AFD24" s="2"/>
      <c r="AFE24" s="2"/>
      <c r="AFF24" s="2"/>
      <c r="AFG24" s="2"/>
      <c r="AFH24" s="2"/>
      <c r="AFI24" s="2"/>
      <c r="AFJ24" s="2"/>
      <c r="AFK24" s="2"/>
      <c r="AFL24" s="2">
        <f t="shared" si="0"/>
        <v>161</v>
      </c>
    </row>
    <row r="25" spans="1:844" s="4" customFormat="1" x14ac:dyDescent="0.3">
      <c r="A25" s="11"/>
      <c r="B25" s="35">
        <v>550045838</v>
      </c>
      <c r="C25" s="52" t="s">
        <v>912</v>
      </c>
      <c r="D25" s="35" t="s">
        <v>1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>
        <v>240</v>
      </c>
      <c r="WW25" s="2">
        <v>160</v>
      </c>
      <c r="WX25" s="2">
        <v>240</v>
      </c>
      <c r="WY25" s="2"/>
      <c r="WZ25" s="2">
        <v>320</v>
      </c>
      <c r="XA25" s="2"/>
      <c r="XB25" s="2"/>
      <c r="XC25" s="2"/>
      <c r="XD25" s="2">
        <f>160+160</f>
        <v>320</v>
      </c>
      <c r="XE25" s="2"/>
      <c r="XF25" s="2">
        <f>160</f>
        <v>160</v>
      </c>
      <c r="XG25" s="2"/>
      <c r="XH25" s="2"/>
      <c r="XI25" s="2"/>
      <c r="XJ25" s="2"/>
      <c r="XK25" s="2"/>
      <c r="XL25" s="2"/>
      <c r="XM25" s="2">
        <f>80+160</f>
        <v>240</v>
      </c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>
        <v>320</v>
      </c>
      <c r="YW25" s="9"/>
      <c r="YX25" s="2"/>
      <c r="YY25" s="2">
        <f>80+160</f>
        <v>240</v>
      </c>
      <c r="YZ25" s="2">
        <v>240</v>
      </c>
      <c r="ZA25" s="2">
        <f>240+80+160+80</f>
        <v>560</v>
      </c>
      <c r="ZB25" s="2"/>
      <c r="ZC25" s="2">
        <v>160</v>
      </c>
      <c r="ZD25" s="2"/>
      <c r="ZE25" s="2"/>
      <c r="ZF25" s="2"/>
      <c r="ZG25" s="2"/>
      <c r="ZH25" s="2"/>
      <c r="ZI25" s="2"/>
      <c r="ZJ25" s="2">
        <v>20</v>
      </c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  <c r="AAA25" s="2"/>
      <c r="AAB25" s="2"/>
      <c r="AAC25" s="2"/>
      <c r="AAD25" s="2"/>
      <c r="AAE25" s="2"/>
      <c r="AAF25" s="2"/>
      <c r="AAG25" s="2"/>
      <c r="AAH25" s="2"/>
      <c r="AAI25" s="2"/>
      <c r="AAJ25" s="2"/>
      <c r="AAK25" s="2"/>
      <c r="AAL25" s="2"/>
      <c r="AAM25" s="2"/>
      <c r="AAN25" s="2"/>
      <c r="AAO25" s="2"/>
      <c r="AAP25" s="2"/>
      <c r="AAQ25" s="2"/>
      <c r="AAR25" s="2"/>
      <c r="AAS25" s="2"/>
      <c r="AAT25" s="2">
        <v>160</v>
      </c>
      <c r="AAU25" s="2"/>
      <c r="AAV25" s="2"/>
      <c r="AAW25" s="2">
        <v>240</v>
      </c>
      <c r="AAX25" s="2"/>
      <c r="AAY25" s="2">
        <v>80</v>
      </c>
      <c r="AAZ25" s="2">
        <v>160</v>
      </c>
      <c r="ABA25" s="2">
        <f>160</f>
        <v>160</v>
      </c>
      <c r="ABB25" s="2">
        <v>240</v>
      </c>
      <c r="ABC25" s="2"/>
      <c r="ABD25" s="2"/>
      <c r="ABE25" s="2"/>
      <c r="ABF25" s="2"/>
      <c r="ABG25" s="2"/>
      <c r="ABH25" s="2">
        <f>1+80</f>
        <v>81</v>
      </c>
      <c r="ABI25" s="2">
        <v>160</v>
      </c>
      <c r="ABJ25" s="2">
        <v>160</v>
      </c>
      <c r="ABK25" s="2">
        <f>160+160</f>
        <v>320</v>
      </c>
      <c r="ABL25" s="2"/>
      <c r="ABM25" s="2"/>
      <c r="ABN25" s="2">
        <v>80</v>
      </c>
      <c r="ABO25" s="2"/>
      <c r="ABP25" s="2"/>
      <c r="ABQ25" s="2"/>
      <c r="ABR25" s="2">
        <v>160</v>
      </c>
      <c r="ABS25" s="2"/>
      <c r="ABT25" s="2"/>
      <c r="ABU25" s="2"/>
      <c r="ABV25" s="2">
        <v>160</v>
      </c>
      <c r="ABW25" s="2"/>
      <c r="ABX25" s="2"/>
      <c r="ABY25" s="2"/>
      <c r="ABZ25" s="2">
        <v>80</v>
      </c>
      <c r="ACA25" s="2">
        <f>160+80</f>
        <v>240</v>
      </c>
      <c r="ACB25" s="2">
        <v>160</v>
      </c>
      <c r="ACC25" s="2">
        <v>160</v>
      </c>
      <c r="ACD25" s="2"/>
      <c r="ACE25" s="2">
        <v>80</v>
      </c>
      <c r="ACF25" s="2"/>
      <c r="ACG25" s="2"/>
      <c r="ACH25" s="2">
        <v>80</v>
      </c>
      <c r="ACI25" s="2">
        <v>160</v>
      </c>
      <c r="ACJ25" s="2"/>
      <c r="ACK25" s="2"/>
      <c r="ACL25" s="2"/>
      <c r="ACM25" s="2"/>
      <c r="ACN25" s="2">
        <v>1</v>
      </c>
      <c r="ACO25" s="2"/>
      <c r="ACP25" s="2"/>
      <c r="ACQ25" s="2">
        <f>80+80</f>
        <v>160</v>
      </c>
      <c r="ACR25" s="2">
        <f>160+1</f>
        <v>161</v>
      </c>
      <c r="ACS25" s="2">
        <v>80</v>
      </c>
      <c r="ACT25" s="2"/>
      <c r="ACU25" s="2"/>
      <c r="ACV25" s="2"/>
      <c r="ACW25" s="2">
        <v>160</v>
      </c>
      <c r="ACX25" s="2"/>
      <c r="ACY25" s="2"/>
      <c r="ACZ25" s="2">
        <v>80</v>
      </c>
      <c r="ADA25" s="2"/>
      <c r="ADB25" s="2"/>
      <c r="ADC25" s="2">
        <v>80</v>
      </c>
      <c r="ADD25" s="2"/>
      <c r="ADE25" s="2">
        <v>160</v>
      </c>
      <c r="ADF25" s="2">
        <f>160+80</f>
        <v>240</v>
      </c>
      <c r="ADG25" s="2">
        <v>80</v>
      </c>
      <c r="ADH25" s="2"/>
      <c r="ADI25" s="2"/>
      <c r="ADJ25" s="2"/>
      <c r="ADK25" s="2">
        <f>80+160+160</f>
        <v>400</v>
      </c>
      <c r="ADL25" s="2"/>
      <c r="ADM25" s="2"/>
      <c r="ADN25" s="2"/>
      <c r="ADO25" s="2">
        <v>160</v>
      </c>
      <c r="ADP25" s="2"/>
      <c r="ADQ25" s="2">
        <v>160</v>
      </c>
      <c r="ADR25" s="2"/>
      <c r="ADS25" s="2">
        <v>80</v>
      </c>
      <c r="ADT25" s="2"/>
      <c r="ADU25" s="2">
        <f>160+80+160</f>
        <v>400</v>
      </c>
      <c r="ADV25" s="2"/>
      <c r="ADW25" s="2">
        <v>160</v>
      </c>
      <c r="ADX25" s="2">
        <v>80</v>
      </c>
      <c r="ADY25" s="2">
        <v>80</v>
      </c>
      <c r="ADZ25" s="2"/>
      <c r="AEA25" s="12">
        <v>4</v>
      </c>
      <c r="AEB25" s="2"/>
      <c r="AEC25" s="2"/>
      <c r="AED25" s="2">
        <v>80</v>
      </c>
      <c r="AEE25" s="2"/>
      <c r="AEF25" s="2">
        <v>80</v>
      </c>
      <c r="AEG25" s="2">
        <v>80</v>
      </c>
      <c r="AEH25" s="2">
        <v>80</v>
      </c>
      <c r="AEI25" s="2">
        <f>160+80</f>
        <v>240</v>
      </c>
      <c r="AEJ25" s="2">
        <v>80</v>
      </c>
      <c r="AEK25" s="2">
        <v>80</v>
      </c>
      <c r="AEL25" s="2"/>
      <c r="AEM25" s="2"/>
      <c r="AEN25" s="2"/>
      <c r="AEO25" s="2"/>
      <c r="AEP25" s="2">
        <v>80</v>
      </c>
      <c r="AEQ25" s="2">
        <f>80+240</f>
        <v>320</v>
      </c>
      <c r="AER25" s="2"/>
      <c r="AES25" s="2"/>
      <c r="AET25" s="2"/>
      <c r="AEU25" s="2"/>
      <c r="AEV25" s="2">
        <v>80</v>
      </c>
      <c r="AEW25" s="2">
        <v>80</v>
      </c>
      <c r="AEX25" s="2"/>
      <c r="AEY25" s="2">
        <v>1</v>
      </c>
      <c r="AEZ25" s="2"/>
      <c r="AFA25" s="2">
        <f>80+80+80</f>
        <v>240</v>
      </c>
      <c r="AFB25" s="2"/>
      <c r="AFC25" s="2"/>
      <c r="AFD25" s="2"/>
      <c r="AFE25" s="2">
        <f>80+80</f>
        <v>160</v>
      </c>
      <c r="AFF25" s="2"/>
      <c r="AFG25" s="2"/>
      <c r="AFH25" s="2"/>
      <c r="AFI25" s="2"/>
      <c r="AFJ25" s="2"/>
      <c r="AFK25" s="2"/>
      <c r="AFL25" s="2">
        <f t="shared" si="0"/>
        <v>10748</v>
      </c>
    </row>
    <row r="26" spans="1:844" s="4" customFormat="1" x14ac:dyDescent="0.3">
      <c r="A26" s="11"/>
      <c r="B26" s="91">
        <v>43512905</v>
      </c>
      <c r="C26" s="52" t="s">
        <v>81</v>
      </c>
      <c r="D26" s="35" t="s">
        <v>3</v>
      </c>
      <c r="E26" s="2"/>
      <c r="F26" s="2"/>
      <c r="G26" s="2"/>
      <c r="H26" s="2">
        <v>385</v>
      </c>
      <c r="I26" s="2">
        <f>77+77+77+616+154</f>
        <v>1001</v>
      </c>
      <c r="J26" s="2"/>
      <c r="K26" s="2">
        <v>231</v>
      </c>
      <c r="L26" s="2">
        <f>308+154</f>
        <v>462</v>
      </c>
      <c r="M26" s="2">
        <f>154+154</f>
        <v>308</v>
      </c>
      <c r="N26" s="2"/>
      <c r="O26" s="2">
        <f>231+1+2+1+1+1</f>
        <v>237</v>
      </c>
      <c r="P26" s="2">
        <v>231</v>
      </c>
      <c r="Q26" s="2">
        <v>77</v>
      </c>
      <c r="R26" s="2"/>
      <c r="S26" s="2">
        <v>385</v>
      </c>
      <c r="T26" s="2"/>
      <c r="U26" s="2"/>
      <c r="V26" s="2"/>
      <c r="W26" s="2"/>
      <c r="X26" s="2">
        <v>154</v>
      </c>
      <c r="Y26" s="2"/>
      <c r="Z26" s="2">
        <v>462</v>
      </c>
      <c r="AA26" s="2">
        <v>385</v>
      </c>
      <c r="AB26" s="2">
        <f>385+231</f>
        <v>616</v>
      </c>
      <c r="AC26" s="2">
        <f>1+1+1</f>
        <v>3</v>
      </c>
      <c r="AD26" s="2">
        <v>144</v>
      </c>
      <c r="AE26" s="2"/>
      <c r="AF26" s="2"/>
      <c r="AG26" s="2"/>
      <c r="AH26" s="2"/>
      <c r="AI26" s="2"/>
      <c r="AJ26" s="2">
        <f>231+231</f>
        <v>462</v>
      </c>
      <c r="AK26" s="2">
        <v>231</v>
      </c>
      <c r="AL26" s="2"/>
      <c r="AM26" s="2">
        <f>154+154+154</f>
        <v>462</v>
      </c>
      <c r="AN26" s="2">
        <v>154</v>
      </c>
      <c r="AO26" s="2">
        <v>77</v>
      </c>
      <c r="AP26" s="2">
        <f>154+1+1</f>
        <v>156</v>
      </c>
      <c r="AQ26" s="2">
        <v>1</v>
      </c>
      <c r="AR26" s="2"/>
      <c r="AS26" s="2">
        <f>539+231</f>
        <v>770</v>
      </c>
      <c r="AT26" s="2"/>
      <c r="AU26" s="2">
        <f>462+231+231+308</f>
        <v>1232</v>
      </c>
      <c r="AV26" s="2">
        <f>308+308+385</f>
        <v>1001</v>
      </c>
      <c r="AW26" s="2">
        <f>308+154</f>
        <v>462</v>
      </c>
      <c r="AX26" s="2"/>
      <c r="AY26" s="2">
        <f>770+308</f>
        <v>1078</v>
      </c>
      <c r="AZ26" s="2">
        <f>539+154</f>
        <v>693</v>
      </c>
      <c r="BA26" s="2">
        <v>308</v>
      </c>
      <c r="BB26" s="2">
        <v>231</v>
      </c>
      <c r="BC26" s="2">
        <v>154</v>
      </c>
      <c r="BD26" s="2"/>
      <c r="BE26" s="2">
        <f>462+308</f>
        <v>770</v>
      </c>
      <c r="BF26" s="2">
        <f>231+2+2+1+1+1</f>
        <v>238</v>
      </c>
      <c r="BG26" s="2">
        <v>1</v>
      </c>
      <c r="BH26" s="2">
        <f>1+1+2+1</f>
        <v>5</v>
      </c>
      <c r="BI26" s="2">
        <v>154</v>
      </c>
      <c r="BJ26" s="2">
        <v>154</v>
      </c>
      <c r="BK26" s="2">
        <v>2</v>
      </c>
      <c r="BL26" s="2"/>
      <c r="BM26" s="2">
        <f>77+77</f>
        <v>154</v>
      </c>
      <c r="BN26" s="2"/>
      <c r="BO26" s="2">
        <v>77</v>
      </c>
      <c r="BP26" s="2"/>
      <c r="BQ26" s="2"/>
      <c r="BR26" s="2"/>
      <c r="BS26" s="2">
        <f>154+308</f>
        <v>462</v>
      </c>
      <c r="BT26" s="2">
        <f>231+770+154+308</f>
        <v>1463</v>
      </c>
      <c r="BU26" s="2">
        <f>231+154+154+77+1+1+1+1</f>
        <v>620</v>
      </c>
      <c r="BV26" s="2">
        <v>2</v>
      </c>
      <c r="BW26" s="2"/>
      <c r="BX26" s="2">
        <v>231</v>
      </c>
      <c r="BY26" s="2">
        <v>231</v>
      </c>
      <c r="BZ26" s="2"/>
      <c r="CA26" s="2">
        <v>385</v>
      </c>
      <c r="CB26" s="2">
        <f>231+231</f>
        <v>462</v>
      </c>
      <c r="CC26" s="2">
        <v>231</v>
      </c>
      <c r="CD26" s="2"/>
      <c r="CE26" s="2">
        <v>1</v>
      </c>
      <c r="CF26" s="2">
        <f>308+308+308</f>
        <v>924</v>
      </c>
      <c r="CG26" s="2">
        <f>1+1+1+77</f>
        <v>80</v>
      </c>
      <c r="CH26" s="2">
        <f>77+154+1+1</f>
        <v>233</v>
      </c>
      <c r="CI26" s="2">
        <f>154+154</f>
        <v>308</v>
      </c>
      <c r="CJ26" s="2"/>
      <c r="CK26" s="2">
        <f>154+77</f>
        <v>231</v>
      </c>
      <c r="CL26" s="2">
        <f>1+1</f>
        <v>2</v>
      </c>
      <c r="CM26" s="2">
        <v>50</v>
      </c>
      <c r="CN26" s="2">
        <f>1+1</f>
        <v>2</v>
      </c>
      <c r="CO26" s="2"/>
      <c r="CP26" s="2">
        <f>1+1</f>
        <v>2</v>
      </c>
      <c r="CQ26" s="2"/>
      <c r="CR26" s="2"/>
      <c r="CS26" s="2">
        <f>77+1001+1+308+154+77</f>
        <v>1618</v>
      </c>
      <c r="CT26" s="2">
        <f>154+77</f>
        <v>231</v>
      </c>
      <c r="CU26" s="2"/>
      <c r="CV26" s="2">
        <v>1</v>
      </c>
      <c r="CW26" s="2">
        <f>462+231+308</f>
        <v>1001</v>
      </c>
      <c r="CX26" s="2">
        <f>1+1+1+1+1</f>
        <v>5</v>
      </c>
      <c r="CY26" s="2">
        <f>1+1</f>
        <v>2</v>
      </c>
      <c r="CZ26" s="2">
        <f>308+143</f>
        <v>451</v>
      </c>
      <c r="DA26" s="2">
        <f>308+385</f>
        <v>693</v>
      </c>
      <c r="DB26" s="2"/>
      <c r="DC26" s="2"/>
      <c r="DD26" s="2"/>
      <c r="DE26" s="2"/>
      <c r="DF26" s="2"/>
      <c r="DG26" s="2">
        <f>1+1+1</f>
        <v>3</v>
      </c>
      <c r="DH26" s="2"/>
      <c r="DI26" s="2">
        <f>1+1</f>
        <v>2</v>
      </c>
      <c r="DJ26" s="2"/>
      <c r="DK26" s="2"/>
      <c r="DL26" s="2"/>
      <c r="DM26" s="2"/>
      <c r="DN26" s="2">
        <f>1+1</f>
        <v>2</v>
      </c>
      <c r="DO26" s="2">
        <v>154</v>
      </c>
      <c r="DP26" s="2">
        <v>1</v>
      </c>
      <c r="DQ26" s="2"/>
      <c r="DR26" s="2"/>
      <c r="DS26" s="2"/>
      <c r="DT26" s="2"/>
      <c r="DU26" s="2">
        <v>77</v>
      </c>
      <c r="DV26" s="2">
        <v>48</v>
      </c>
      <c r="DW26" s="2"/>
      <c r="DX26" s="2">
        <v>3</v>
      </c>
      <c r="DY26" s="2"/>
      <c r="DZ26" s="2">
        <v>154</v>
      </c>
      <c r="EA26" s="2">
        <f>1+1</f>
        <v>2</v>
      </c>
      <c r="EB26" s="2">
        <f>154+1</f>
        <v>155</v>
      </c>
      <c r="EC26" s="2"/>
      <c r="ED26" s="2">
        <v>14</v>
      </c>
      <c r="EE26" s="2"/>
      <c r="EF26" s="2">
        <f>154+154+154+1+1</f>
        <v>464</v>
      </c>
      <c r="EG26" s="2">
        <v>1</v>
      </c>
      <c r="EH26" s="2">
        <f>1+1+154</f>
        <v>156</v>
      </c>
      <c r="EI26" s="2">
        <f>77+77</f>
        <v>154</v>
      </c>
      <c r="EJ26" s="2">
        <v>1</v>
      </c>
      <c r="EK26" s="2"/>
      <c r="EL26" s="2"/>
      <c r="EM26" s="2"/>
      <c r="EN26" s="2"/>
      <c r="EO26" s="2">
        <v>231</v>
      </c>
      <c r="EP26" s="2">
        <f>154+154</f>
        <v>308</v>
      </c>
      <c r="EQ26" s="2">
        <f>154+77+308</f>
        <v>539</v>
      </c>
      <c r="ER26" s="2">
        <v>1</v>
      </c>
      <c r="ES26" s="2"/>
      <c r="ET26" s="2"/>
      <c r="EU26" s="2"/>
      <c r="EV26" s="2"/>
      <c r="EW26" s="2">
        <f>154+154</f>
        <v>308</v>
      </c>
      <c r="EX26" s="2">
        <f>1+1+1</f>
        <v>3</v>
      </c>
      <c r="EY26" s="2">
        <f>1+1</f>
        <v>2</v>
      </c>
      <c r="EZ26" s="2">
        <v>231</v>
      </c>
      <c r="FA26" s="2">
        <f>77+154+1+1</f>
        <v>233</v>
      </c>
      <c r="FB26" s="2">
        <v>1</v>
      </c>
      <c r="FC26" s="2">
        <v>77</v>
      </c>
      <c r="FD26" s="2"/>
      <c r="FE26" s="2"/>
      <c r="FF26" s="2">
        <f>154+1</f>
        <v>155</v>
      </c>
      <c r="FG26" s="2">
        <v>308</v>
      </c>
      <c r="FH26" s="2"/>
      <c r="FI26" s="2"/>
      <c r="FJ26" s="2">
        <v>231</v>
      </c>
      <c r="FK26" s="2">
        <v>1</v>
      </c>
      <c r="FL26" s="2">
        <v>308</v>
      </c>
      <c r="FM26" s="2">
        <f>385+77</f>
        <v>462</v>
      </c>
      <c r="FN26" s="2"/>
      <c r="FO26" s="2">
        <f>1+1</f>
        <v>2</v>
      </c>
      <c r="FP26" s="2">
        <f>1+1</f>
        <v>2</v>
      </c>
      <c r="FQ26" s="2">
        <v>231</v>
      </c>
      <c r="FR26" s="2">
        <v>1</v>
      </c>
      <c r="FS26" s="2">
        <f>308+462</f>
        <v>770</v>
      </c>
      <c r="FT26" s="2">
        <f>231+77+1+1</f>
        <v>310</v>
      </c>
      <c r="FU26" s="2">
        <v>1</v>
      </c>
      <c r="FV26" s="2"/>
      <c r="FW26" s="2"/>
      <c r="FX26" s="2"/>
      <c r="FY26" s="2">
        <v>231</v>
      </c>
      <c r="FZ26" s="2">
        <v>77</v>
      </c>
      <c r="GA26" s="2"/>
      <c r="GB26" s="2"/>
      <c r="GC26" s="2">
        <f>77+1</f>
        <v>78</v>
      </c>
      <c r="GD26" s="2">
        <v>154</v>
      </c>
      <c r="GE26" s="2"/>
      <c r="GF26" s="2">
        <f>77+154+308</f>
        <v>539</v>
      </c>
      <c r="GG26" s="2">
        <f>1+1</f>
        <v>2</v>
      </c>
      <c r="GH26" s="2"/>
      <c r="GI26" s="2">
        <f>77+1</f>
        <v>78</v>
      </c>
      <c r="GJ26" s="2">
        <f>1+1</f>
        <v>2</v>
      </c>
      <c r="GK26" s="2">
        <v>77</v>
      </c>
      <c r="GL26" s="2"/>
      <c r="GM26" s="2"/>
      <c r="GN26" s="2">
        <v>462</v>
      </c>
      <c r="GO26" s="2">
        <f>1+2+1</f>
        <v>4</v>
      </c>
      <c r="GP26" s="2"/>
      <c r="GQ26" s="2"/>
      <c r="GR26" s="2"/>
      <c r="GS26" s="2">
        <f>1+154+154</f>
        <v>309</v>
      </c>
      <c r="GT26" s="2">
        <v>77</v>
      </c>
      <c r="GU26" s="2">
        <v>231</v>
      </c>
      <c r="GV26" s="2">
        <v>154</v>
      </c>
      <c r="GW26" s="2"/>
      <c r="GX26" s="2">
        <v>1</v>
      </c>
      <c r="GY26" s="2"/>
      <c r="GZ26" s="2">
        <f>462+77</f>
        <v>539</v>
      </c>
      <c r="HA26" s="2"/>
      <c r="HB26" s="2">
        <f>154+77</f>
        <v>231</v>
      </c>
      <c r="HC26" s="2">
        <v>1</v>
      </c>
      <c r="HD26" s="2">
        <v>77</v>
      </c>
      <c r="HE26" s="2"/>
      <c r="HF26" s="2"/>
      <c r="HG26" s="2">
        <f>77+77+77+154+1</f>
        <v>386</v>
      </c>
      <c r="HH26" s="2">
        <v>154</v>
      </c>
      <c r="HI26" s="2"/>
      <c r="HJ26" s="2">
        <f>154+770</f>
        <v>924</v>
      </c>
      <c r="HK26" s="2"/>
      <c r="HL26" s="2">
        <f>1+1</f>
        <v>2</v>
      </c>
      <c r="HM26" s="2">
        <v>77</v>
      </c>
      <c r="HN26" s="2">
        <v>308</v>
      </c>
      <c r="HO26" s="2">
        <f>231+1</f>
        <v>232</v>
      </c>
      <c r="HP26" s="2">
        <v>77</v>
      </c>
      <c r="HQ26" s="2">
        <f>77+308+1+1</f>
        <v>387</v>
      </c>
      <c r="HR26" s="2">
        <f>308+3+154+1+1</f>
        <v>467</v>
      </c>
      <c r="HS26" s="2">
        <f>770+1</f>
        <v>771</v>
      </c>
      <c r="HT26" s="2">
        <v>154</v>
      </c>
      <c r="HU26" s="2">
        <f>77+308</f>
        <v>385</v>
      </c>
      <c r="HV26" s="2">
        <f>154+231+1</f>
        <v>386</v>
      </c>
      <c r="HW26" s="2"/>
      <c r="HX26" s="2">
        <f>231+1+1</f>
        <v>233</v>
      </c>
      <c r="HY26" s="2"/>
      <c r="HZ26" s="2"/>
      <c r="IA26" s="2"/>
      <c r="IB26" s="2"/>
      <c r="IC26" s="2"/>
      <c r="ID26" s="2">
        <f>154+154</f>
        <v>308</v>
      </c>
      <c r="IE26" s="2">
        <v>308</v>
      </c>
      <c r="IF26" s="2">
        <f>231+154+77+154</f>
        <v>616</v>
      </c>
      <c r="IG26" s="2"/>
      <c r="IH26" s="2">
        <f>2+1</f>
        <v>3</v>
      </c>
      <c r="II26" s="2">
        <v>308</v>
      </c>
      <c r="IJ26" s="2">
        <v>1</v>
      </c>
      <c r="IK26" s="2">
        <v>10</v>
      </c>
      <c r="IL26" s="2">
        <v>1</v>
      </c>
      <c r="IM26" s="2">
        <v>1</v>
      </c>
      <c r="IN26" s="2">
        <v>154</v>
      </c>
      <c r="IO26" s="2"/>
      <c r="IP26" s="2">
        <v>231</v>
      </c>
      <c r="IQ26" s="2"/>
      <c r="IR26" s="2"/>
      <c r="IS26" s="2"/>
      <c r="IT26" s="2">
        <f>154+231</f>
        <v>385</v>
      </c>
      <c r="IU26" s="2">
        <f>308+154+77</f>
        <v>539</v>
      </c>
      <c r="IV26" s="2">
        <v>40</v>
      </c>
      <c r="IW26" s="2">
        <v>1</v>
      </c>
      <c r="IX26" s="2"/>
      <c r="IY26" s="2"/>
      <c r="IZ26" s="2">
        <f>154+385</f>
        <v>539</v>
      </c>
      <c r="JA26" s="2"/>
      <c r="JB26" s="2"/>
      <c r="JC26" s="2"/>
      <c r="JD26" s="2">
        <v>1</v>
      </c>
      <c r="JE26" s="2">
        <v>154</v>
      </c>
      <c r="JF26" s="2"/>
      <c r="JG26" s="2"/>
      <c r="JH26" s="2"/>
      <c r="JI26" s="2">
        <f>154+77</f>
        <v>231</v>
      </c>
      <c r="JJ26" s="2"/>
      <c r="JK26" s="2">
        <f>154+154</f>
        <v>308</v>
      </c>
      <c r="JL26" s="2">
        <v>1</v>
      </c>
      <c r="JM26" s="2">
        <v>154</v>
      </c>
      <c r="JN26" s="2">
        <f>231+77+154+385</f>
        <v>847</v>
      </c>
      <c r="JO26" s="2">
        <v>231</v>
      </c>
      <c r="JP26" s="2"/>
      <c r="JQ26" s="2"/>
      <c r="JR26" s="2">
        <f>385+154</f>
        <v>539</v>
      </c>
      <c r="JS26" s="2"/>
      <c r="JT26" s="2">
        <f>154+154+231+231</f>
        <v>770</v>
      </c>
      <c r="JU26" s="2"/>
      <c r="JV26" s="2">
        <v>1</v>
      </c>
      <c r="JW26" s="2">
        <f>154+385</f>
        <v>539</v>
      </c>
      <c r="JX26" s="2">
        <f>462+2+2</f>
        <v>466</v>
      </c>
      <c r="JY26" s="2"/>
      <c r="JZ26" s="2">
        <f>308+462</f>
        <v>770</v>
      </c>
      <c r="KA26" s="2">
        <f>231+154</f>
        <v>385</v>
      </c>
      <c r="KB26" s="2">
        <f>77+231+231+1</f>
        <v>540</v>
      </c>
      <c r="KC26" s="2">
        <v>1</v>
      </c>
      <c r="KD26" s="2"/>
      <c r="KE26" s="2">
        <f>1+1+154+308+462</f>
        <v>926</v>
      </c>
      <c r="KF26" s="2">
        <f>2+231+308</f>
        <v>541</v>
      </c>
      <c r="KG26" s="2">
        <v>154</v>
      </c>
      <c r="KH26" s="2">
        <f>231+231</f>
        <v>462</v>
      </c>
      <c r="KI26" s="2"/>
      <c r="KJ26" s="2">
        <v>154</v>
      </c>
      <c r="KK26" s="2">
        <v>2</v>
      </c>
      <c r="KL26" s="2">
        <f>1+1+2+1</f>
        <v>5</v>
      </c>
      <c r="KM26" s="2"/>
      <c r="KN26" s="2"/>
      <c r="KO26" s="2">
        <v>308</v>
      </c>
      <c r="KP26" s="2"/>
      <c r="KQ26" s="2"/>
      <c r="KR26" s="2">
        <v>154</v>
      </c>
      <c r="KS26" s="2">
        <f>1+154+154+77</f>
        <v>386</v>
      </c>
      <c r="KT26" s="2">
        <f>77+231</f>
        <v>308</v>
      </c>
      <c r="KU26" s="2"/>
      <c r="KV26" s="2"/>
      <c r="KW26" s="2"/>
      <c r="KX26" s="2">
        <v>1</v>
      </c>
      <c r="KY26" s="2">
        <f>1+1+154+231</f>
        <v>387</v>
      </c>
      <c r="KZ26" s="2">
        <v>154</v>
      </c>
      <c r="LA26" s="2">
        <v>38</v>
      </c>
      <c r="LB26" s="2"/>
      <c r="LC26" s="2">
        <f>231+77+231+231+231+154</f>
        <v>1155</v>
      </c>
      <c r="LD26" s="2">
        <v>231</v>
      </c>
      <c r="LE26" s="2"/>
      <c r="LF26" s="2"/>
      <c r="LG26" s="2">
        <f>462+308+1</f>
        <v>771</v>
      </c>
      <c r="LH26" s="2">
        <v>2</v>
      </c>
      <c r="LI26" s="2">
        <v>154</v>
      </c>
      <c r="LJ26" s="2">
        <v>231</v>
      </c>
      <c r="LK26" s="2">
        <v>1</v>
      </c>
      <c r="LL26" s="2"/>
      <c r="LM26" s="2">
        <v>154</v>
      </c>
      <c r="LN26" s="2">
        <f>231+33+308+231</f>
        <v>803</v>
      </c>
      <c r="LO26" s="2">
        <f>231+1</f>
        <v>232</v>
      </c>
      <c r="LP26" s="2">
        <v>154</v>
      </c>
      <c r="LQ26" s="2">
        <f>231+308</f>
        <v>539</v>
      </c>
      <c r="LR26" s="2"/>
      <c r="LS26" s="2">
        <f>77+154</f>
        <v>231</v>
      </c>
      <c r="LT26" s="2">
        <v>154</v>
      </c>
      <c r="LU26" s="2">
        <f>154+77+385+1+1+385+154</f>
        <v>1157</v>
      </c>
      <c r="LV26" s="2">
        <f>154+1+1+231</f>
        <v>387</v>
      </c>
      <c r="LW26" s="2"/>
      <c r="LX26" s="2">
        <f>1+1+1</f>
        <v>3</v>
      </c>
      <c r="LY26" s="2">
        <f>154+308+77</f>
        <v>539</v>
      </c>
      <c r="LZ26" s="2">
        <v>308</v>
      </c>
      <c r="MA26" s="2"/>
      <c r="MB26" s="2">
        <f>231+231+385</f>
        <v>847</v>
      </c>
      <c r="MC26" s="2">
        <f>2+1</f>
        <v>3</v>
      </c>
      <c r="MD26" s="2">
        <f>231+154+154</f>
        <v>539</v>
      </c>
      <c r="ME26" s="2">
        <f>231+462+154+385+385</f>
        <v>1617</v>
      </c>
      <c r="MF26" s="2">
        <v>385</v>
      </c>
      <c r="MG26" s="2">
        <f>154+154+154+539+154</f>
        <v>1155</v>
      </c>
      <c r="MH26" s="2"/>
      <c r="MI26" s="2">
        <f>77+308+154</f>
        <v>539</v>
      </c>
      <c r="MJ26" s="2"/>
      <c r="MK26" s="2"/>
      <c r="ML26" s="2">
        <v>154</v>
      </c>
      <c r="MM26" s="2">
        <f>1+1+1+154+154</f>
        <v>311</v>
      </c>
      <c r="MN26" s="2">
        <v>20</v>
      </c>
      <c r="MO26" s="2"/>
      <c r="MP26" s="2">
        <f>154+154</f>
        <v>308</v>
      </c>
      <c r="MQ26" s="2">
        <v>2</v>
      </c>
      <c r="MR26" s="2"/>
      <c r="MS26" s="2"/>
      <c r="MT26" s="2">
        <v>308</v>
      </c>
      <c r="MU26" s="2">
        <v>1</v>
      </c>
      <c r="MV26" s="2"/>
      <c r="MW26" s="2"/>
      <c r="MX26" s="2"/>
      <c r="MY26" s="2"/>
      <c r="MZ26" s="2"/>
      <c r="NA26" s="2">
        <f>462+231</f>
        <v>693</v>
      </c>
      <c r="NB26" s="2">
        <f>308+308</f>
        <v>616</v>
      </c>
      <c r="NC26" s="2">
        <v>231</v>
      </c>
      <c r="ND26" s="2">
        <f>308+1+231</f>
        <v>540</v>
      </c>
      <c r="NE26" s="2">
        <f>231+308+462+308+1+1</f>
        <v>1311</v>
      </c>
      <c r="NF26" s="2">
        <v>126</v>
      </c>
      <c r="NG26" s="2"/>
      <c r="NH26" s="2"/>
      <c r="NI26" s="2"/>
      <c r="NJ26" s="2"/>
      <c r="NK26" s="2"/>
      <c r="NL26" s="2">
        <v>1</v>
      </c>
      <c r="NM26" s="2"/>
      <c r="NN26" s="2"/>
      <c r="NO26" s="2"/>
      <c r="NP26" s="2"/>
      <c r="NQ26" s="2">
        <v>2</v>
      </c>
      <c r="NR26" s="2">
        <v>1</v>
      </c>
      <c r="NS26" s="2">
        <f>231+154</f>
        <v>385</v>
      </c>
      <c r="NT26" s="2">
        <f>462+539</f>
        <v>1001</v>
      </c>
      <c r="NU26" s="2">
        <v>308</v>
      </c>
      <c r="NV26" s="2"/>
      <c r="NW26" s="2">
        <f>231+385+77+462</f>
        <v>1155</v>
      </c>
      <c r="NX26" s="2">
        <v>154</v>
      </c>
      <c r="NY26" s="2"/>
      <c r="NZ26" s="2">
        <f>1+36+308</f>
        <v>345</v>
      </c>
      <c r="OA26" s="2">
        <v>231</v>
      </c>
      <c r="OB26" s="2"/>
      <c r="OC26" s="2"/>
      <c r="OD26" s="2">
        <f>355+92+462+1+1</f>
        <v>911</v>
      </c>
      <c r="OE26" s="2">
        <v>231</v>
      </c>
      <c r="OF26" s="2">
        <f>1+1</f>
        <v>2</v>
      </c>
      <c r="OG26" s="2"/>
      <c r="OH26" s="2">
        <f>385+385</f>
        <v>770</v>
      </c>
      <c r="OI26" s="2">
        <f>308+1</f>
        <v>309</v>
      </c>
      <c r="OJ26" s="2">
        <f>308+231</f>
        <v>539</v>
      </c>
      <c r="OK26" s="2">
        <f>231+385+385</f>
        <v>1001</v>
      </c>
      <c r="OL26" s="2">
        <f>308+2</f>
        <v>310</v>
      </c>
      <c r="OM26" s="2">
        <v>1</v>
      </c>
      <c r="ON26" s="2">
        <f>1+154</f>
        <v>155</v>
      </c>
      <c r="OO26" s="2">
        <v>154</v>
      </c>
      <c r="OP26" s="2">
        <f>154+1</f>
        <v>155</v>
      </c>
      <c r="OQ26" s="2">
        <f>154+77+231+231+154</f>
        <v>847</v>
      </c>
      <c r="OR26" s="2">
        <v>231</v>
      </c>
      <c r="OS26" s="2">
        <v>154</v>
      </c>
      <c r="OT26" s="2">
        <f>154+77+3</f>
        <v>234</v>
      </c>
      <c r="OU26" s="2">
        <v>77</v>
      </c>
      <c r="OV26" s="2">
        <v>1</v>
      </c>
      <c r="OW26" s="2">
        <f>231+1+1</f>
        <v>233</v>
      </c>
      <c r="OX26" s="2"/>
      <c r="OY26" s="2"/>
      <c r="OZ26" s="2">
        <f>231+231+154+116</f>
        <v>732</v>
      </c>
      <c r="PA26" s="2"/>
      <c r="PB26" s="2">
        <v>1</v>
      </c>
      <c r="PC26" s="2"/>
      <c r="PD26" s="2">
        <f>154+154+154</f>
        <v>462</v>
      </c>
      <c r="PE26" s="2">
        <f>154+231+154</f>
        <v>539</v>
      </c>
      <c r="PF26" s="2">
        <f>154+77+154+77+154</f>
        <v>616</v>
      </c>
      <c r="PG26" s="2">
        <f>154+231+77+1</f>
        <v>463</v>
      </c>
      <c r="PH26" s="2"/>
      <c r="PI26" s="2">
        <f>77+77</f>
        <v>154</v>
      </c>
      <c r="PJ26" s="2">
        <v>77</v>
      </c>
      <c r="PK26" s="2">
        <f>154+77</f>
        <v>231</v>
      </c>
      <c r="PL26" s="2"/>
      <c r="PM26" s="2">
        <f>1+1+77</f>
        <v>79</v>
      </c>
      <c r="PN26" s="2"/>
      <c r="PO26" s="2"/>
      <c r="PP26" s="2"/>
      <c r="PQ26" s="2">
        <v>1</v>
      </c>
      <c r="PR26" s="2">
        <f>231+77</f>
        <v>308</v>
      </c>
      <c r="PS26" s="2">
        <f>154+231</f>
        <v>385</v>
      </c>
      <c r="PT26" s="2">
        <f>154+77</f>
        <v>231</v>
      </c>
      <c r="PU26" s="2"/>
      <c r="PV26" s="2">
        <f>154+77+77</f>
        <v>308</v>
      </c>
      <c r="PW26" s="2">
        <v>1</v>
      </c>
      <c r="PX26" s="2">
        <v>154</v>
      </c>
      <c r="PY26" s="2">
        <v>154</v>
      </c>
      <c r="PZ26" s="2">
        <v>154</v>
      </c>
      <c r="QA26" s="2">
        <f>77+154+154</f>
        <v>385</v>
      </c>
      <c r="QB26" s="2">
        <v>77</v>
      </c>
      <c r="QC26" s="2">
        <f>77+77+154</f>
        <v>308</v>
      </c>
      <c r="QD26" s="2"/>
      <c r="QE26" s="2">
        <v>77</v>
      </c>
      <c r="QF26" s="2">
        <v>1</v>
      </c>
      <c r="QG26" s="2"/>
      <c r="QH26" s="2"/>
      <c r="QI26" s="2">
        <f>45+69</f>
        <v>114</v>
      </c>
      <c r="QJ26" s="2">
        <v>1</v>
      </c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>
        <f>154+77+154</f>
        <v>385</v>
      </c>
      <c r="QZ26" s="2">
        <f>308+231</f>
        <v>539</v>
      </c>
      <c r="RA26" s="2">
        <f>231+231+231+231</f>
        <v>924</v>
      </c>
      <c r="RB26" s="2">
        <f>2+308+29</f>
        <v>339</v>
      </c>
      <c r="RC26" s="2">
        <f>1+1+308</f>
        <v>310</v>
      </c>
      <c r="RD26" s="2">
        <v>1</v>
      </c>
      <c r="RE26" s="2">
        <f>231+308+308+308</f>
        <v>1155</v>
      </c>
      <c r="RF26" s="2">
        <v>1</v>
      </c>
      <c r="RG26" s="2">
        <f>308</f>
        <v>308</v>
      </c>
      <c r="RH26" s="2">
        <f>319+1</f>
        <v>320</v>
      </c>
      <c r="RI26" s="2">
        <f>308+231</f>
        <v>539</v>
      </c>
      <c r="RJ26" s="2">
        <f>308</f>
        <v>308</v>
      </c>
      <c r="RK26" s="2">
        <f>26+231</f>
        <v>257</v>
      </c>
      <c r="RL26" s="2">
        <f>1</f>
        <v>1</v>
      </c>
      <c r="RM26" s="2">
        <f>231</f>
        <v>231</v>
      </c>
      <c r="RN26" s="2">
        <f>154</f>
        <v>154</v>
      </c>
      <c r="RO26" s="2"/>
      <c r="RP26" s="2">
        <v>77</v>
      </c>
      <c r="RQ26" s="2">
        <f>231</f>
        <v>231</v>
      </c>
      <c r="RR26" s="2"/>
      <c r="RS26" s="2">
        <f>1</f>
        <v>1</v>
      </c>
      <c r="RT26" s="2"/>
      <c r="RU26" s="2"/>
      <c r="RV26" s="2">
        <f>1</f>
        <v>1</v>
      </c>
      <c r="RW26" s="2">
        <f>56+1</f>
        <v>57</v>
      </c>
      <c r="RX26" s="2">
        <f>44+385+231</f>
        <v>660</v>
      </c>
      <c r="RY26" s="2"/>
      <c r="RZ26" s="2">
        <f>1+308</f>
        <v>309</v>
      </c>
      <c r="SA26" s="2">
        <f>385+154</f>
        <v>539</v>
      </c>
      <c r="SB26" s="2"/>
      <c r="SC26" s="2">
        <f>231</f>
        <v>231</v>
      </c>
      <c r="SD26" s="2">
        <f>385+154+1+231</f>
        <v>771</v>
      </c>
      <c r="SE26" s="2">
        <f>253+231</f>
        <v>484</v>
      </c>
      <c r="SF26" s="2">
        <f>308+77+308</f>
        <v>693</v>
      </c>
      <c r="SG26" s="2">
        <f>231+154+1</f>
        <v>386</v>
      </c>
      <c r="SH26" s="2">
        <f>154+308+231+231</f>
        <v>924</v>
      </c>
      <c r="SI26" s="2">
        <f>308+154+231</f>
        <v>693</v>
      </c>
      <c r="SJ26" s="2">
        <f>154+231+1+1+1</f>
        <v>388</v>
      </c>
      <c r="SK26" s="2">
        <f>1</f>
        <v>1</v>
      </c>
      <c r="SL26" s="2">
        <f>1</f>
        <v>1</v>
      </c>
      <c r="SM26" s="2">
        <f>231</f>
        <v>231</v>
      </c>
      <c r="SN26" s="2">
        <f>231+308</f>
        <v>539</v>
      </c>
      <c r="SO26" s="2">
        <f>231</f>
        <v>231</v>
      </c>
      <c r="SP26" s="2">
        <f>154+308+308</f>
        <v>770</v>
      </c>
      <c r="SQ26" s="2"/>
      <c r="SR26" s="2"/>
      <c r="SS26" s="2">
        <f>308+1</f>
        <v>309</v>
      </c>
      <c r="ST26" s="2">
        <v>1</v>
      </c>
      <c r="SU26" s="2">
        <f>308+231</f>
        <v>539</v>
      </c>
      <c r="SV26" s="2">
        <f>231+154+154+154</f>
        <v>693</v>
      </c>
      <c r="SW26" s="2">
        <f>154+77+154+42</f>
        <v>427</v>
      </c>
      <c r="SX26" s="2">
        <f>154</f>
        <v>154</v>
      </c>
      <c r="SY26" s="2">
        <f>1+308+308</f>
        <v>617</v>
      </c>
      <c r="SZ26" s="2">
        <f>308+308+2</f>
        <v>618</v>
      </c>
      <c r="TA26" s="2">
        <v>22</v>
      </c>
      <c r="TB26" s="2">
        <f>154+154+308+308+231+1+1</f>
        <v>1157</v>
      </c>
      <c r="TC26" s="2"/>
      <c r="TD26" s="2"/>
      <c r="TE26" s="2"/>
      <c r="TF26" s="2">
        <f>308+308+154+1</f>
        <v>771</v>
      </c>
      <c r="TG26" s="2">
        <f>308+231+231</f>
        <v>770</v>
      </c>
      <c r="TH26" s="2">
        <f>154+77+154</f>
        <v>385</v>
      </c>
      <c r="TI26" s="2"/>
      <c r="TJ26" s="2">
        <f>154+308+231+462</f>
        <v>1155</v>
      </c>
      <c r="TK26" s="2">
        <f>308+308+154+308</f>
        <v>1078</v>
      </c>
      <c r="TL26" s="2">
        <f>231+308</f>
        <v>539</v>
      </c>
      <c r="TM26" s="2">
        <f>154+37</f>
        <v>191</v>
      </c>
      <c r="TN26" s="2">
        <f>308+308+308</f>
        <v>924</v>
      </c>
      <c r="TO26" s="2">
        <f>231+231+308</f>
        <v>770</v>
      </c>
      <c r="TP26" s="2">
        <f>154+231</f>
        <v>385</v>
      </c>
      <c r="TQ26" s="2">
        <f>231+231+154</f>
        <v>616</v>
      </c>
      <c r="TR26" s="2">
        <f>1+1</f>
        <v>2</v>
      </c>
      <c r="TS26" s="2">
        <v>308</v>
      </c>
      <c r="TT26" s="2">
        <v>385</v>
      </c>
      <c r="TU26" s="2">
        <f>7+308</f>
        <v>315</v>
      </c>
      <c r="TV26" s="2">
        <f>308+385</f>
        <v>693</v>
      </c>
      <c r="TW26" s="2">
        <f>308+154+2</f>
        <v>464</v>
      </c>
      <c r="TX26" s="2">
        <f>308+154</f>
        <v>462</v>
      </c>
      <c r="TY26" s="2"/>
      <c r="TZ26" s="2"/>
      <c r="UA26" s="2"/>
      <c r="UB26" s="2">
        <f>385+1</f>
        <v>386</v>
      </c>
      <c r="UC26" s="2">
        <v>308</v>
      </c>
      <c r="UD26" s="2">
        <f>72+385</f>
        <v>457</v>
      </c>
      <c r="UE26" s="2">
        <f>1+77</f>
        <v>78</v>
      </c>
      <c r="UF26" s="2"/>
      <c r="UG26" s="2"/>
      <c r="UH26" s="2"/>
      <c r="UI26" s="2">
        <f>308+231+77+231+1+1+2</f>
        <v>851</v>
      </c>
      <c r="UJ26" s="2">
        <f>154+1</f>
        <v>155</v>
      </c>
      <c r="UK26" s="2">
        <f>308+308</f>
        <v>616</v>
      </c>
      <c r="UL26" s="2">
        <f>231+15+154+231+308+154</f>
        <v>1093</v>
      </c>
      <c r="UM26" s="2">
        <f>308+231+231</f>
        <v>770</v>
      </c>
      <c r="UN26" s="2">
        <f>231+77+231+231+231</f>
        <v>1001</v>
      </c>
      <c r="UO26" s="2">
        <f>30+4+1</f>
        <v>35</v>
      </c>
      <c r="UP26" s="2">
        <v>1</v>
      </c>
      <c r="UQ26" s="2">
        <f>308+154</f>
        <v>462</v>
      </c>
      <c r="UR26" s="2">
        <v>1</v>
      </c>
      <c r="US26" s="2">
        <v>308</v>
      </c>
      <c r="UT26" s="2">
        <f>231+23+1</f>
        <v>255</v>
      </c>
      <c r="UU26" s="2">
        <f>231+77</f>
        <v>308</v>
      </c>
      <c r="UV26" s="2">
        <f>1+77</f>
        <v>78</v>
      </c>
      <c r="UW26" s="2">
        <f>2+1</f>
        <v>3</v>
      </c>
      <c r="UX26" s="2"/>
      <c r="UY26" s="2">
        <f>231+308+77+77</f>
        <v>693</v>
      </c>
      <c r="UZ26" s="2">
        <f>22+231</f>
        <v>253</v>
      </c>
      <c r="VA26" s="2"/>
      <c r="VB26" s="2"/>
      <c r="VC26" s="2">
        <f>308+77+308+462+154</f>
        <v>1309</v>
      </c>
      <c r="VD26" s="2"/>
      <c r="VE26" s="2">
        <f>4+231+385+231</f>
        <v>851</v>
      </c>
      <c r="VF26" s="2">
        <v>154</v>
      </c>
      <c r="VG26" s="2">
        <f>385+154</f>
        <v>539</v>
      </c>
      <c r="VH26" s="2">
        <f>231+231+77</f>
        <v>539</v>
      </c>
      <c r="VI26" s="2">
        <v>308</v>
      </c>
      <c r="VJ26" s="2"/>
      <c r="VK26" s="2">
        <f>1+1</f>
        <v>2</v>
      </c>
      <c r="VL26" s="65">
        <v>1</v>
      </c>
      <c r="VM26" s="2"/>
      <c r="VN26" s="2">
        <f>1+24</f>
        <v>25</v>
      </c>
      <c r="VO26" s="2">
        <v>1</v>
      </c>
      <c r="VP26" s="2">
        <v>71</v>
      </c>
      <c r="VQ26" s="2">
        <f>308+1</f>
        <v>309</v>
      </c>
      <c r="VR26" s="2">
        <f>308+154</f>
        <v>462</v>
      </c>
      <c r="VS26" s="2">
        <f>385+231</f>
        <v>616</v>
      </c>
      <c r="VT26" s="2">
        <v>308</v>
      </c>
      <c r="VU26" s="9">
        <f>154+385</f>
        <v>539</v>
      </c>
      <c r="VV26" s="2">
        <f>1+2+308</f>
        <v>311</v>
      </c>
      <c r="VW26" s="2">
        <v>154</v>
      </c>
      <c r="VX26" s="2">
        <f>25+308</f>
        <v>333</v>
      </c>
      <c r="VY26" s="2">
        <f>77+119+231+231</f>
        <v>658</v>
      </c>
      <c r="VZ26" s="2">
        <f>1+1+1+1+154+308</f>
        <v>466</v>
      </c>
      <c r="WA26" s="2">
        <f>77+1</f>
        <v>78</v>
      </c>
      <c r="WB26" s="2">
        <f>308+154+308</f>
        <v>770</v>
      </c>
      <c r="WC26" s="2">
        <f>308+308+308</f>
        <v>924</v>
      </c>
      <c r="WD26" s="2">
        <f>308+231+308</f>
        <v>847</v>
      </c>
      <c r="WE26" s="2">
        <f>308+154+154</f>
        <v>616</v>
      </c>
      <c r="WF26" s="2">
        <f>308+1+1</f>
        <v>310</v>
      </c>
      <c r="WG26" s="2"/>
      <c r="WH26" s="2">
        <v>1</v>
      </c>
      <c r="WI26" s="2">
        <v>77</v>
      </c>
      <c r="WJ26" s="2"/>
      <c r="WK26" s="2">
        <v>3</v>
      </c>
      <c r="WL26" s="2"/>
      <c r="WM26" s="2">
        <v>1</v>
      </c>
      <c r="WN26" s="2">
        <f>231+154+1</f>
        <v>386</v>
      </c>
      <c r="WO26" s="2">
        <f>13+1</f>
        <v>14</v>
      </c>
      <c r="WP26" s="2">
        <v>2</v>
      </c>
      <c r="WQ26" s="2"/>
      <c r="WR26" s="2">
        <v>1</v>
      </c>
      <c r="WS26" s="2"/>
      <c r="WT26" s="2">
        <f>462+77</f>
        <v>539</v>
      </c>
      <c r="WU26" s="2"/>
      <c r="WV26" s="2">
        <f>308+308</f>
        <v>616</v>
      </c>
      <c r="WW26" s="2"/>
      <c r="WX26" s="2">
        <v>308</v>
      </c>
      <c r="WY26" s="2">
        <v>25</v>
      </c>
      <c r="WZ26" s="2"/>
      <c r="XA26" s="2">
        <v>1</v>
      </c>
      <c r="XB26" s="2">
        <v>1</v>
      </c>
      <c r="XC26" s="2">
        <f>1+2</f>
        <v>3</v>
      </c>
      <c r="XD26" s="2">
        <f>231+1</f>
        <v>232</v>
      </c>
      <c r="XE26" s="2">
        <f>1+1</f>
        <v>2</v>
      </c>
      <c r="XF26" s="2">
        <v>154</v>
      </c>
      <c r="XG26" s="2"/>
      <c r="XH26" s="2">
        <v>1</v>
      </c>
      <c r="XI26" s="2"/>
      <c r="XJ26" s="2">
        <v>30</v>
      </c>
      <c r="XK26" s="2">
        <f>2+1</f>
        <v>3</v>
      </c>
      <c r="XL26" s="2"/>
      <c r="XM26" s="2">
        <f>231+231+462</f>
        <v>924</v>
      </c>
      <c r="XN26" s="2">
        <f>308+231+539</f>
        <v>1078</v>
      </c>
      <c r="XO26" s="2">
        <v>308</v>
      </c>
      <c r="XP26" s="2"/>
      <c r="XQ26" s="2">
        <f>38+77+308+2</f>
        <v>425</v>
      </c>
      <c r="XR26" s="2">
        <v>77</v>
      </c>
      <c r="XS26" s="2">
        <f>462+462+77+154</f>
        <v>1155</v>
      </c>
      <c r="XT26" s="2">
        <f>2+1</f>
        <v>3</v>
      </c>
      <c r="XU26" s="2">
        <v>1</v>
      </c>
      <c r="XV26" s="2"/>
      <c r="XW26" s="2"/>
      <c r="XX26" s="2"/>
      <c r="XY26" s="2">
        <f>385+385+308</f>
        <v>1078</v>
      </c>
      <c r="XZ26" s="2">
        <f>308+1</f>
        <v>309</v>
      </c>
      <c r="YA26" s="2"/>
      <c r="YB26" s="2"/>
      <c r="YC26" s="2"/>
      <c r="YD26" s="2">
        <v>154</v>
      </c>
      <c r="YE26" s="2">
        <f>308+31</f>
        <v>339</v>
      </c>
      <c r="YF26" s="2">
        <f>1+1</f>
        <v>2</v>
      </c>
      <c r="YG26" s="2">
        <v>1</v>
      </c>
      <c r="YH26" s="2">
        <f>1+385</f>
        <v>386</v>
      </c>
      <c r="YI26" s="2">
        <v>28</v>
      </c>
      <c r="YJ26" s="2"/>
      <c r="YK26" s="2"/>
      <c r="YL26" s="2">
        <f>539+385+385</f>
        <v>1309</v>
      </c>
      <c r="YM26" s="2">
        <v>1</v>
      </c>
      <c r="YN26" s="2"/>
      <c r="YO26" s="2">
        <f>1+1</f>
        <v>2</v>
      </c>
      <c r="YP26" s="2">
        <v>154</v>
      </c>
      <c r="YQ26" s="2"/>
      <c r="YR26" s="2"/>
      <c r="YS26" s="2">
        <v>2</v>
      </c>
      <c r="YT26" s="2">
        <f>231+385+583</f>
        <v>1199</v>
      </c>
      <c r="YU26" s="2">
        <f>154+231</f>
        <v>385</v>
      </c>
      <c r="YV26" s="2"/>
      <c r="YW26" s="9">
        <f>308+385+308</f>
        <v>1001</v>
      </c>
      <c r="YX26" s="2"/>
      <c r="YY26" s="2">
        <f>51+385</f>
        <v>436</v>
      </c>
      <c r="YZ26" s="2">
        <f>32+1</f>
        <v>33</v>
      </c>
      <c r="ZA26" s="2">
        <f>539+308+231+154</f>
        <v>1232</v>
      </c>
      <c r="ZB26" s="2">
        <v>231</v>
      </c>
      <c r="ZC26" s="2">
        <f>25+308</f>
        <v>333</v>
      </c>
      <c r="ZD26" s="2">
        <v>308</v>
      </c>
      <c r="ZE26" s="2">
        <v>11</v>
      </c>
      <c r="ZF26" s="2">
        <f>1+1</f>
        <v>2</v>
      </c>
      <c r="ZG26" s="2">
        <f>1+1</f>
        <v>2</v>
      </c>
      <c r="ZH26" s="2">
        <f>308+12</f>
        <v>320</v>
      </c>
      <c r="ZI26" s="2">
        <v>1</v>
      </c>
      <c r="ZJ26" s="2">
        <f>154+308+231</f>
        <v>693</v>
      </c>
      <c r="ZK26" s="2">
        <v>1</v>
      </c>
      <c r="ZL26" s="2">
        <f>1+1</f>
        <v>2</v>
      </c>
      <c r="ZM26" s="2">
        <v>1</v>
      </c>
      <c r="ZN26" s="2">
        <v>1</v>
      </c>
      <c r="ZO26" s="2">
        <v>1</v>
      </c>
      <c r="ZP26" s="2"/>
      <c r="ZQ26" s="2">
        <v>308</v>
      </c>
      <c r="ZR26" s="2">
        <v>1</v>
      </c>
      <c r="ZS26" s="2">
        <v>15</v>
      </c>
      <c r="ZT26" s="2"/>
      <c r="ZU26" s="2">
        <v>154</v>
      </c>
      <c r="ZV26" s="2"/>
      <c r="ZW26" s="2">
        <f>385+154</f>
        <v>539</v>
      </c>
      <c r="ZX26" s="2">
        <v>34</v>
      </c>
      <c r="ZY26" s="2">
        <f>1+1</f>
        <v>2</v>
      </c>
      <c r="ZZ26" s="2">
        <f>77+1+1+462</f>
        <v>541</v>
      </c>
      <c r="AAA26" s="2">
        <v>154</v>
      </c>
      <c r="AAB26" s="2">
        <v>231</v>
      </c>
      <c r="AAC26" s="2"/>
      <c r="AAD26" s="2">
        <v>308</v>
      </c>
      <c r="AAE26" s="2"/>
      <c r="AAF26" s="2"/>
      <c r="AAG26" s="2"/>
      <c r="AAH26" s="2">
        <v>1</v>
      </c>
      <c r="AAI26" s="2">
        <f>26+154</f>
        <v>180</v>
      </c>
      <c r="AAJ26" s="2"/>
      <c r="AAK26" s="2">
        <v>1</v>
      </c>
      <c r="AAL26" s="2"/>
      <c r="AAM26" s="2">
        <f>1+1+1</f>
        <v>3</v>
      </c>
      <c r="AAN26" s="2">
        <f>1+1+1</f>
        <v>3</v>
      </c>
      <c r="AAO26" s="2">
        <v>1</v>
      </c>
      <c r="AAP26" s="2">
        <f>154+154+154+462</f>
        <v>924</v>
      </c>
      <c r="AAQ26" s="2">
        <f>231+154+154</f>
        <v>539</v>
      </c>
      <c r="AAR26" s="2"/>
      <c r="AAS26" s="2">
        <f>1+616</f>
        <v>617</v>
      </c>
      <c r="AAT26" s="2">
        <f>308+616+1</f>
        <v>925</v>
      </c>
      <c r="AAU26" s="2">
        <f>12+385+308+1</f>
        <v>706</v>
      </c>
      <c r="AAV26" s="2">
        <f>77+1</f>
        <v>78</v>
      </c>
      <c r="AAW26" s="2"/>
      <c r="AAX26" s="2"/>
      <c r="AAY26" s="2">
        <v>308</v>
      </c>
      <c r="AAZ26" s="2">
        <f>385+231+1+1</f>
        <v>618</v>
      </c>
      <c r="ABA26" s="2">
        <v>462</v>
      </c>
      <c r="ABB26" s="2"/>
      <c r="ABC26" s="2">
        <v>77</v>
      </c>
      <c r="ABD26" s="2"/>
      <c r="ABE26" s="2">
        <v>14</v>
      </c>
      <c r="ABF26" s="2"/>
      <c r="ABG26" s="2">
        <f>1+1+1+1</f>
        <v>4</v>
      </c>
      <c r="ABH26" s="2">
        <f>1+12+231</f>
        <v>244</v>
      </c>
      <c r="ABI26" s="2">
        <f>231+1</f>
        <v>232</v>
      </c>
      <c r="ABJ26" s="2">
        <f>308+231</f>
        <v>539</v>
      </c>
      <c r="ABK26" s="2">
        <f>1+385</f>
        <v>386</v>
      </c>
      <c r="ABL26" s="2">
        <f>385+462</f>
        <v>847</v>
      </c>
      <c r="ABM26" s="2"/>
      <c r="ABN26" s="2">
        <f>308+154+30</f>
        <v>492</v>
      </c>
      <c r="ABO26" s="2">
        <v>308</v>
      </c>
      <c r="ABP26" s="2"/>
      <c r="ABQ26" s="2"/>
      <c r="ABR26" s="2">
        <v>539</v>
      </c>
      <c r="ABS26" s="2">
        <f>1+6</f>
        <v>7</v>
      </c>
      <c r="ABT26" s="2"/>
      <c r="ABU26" s="2"/>
      <c r="ABV26" s="2"/>
      <c r="ABW26" s="2"/>
      <c r="ABX26" s="2"/>
      <c r="ABY26" s="2"/>
      <c r="ABZ26" s="2">
        <f>1+1</f>
        <v>2</v>
      </c>
      <c r="ACA26" s="2">
        <v>1</v>
      </c>
      <c r="ACB26" s="2"/>
      <c r="ACC26" s="2">
        <f>3+1</f>
        <v>4</v>
      </c>
      <c r="ACD26" s="2"/>
      <c r="ACE26" s="2"/>
      <c r="ACF26" s="2"/>
      <c r="ACG26" s="2"/>
      <c r="ACH26" s="2"/>
      <c r="ACI26" s="2"/>
      <c r="ACJ26" s="2">
        <v>1</v>
      </c>
      <c r="ACK26" s="2"/>
      <c r="ACL26" s="2"/>
      <c r="ACM26" s="2"/>
      <c r="ACN26" s="2"/>
      <c r="ACO26" s="2"/>
      <c r="ACP26" s="2"/>
      <c r="ACQ26" s="2"/>
      <c r="ACR26" s="2">
        <v>1</v>
      </c>
      <c r="ACS26" s="2"/>
      <c r="ACT26" s="2"/>
      <c r="ACU26" s="2"/>
      <c r="ACV26" s="2"/>
      <c r="ACW26" s="2"/>
      <c r="ACX26" s="2"/>
      <c r="ACY26" s="2"/>
      <c r="ACZ26" s="2"/>
      <c r="ADA26" s="2"/>
      <c r="ADB26" s="2"/>
      <c r="ADC26" s="2"/>
      <c r="ADD26" s="2"/>
      <c r="ADE26" s="2"/>
      <c r="ADF26" s="2"/>
      <c r="ADG26" s="2"/>
      <c r="ADH26" s="2"/>
      <c r="ADI26" s="2"/>
      <c r="ADJ26" s="2"/>
      <c r="ADK26" s="2"/>
      <c r="ADL26" s="2"/>
      <c r="ADM26" s="2"/>
      <c r="ADN26" s="2"/>
      <c r="ADO26" s="2"/>
      <c r="ADP26" s="2"/>
      <c r="ADQ26" s="2"/>
      <c r="ADR26" s="2"/>
      <c r="ADS26" s="2"/>
      <c r="ADT26" s="2"/>
      <c r="ADU26" s="2"/>
      <c r="ADV26" s="2"/>
      <c r="ADW26" s="2"/>
      <c r="ADX26" s="2"/>
      <c r="ADY26" s="2"/>
      <c r="ADZ26" s="2"/>
      <c r="AEA26" s="2"/>
      <c r="AEB26" s="2"/>
      <c r="AEC26" s="2"/>
      <c r="AED26" s="2"/>
      <c r="AEE26" s="2"/>
      <c r="AEF26" s="2"/>
      <c r="AEG26" s="2"/>
      <c r="AEH26" s="2"/>
      <c r="AEI26" s="2"/>
      <c r="AEJ26" s="2"/>
      <c r="AEK26" s="2"/>
      <c r="AEL26" s="2"/>
      <c r="AEM26" s="2"/>
      <c r="AEN26" s="2"/>
      <c r="AEO26" s="2"/>
      <c r="AEP26" s="2"/>
      <c r="AEQ26" s="2"/>
      <c r="AER26" s="2"/>
      <c r="AES26" s="2"/>
      <c r="AET26" s="2"/>
      <c r="AEU26" s="2"/>
      <c r="AEV26" s="2"/>
      <c r="AEW26" s="2"/>
      <c r="AEX26" s="2"/>
      <c r="AEY26" s="2"/>
      <c r="AEZ26" s="2"/>
      <c r="AFA26" s="2"/>
      <c r="AFB26" s="2"/>
      <c r="AFC26" s="2"/>
      <c r="AFD26" s="2"/>
      <c r="AFE26" s="2"/>
      <c r="AFF26" s="2"/>
      <c r="AFG26" s="2"/>
      <c r="AFH26" s="2"/>
      <c r="AFI26" s="2"/>
      <c r="AFJ26" s="2"/>
      <c r="AFK26" s="2"/>
      <c r="AFL26" s="2">
        <f t="shared" si="0"/>
        <v>160623</v>
      </c>
    </row>
    <row r="27" spans="1:844" s="11" customFormat="1" x14ac:dyDescent="0.3">
      <c r="B27" s="35">
        <v>550045901</v>
      </c>
      <c r="C27" s="20" t="s">
        <v>929</v>
      </c>
      <c r="D27" s="35" t="s">
        <v>2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  <c r="AAA27" s="2"/>
      <c r="AAB27" s="2"/>
      <c r="AAC27" s="2"/>
      <c r="AAD27" s="2"/>
      <c r="AAE27" s="2"/>
      <c r="AAF27" s="2"/>
      <c r="AAG27" s="2"/>
      <c r="AAH27" s="2"/>
      <c r="AAI27" s="2"/>
      <c r="AAJ27" s="2"/>
      <c r="AAK27" s="2"/>
      <c r="AAL27" s="2"/>
      <c r="AAM27" s="2"/>
      <c r="AAN27" s="2"/>
      <c r="AAO27" s="2"/>
      <c r="AAP27" s="2"/>
      <c r="AAQ27" s="2"/>
      <c r="AAR27" s="2"/>
      <c r="AAS27" s="2"/>
      <c r="AAT27" s="2"/>
      <c r="AAU27" s="2"/>
      <c r="AAV27" s="2"/>
      <c r="AAW27" s="2"/>
      <c r="AAX27" s="2"/>
      <c r="AAY27" s="2"/>
      <c r="AAZ27" s="2"/>
      <c r="ABA27" s="2"/>
      <c r="ABB27" s="2"/>
      <c r="ABC27" s="2"/>
      <c r="ABD27" s="2"/>
      <c r="ABE27" s="2"/>
      <c r="ABF27" s="2"/>
      <c r="ABG27" s="2"/>
      <c r="ABH27" s="2">
        <v>2</v>
      </c>
      <c r="ABI27" s="2"/>
      <c r="ABJ27" s="2"/>
      <c r="ABK27" s="2"/>
      <c r="ABL27" s="2"/>
      <c r="ABM27" s="2"/>
      <c r="ABN27" s="2"/>
      <c r="ABO27" s="2"/>
      <c r="ABP27" s="2"/>
      <c r="ABQ27" s="2"/>
      <c r="ABR27" s="2"/>
      <c r="ABS27" s="2"/>
      <c r="ABT27" s="2">
        <f>525+1</f>
        <v>526</v>
      </c>
      <c r="ABU27" s="2">
        <v>30</v>
      </c>
      <c r="ABV27" s="2"/>
      <c r="ABW27" s="2"/>
      <c r="ABX27" s="2"/>
      <c r="ABY27" s="2"/>
      <c r="ABZ27" s="2">
        <f>175+525</f>
        <v>700</v>
      </c>
      <c r="ACA27" s="2">
        <f>875+875+175+875</f>
        <v>2800</v>
      </c>
      <c r="ACB27" s="2">
        <v>875</v>
      </c>
      <c r="ACC27" s="2">
        <v>525</v>
      </c>
      <c r="ACD27" s="2"/>
      <c r="ACE27" s="2">
        <f>175+700+525</f>
        <v>1400</v>
      </c>
      <c r="ACF27" s="2">
        <v>525</v>
      </c>
      <c r="ACG27" s="2"/>
      <c r="ACH27" s="2">
        <f>175+175</f>
        <v>350</v>
      </c>
      <c r="ACI27" s="2">
        <f>1400+31</f>
        <v>1431</v>
      </c>
      <c r="ACJ27" s="2">
        <f>525+350</f>
        <v>875</v>
      </c>
      <c r="ACK27" s="2">
        <f>525+350</f>
        <v>875</v>
      </c>
      <c r="ACL27" s="2">
        <v>175</v>
      </c>
      <c r="ACM27" s="2">
        <v>85</v>
      </c>
      <c r="ACN27" s="2"/>
      <c r="ACO27" s="2"/>
      <c r="ACP27" s="2"/>
      <c r="ACQ27" s="2">
        <f>525+350</f>
        <v>875</v>
      </c>
      <c r="ACR27" s="2">
        <v>175</v>
      </c>
      <c r="ACS27" s="2">
        <v>175</v>
      </c>
      <c r="ACT27" s="2">
        <v>56</v>
      </c>
      <c r="ACU27" s="2">
        <v>525</v>
      </c>
      <c r="ACV27" s="2">
        <f>1+2</f>
        <v>3</v>
      </c>
      <c r="ACW27" s="2">
        <f>2+700</f>
        <v>702</v>
      </c>
      <c r="ACX27" s="2">
        <f>525+1+1</f>
        <v>527</v>
      </c>
      <c r="ACY27" s="2">
        <f>1+700</f>
        <v>701</v>
      </c>
      <c r="ACZ27" s="2">
        <f>525+1+875</f>
        <v>1401</v>
      </c>
      <c r="ADA27" s="2">
        <v>175</v>
      </c>
      <c r="ADB27" s="2"/>
      <c r="ADC27" s="2">
        <f>33+175</f>
        <v>208</v>
      </c>
      <c r="ADD27" s="2">
        <f>175+525+350</f>
        <v>1050</v>
      </c>
      <c r="ADE27" s="2">
        <v>2</v>
      </c>
      <c r="ADF27" s="2">
        <f>350+175+350</f>
        <v>875</v>
      </c>
      <c r="ADG27" s="2">
        <f>175+700+525+525</f>
        <v>1925</v>
      </c>
      <c r="ADH27" s="2"/>
      <c r="ADI27" s="2">
        <v>2</v>
      </c>
      <c r="ADJ27" s="2"/>
      <c r="ADK27" s="2">
        <f>525+875+350+525</f>
        <v>2275</v>
      </c>
      <c r="ADL27" s="2"/>
      <c r="ADM27" s="2">
        <f>525+2</f>
        <v>527</v>
      </c>
      <c r="ADN27" s="2"/>
      <c r="ADO27" s="2">
        <f>875+1</f>
        <v>876</v>
      </c>
      <c r="ADP27" s="2">
        <f>76+350</f>
        <v>426</v>
      </c>
      <c r="ADQ27" s="2">
        <v>1</v>
      </c>
      <c r="ADR27" s="2">
        <v>1</v>
      </c>
      <c r="ADS27" s="2">
        <f>1+350+525</f>
        <v>876</v>
      </c>
      <c r="ADT27" s="2">
        <f>350+875</f>
        <v>1225</v>
      </c>
      <c r="ADU27" s="2">
        <f>2+350+175</f>
        <v>527</v>
      </c>
      <c r="ADV27" s="2">
        <v>42</v>
      </c>
      <c r="ADW27" s="2">
        <f>1+2+1+350</f>
        <v>354</v>
      </c>
      <c r="ADX27" s="2">
        <f>350+625</f>
        <v>975</v>
      </c>
      <c r="ADY27" s="2">
        <f>350+1050</f>
        <v>1400</v>
      </c>
      <c r="ADZ27" s="2">
        <v>3</v>
      </c>
      <c r="AEA27" s="2">
        <v>700</v>
      </c>
      <c r="AEB27" s="2"/>
      <c r="AEC27" s="2"/>
      <c r="AED27" s="2">
        <f>175+175+2+2+1+1</f>
        <v>356</v>
      </c>
      <c r="AEE27" s="2">
        <f>2+59</f>
        <v>61</v>
      </c>
      <c r="AEF27" s="2">
        <f>2+1+2+350</f>
        <v>355</v>
      </c>
      <c r="AEG27" s="2">
        <f>700+525</f>
        <v>1225</v>
      </c>
      <c r="AEH27" s="2">
        <f>2+175</f>
        <v>177</v>
      </c>
      <c r="AEI27" s="2">
        <f>350+175</f>
        <v>525</v>
      </c>
      <c r="AEJ27" s="2"/>
      <c r="AEK27" s="2">
        <v>175</v>
      </c>
      <c r="AEL27" s="2">
        <f>2+1</f>
        <v>3</v>
      </c>
      <c r="AEM27" s="2">
        <v>2</v>
      </c>
      <c r="AEN27" s="2"/>
      <c r="AEO27" s="2">
        <v>58</v>
      </c>
      <c r="AEP27" s="2">
        <f>350+2</f>
        <v>352</v>
      </c>
      <c r="AEQ27" s="2">
        <f>175+350+350</f>
        <v>875</v>
      </c>
      <c r="AER27" s="2"/>
      <c r="AES27" s="2">
        <f>175+350</f>
        <v>525</v>
      </c>
      <c r="AET27" s="2"/>
      <c r="AEU27" s="2"/>
      <c r="AEV27" s="2">
        <v>350</v>
      </c>
      <c r="AEW27" s="2">
        <f>350+53</f>
        <v>403</v>
      </c>
      <c r="AEX27" s="2">
        <f>2+1+1</f>
        <v>4</v>
      </c>
      <c r="AEY27" s="2">
        <f>2+1</f>
        <v>3</v>
      </c>
      <c r="AEZ27" s="2">
        <v>1</v>
      </c>
      <c r="AFA27" s="2">
        <f>525+1+1+2</f>
        <v>529</v>
      </c>
      <c r="AFB27" s="2">
        <v>2</v>
      </c>
      <c r="AFC27" s="2"/>
      <c r="AFD27" s="2">
        <f>1+1+1</f>
        <v>3</v>
      </c>
      <c r="AFE27" s="2">
        <f>350+350</f>
        <v>700</v>
      </c>
      <c r="AFF27" s="2"/>
      <c r="AFG27" s="2"/>
      <c r="AFH27" s="2"/>
      <c r="AFI27" s="2"/>
      <c r="AFJ27" s="2"/>
      <c r="AFK27" s="2"/>
      <c r="AFL27" s="2">
        <f t="shared" si="0"/>
        <v>37443</v>
      </c>
    </row>
    <row r="28" spans="1:844" s="11" customFormat="1" x14ac:dyDescent="0.3">
      <c r="B28" s="91">
        <v>43509809</v>
      </c>
      <c r="C28" s="13" t="s">
        <v>83</v>
      </c>
      <c r="D28" s="35">
        <v>209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>
        <v>16</v>
      </c>
      <c r="AK28" s="2">
        <v>16</v>
      </c>
      <c r="AL28" s="2"/>
      <c r="AM28" s="2">
        <f>16+16+16</f>
        <v>48</v>
      </c>
      <c r="AN28" s="2">
        <v>16</v>
      </c>
      <c r="AO28" s="2"/>
      <c r="AP28" s="2">
        <v>16</v>
      </c>
      <c r="AQ28" s="2"/>
      <c r="AR28" s="2"/>
      <c r="AS28" s="2"/>
      <c r="AT28" s="2"/>
      <c r="AU28" s="2">
        <f>8+8</f>
        <v>16</v>
      </c>
      <c r="AV28" s="2">
        <v>8</v>
      </c>
      <c r="AW28" s="2"/>
      <c r="AX28" s="2"/>
      <c r="AY28" s="2">
        <v>8</v>
      </c>
      <c r="AZ28" s="2"/>
      <c r="BA28" s="2">
        <v>8</v>
      </c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>
        <v>2</v>
      </c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>
        <v>1</v>
      </c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>
        <v>3</v>
      </c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>
        <v>8</v>
      </c>
      <c r="FH28" s="2"/>
      <c r="FI28" s="2"/>
      <c r="FJ28" s="2"/>
      <c r="FK28" s="2"/>
      <c r="FL28" s="2"/>
      <c r="FM28" s="2">
        <v>4</v>
      </c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>
        <v>8</v>
      </c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>
        <v>1</v>
      </c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>
        <v>16</v>
      </c>
      <c r="ME28" s="2"/>
      <c r="MF28" s="2">
        <f>8+28</f>
        <v>36</v>
      </c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>
        <v>1</v>
      </c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>
        <v>4</v>
      </c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>
        <v>16</v>
      </c>
      <c r="OF28" s="2"/>
      <c r="OG28" s="2"/>
      <c r="OH28" s="2">
        <v>4</v>
      </c>
      <c r="OI28" s="2">
        <v>6</v>
      </c>
      <c r="OJ28" s="2">
        <f>8+8</f>
        <v>16</v>
      </c>
      <c r="OK28" s="2"/>
      <c r="OL28" s="2"/>
      <c r="OM28" s="2"/>
      <c r="ON28" s="2"/>
      <c r="OO28" s="2"/>
      <c r="OP28" s="2"/>
      <c r="OQ28" s="2">
        <f>4+4</f>
        <v>8</v>
      </c>
      <c r="OR28" s="2"/>
      <c r="OS28" s="2"/>
      <c r="OT28" s="2">
        <v>4</v>
      </c>
      <c r="OU28" s="2">
        <v>4</v>
      </c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>
        <v>12</v>
      </c>
      <c r="QC28" s="2">
        <f>8</f>
        <v>8</v>
      </c>
      <c r="QD28" s="2"/>
      <c r="QE28" s="2">
        <v>8</v>
      </c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>
        <f>2</f>
        <v>2</v>
      </c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>
        <f>4</f>
        <v>4</v>
      </c>
      <c r="SI28" s="2">
        <f>4</f>
        <v>4</v>
      </c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>
        <f>8</f>
        <v>8</v>
      </c>
      <c r="SZ28" s="2"/>
      <c r="TA28" s="2"/>
      <c r="TB28" s="2">
        <v>8</v>
      </c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>
        <v>3</v>
      </c>
      <c r="TU28" s="2"/>
      <c r="TV28" s="2">
        <v>16</v>
      </c>
      <c r="TW28" s="2"/>
      <c r="TX28" s="2"/>
      <c r="TY28" s="2"/>
      <c r="TZ28" s="2"/>
      <c r="UA28" s="2"/>
      <c r="UB28" s="2">
        <v>16</v>
      </c>
      <c r="UC28" s="2"/>
      <c r="UD28" s="2"/>
      <c r="UE28" s="2"/>
      <c r="UF28" s="2"/>
      <c r="UG28" s="2"/>
      <c r="UH28" s="2"/>
      <c r="UI28" s="2"/>
      <c r="UJ28" s="2"/>
      <c r="UK28" s="2">
        <v>4</v>
      </c>
      <c r="UL28" s="2"/>
      <c r="UM28" s="2"/>
      <c r="UN28" s="2"/>
      <c r="UO28" s="2"/>
      <c r="UP28" s="2"/>
      <c r="UQ28" s="2"/>
      <c r="UR28" s="2"/>
      <c r="US28" s="2"/>
      <c r="UT28" s="2"/>
      <c r="UU28" s="2">
        <f>-4+8</f>
        <v>4</v>
      </c>
      <c r="UV28" s="2"/>
      <c r="UW28" s="2"/>
      <c r="UX28" s="2"/>
      <c r="UY28" s="2">
        <v>4</v>
      </c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>
        <v>32</v>
      </c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>
        <v>8</v>
      </c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>
        <v>2</v>
      </c>
      <c r="YM28" s="2">
        <v>2</v>
      </c>
      <c r="YN28" s="2"/>
      <c r="YO28" s="2"/>
      <c r="YP28" s="2"/>
      <c r="YQ28" s="2"/>
      <c r="YR28" s="2"/>
      <c r="YS28" s="2"/>
      <c r="YT28" s="2"/>
      <c r="YU28" s="2"/>
      <c r="YV28" s="2">
        <v>1</v>
      </c>
      <c r="YW28" s="2"/>
      <c r="YX28" s="2"/>
      <c r="YY28" s="2"/>
      <c r="YZ28" s="2"/>
      <c r="ZA28" s="2">
        <v>4</v>
      </c>
      <c r="ZB28" s="2">
        <v>8</v>
      </c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  <c r="AAA28" s="2"/>
      <c r="AAB28" s="2"/>
      <c r="AAC28" s="2"/>
      <c r="AAD28" s="2"/>
      <c r="AAE28" s="2"/>
      <c r="AAF28" s="2"/>
      <c r="AAG28" s="2"/>
      <c r="AAH28" s="2"/>
      <c r="AAI28" s="2"/>
      <c r="AAJ28" s="2"/>
      <c r="AAK28" s="2"/>
      <c r="AAL28" s="2"/>
      <c r="AAM28" s="2"/>
      <c r="AAN28" s="2"/>
      <c r="AAO28" s="2"/>
      <c r="AAP28" s="2"/>
      <c r="AAQ28" s="2"/>
      <c r="AAR28" s="2"/>
      <c r="AAS28" s="2"/>
      <c r="AAT28" s="2"/>
      <c r="AAU28" s="2"/>
      <c r="AAV28" s="2"/>
      <c r="AAW28" s="2"/>
      <c r="AAX28" s="2"/>
      <c r="AAY28" s="2"/>
      <c r="AAZ28" s="2"/>
      <c r="ABA28" s="2"/>
      <c r="ABB28" s="2"/>
      <c r="ABC28" s="2"/>
      <c r="ABD28" s="2"/>
      <c r="ABE28" s="2"/>
      <c r="ABF28" s="2"/>
      <c r="ABG28" s="2"/>
      <c r="ABH28" s="2"/>
      <c r="ABI28" s="2"/>
      <c r="ABJ28" s="2"/>
      <c r="ABK28" s="2"/>
      <c r="ABL28" s="2"/>
      <c r="ABM28" s="2"/>
      <c r="ABN28" s="2"/>
      <c r="ABO28" s="2"/>
      <c r="ABP28" s="2"/>
      <c r="ABQ28" s="2"/>
      <c r="ABR28" s="2"/>
      <c r="ABS28" s="2"/>
      <c r="ABT28" s="2"/>
      <c r="ABU28" s="2"/>
      <c r="ABV28" s="2"/>
      <c r="ABW28" s="2"/>
      <c r="ABX28" s="2"/>
      <c r="ABY28" s="2"/>
      <c r="ABZ28" s="2"/>
      <c r="ACA28" s="2"/>
      <c r="ACB28" s="2"/>
      <c r="ACC28" s="2"/>
      <c r="ACD28" s="2"/>
      <c r="ACE28" s="2"/>
      <c r="ACF28" s="2"/>
      <c r="ACG28" s="2"/>
      <c r="ACH28" s="2"/>
      <c r="ACI28" s="2"/>
      <c r="ACJ28" s="2"/>
      <c r="ACK28" s="2"/>
      <c r="ACL28" s="2"/>
      <c r="ACM28" s="2"/>
      <c r="ACN28" s="2"/>
      <c r="ACO28" s="2"/>
      <c r="ACP28" s="2"/>
      <c r="ACQ28" s="2"/>
      <c r="ACR28" s="2">
        <v>4</v>
      </c>
      <c r="ACS28" s="2"/>
      <c r="ACT28" s="2"/>
      <c r="ACU28" s="2"/>
      <c r="ACV28" s="2"/>
      <c r="ACW28" s="2"/>
      <c r="ACX28" s="2"/>
      <c r="ACY28" s="2"/>
      <c r="ACZ28" s="2"/>
      <c r="ADA28" s="2"/>
      <c r="ADB28" s="2"/>
      <c r="ADC28" s="2"/>
      <c r="ADD28" s="2"/>
      <c r="ADE28" s="2"/>
      <c r="ADF28" s="2">
        <v>4</v>
      </c>
      <c r="ADG28" s="2"/>
      <c r="ADH28" s="2"/>
      <c r="ADI28" s="2"/>
      <c r="ADJ28" s="2"/>
      <c r="ADK28" s="2"/>
      <c r="ADL28" s="2"/>
      <c r="ADM28" s="2"/>
      <c r="ADN28" s="2"/>
      <c r="ADO28" s="2"/>
      <c r="ADP28" s="2"/>
      <c r="ADQ28" s="2"/>
      <c r="ADR28" s="2"/>
      <c r="ADS28" s="2"/>
      <c r="ADT28" s="2"/>
      <c r="ADU28" s="2"/>
      <c r="ADV28" s="2"/>
      <c r="ADW28" s="2"/>
      <c r="ADX28" s="2"/>
      <c r="ADY28" s="2">
        <v>4</v>
      </c>
      <c r="ADZ28" s="2"/>
      <c r="AEA28" s="2"/>
      <c r="AEB28" s="2">
        <v>36</v>
      </c>
      <c r="AEC28" s="2"/>
      <c r="AED28" s="2"/>
      <c r="AEE28" s="2"/>
      <c r="AEF28" s="2"/>
      <c r="AEG28" s="2"/>
      <c r="AEH28" s="2"/>
      <c r="AEI28" s="2">
        <v>4</v>
      </c>
      <c r="AEJ28" s="2"/>
      <c r="AEK28" s="2"/>
      <c r="AEL28" s="2"/>
      <c r="AEM28" s="2"/>
      <c r="AEN28" s="2"/>
      <c r="AEO28" s="2"/>
      <c r="AEP28" s="2">
        <v>4</v>
      </c>
      <c r="AEQ28" s="2"/>
      <c r="AER28" s="2"/>
      <c r="AES28" s="2"/>
      <c r="AET28" s="2"/>
      <c r="AEU28" s="2"/>
      <c r="AEV28" s="2"/>
      <c r="AEW28" s="2"/>
      <c r="AEX28" s="2"/>
      <c r="AEY28" s="2"/>
      <c r="AEZ28" s="2"/>
      <c r="AFA28" s="2"/>
      <c r="AFB28" s="2"/>
      <c r="AFC28" s="2"/>
      <c r="AFD28" s="2"/>
      <c r="AFE28" s="2"/>
      <c r="AFF28" s="2"/>
      <c r="AFG28" s="2"/>
      <c r="AFH28" s="2"/>
      <c r="AFI28" s="2"/>
      <c r="AFJ28" s="2"/>
      <c r="AFK28" s="2"/>
      <c r="AFL28" s="2">
        <f t="shared" si="0"/>
        <v>508</v>
      </c>
    </row>
    <row r="29" spans="1:844" s="11" customFormat="1" ht="15.6" customHeight="1" x14ac:dyDescent="0.3">
      <c r="B29" s="91">
        <v>550053426</v>
      </c>
      <c r="C29" s="52" t="s">
        <v>85</v>
      </c>
      <c r="D29" s="35">
        <v>209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>
        <v>8</v>
      </c>
      <c r="BT29" s="2"/>
      <c r="BU29" s="2"/>
      <c r="BV29" s="2"/>
      <c r="BW29" s="2">
        <v>8</v>
      </c>
      <c r="BX29" s="2"/>
      <c r="BY29" s="2">
        <f>2+8</f>
        <v>10</v>
      </c>
      <c r="BZ29" s="2"/>
      <c r="CA29" s="2"/>
      <c r="CB29" s="2"/>
      <c r="CC29" s="2">
        <v>8</v>
      </c>
      <c r="CD29" s="2">
        <v>3</v>
      </c>
      <c r="CE29" s="2"/>
      <c r="CF29" s="2"/>
      <c r="CG29" s="2"/>
      <c r="CH29" s="2"/>
      <c r="CI29" s="2"/>
      <c r="CJ29" s="2"/>
      <c r="CK29" s="2">
        <v>8</v>
      </c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>
        <v>8</v>
      </c>
      <c r="DB29" s="2"/>
      <c r="DC29" s="2"/>
      <c r="DD29" s="2"/>
      <c r="DE29" s="2"/>
      <c r="DF29" s="2"/>
      <c r="DG29" s="2"/>
      <c r="DH29" s="2"/>
      <c r="DI29" s="2"/>
      <c r="DJ29" s="2">
        <v>2</v>
      </c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>
        <v>8</v>
      </c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>
        <v>8</v>
      </c>
      <c r="HH29" s="2"/>
      <c r="HI29" s="2"/>
      <c r="HJ29" s="2"/>
      <c r="HK29" s="2"/>
      <c r="HL29" s="2"/>
      <c r="HM29" s="2"/>
      <c r="HN29" s="2"/>
      <c r="HO29" s="2"/>
      <c r="HP29" s="2">
        <v>4</v>
      </c>
      <c r="HQ29" s="2"/>
      <c r="HR29" s="2">
        <v>4</v>
      </c>
      <c r="HS29" s="2"/>
      <c r="HT29" s="2"/>
      <c r="HU29" s="2">
        <v>4</v>
      </c>
      <c r="HV29" s="2"/>
      <c r="HW29" s="2"/>
      <c r="HX29" s="2"/>
      <c r="HY29" s="2"/>
      <c r="HZ29" s="2">
        <v>2</v>
      </c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>
        <f>8+6</f>
        <v>14</v>
      </c>
      <c r="KU29" s="2"/>
      <c r="KV29" s="2"/>
      <c r="KW29" s="2"/>
      <c r="KX29" s="2"/>
      <c r="KY29" s="2"/>
      <c r="KZ29" s="2">
        <v>8</v>
      </c>
      <c r="LA29" s="2"/>
      <c r="LB29" s="2"/>
      <c r="LC29" s="2">
        <f>4+4</f>
        <v>8</v>
      </c>
      <c r="LD29" s="2"/>
      <c r="LE29" s="2"/>
      <c r="LF29" s="2"/>
      <c r="LG29" s="2"/>
      <c r="LH29" s="2"/>
      <c r="LI29" s="2">
        <v>8</v>
      </c>
      <c r="LJ29" s="2"/>
      <c r="LK29" s="2"/>
      <c r="LL29" s="2"/>
      <c r="LM29" s="2">
        <v>32</v>
      </c>
      <c r="LN29" s="2">
        <f>32+3+48</f>
        <v>83</v>
      </c>
      <c r="LO29" s="2">
        <v>4</v>
      </c>
      <c r="LP29" s="2"/>
      <c r="LQ29" s="2"/>
      <c r="LR29" s="2"/>
      <c r="LS29" s="2">
        <f>8+8</f>
        <v>16</v>
      </c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>
        <v>8</v>
      </c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>
        <v>3</v>
      </c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>
        <v>8</v>
      </c>
      <c r="NO29" s="2">
        <v>4</v>
      </c>
      <c r="NP29" s="2"/>
      <c r="NQ29" s="2"/>
      <c r="NR29" s="2"/>
      <c r="NS29" s="2"/>
      <c r="NT29" s="2"/>
      <c r="NU29" s="2">
        <v>8</v>
      </c>
      <c r="NV29" s="2"/>
      <c r="NW29" s="2">
        <v>8</v>
      </c>
      <c r="NX29" s="2"/>
      <c r="NY29" s="2"/>
      <c r="NZ29" s="2">
        <v>16</v>
      </c>
      <c r="OA29" s="2">
        <v>16</v>
      </c>
      <c r="OB29" s="2">
        <v>16</v>
      </c>
      <c r="OC29" s="2"/>
      <c r="OD29" s="2"/>
      <c r="OE29" s="2">
        <v>16</v>
      </c>
      <c r="OF29" s="2"/>
      <c r="OG29" s="2"/>
      <c r="OH29" s="2">
        <v>4</v>
      </c>
      <c r="OI29" s="2"/>
      <c r="OJ29" s="2">
        <v>4</v>
      </c>
      <c r="OK29" s="2"/>
      <c r="OL29" s="2"/>
      <c r="OM29" s="2"/>
      <c r="ON29" s="2"/>
      <c r="OO29" s="2"/>
      <c r="OP29" s="2"/>
      <c r="OQ29" s="2">
        <f>4+4</f>
        <v>8</v>
      </c>
      <c r="OR29" s="2"/>
      <c r="OS29" s="2"/>
      <c r="OT29" s="2">
        <v>4</v>
      </c>
      <c r="OU29" s="2">
        <v>4</v>
      </c>
      <c r="OV29" s="2"/>
      <c r="OW29" s="2"/>
      <c r="OX29" s="2"/>
      <c r="OY29" s="2"/>
      <c r="OZ29" s="2">
        <v>8</v>
      </c>
      <c r="PA29" s="2"/>
      <c r="PB29" s="2"/>
      <c r="PC29" s="2"/>
      <c r="PD29" s="2"/>
      <c r="PE29" s="2"/>
      <c r="PF29" s="2">
        <v>8</v>
      </c>
      <c r="PG29" s="2"/>
      <c r="PH29" s="2"/>
      <c r="PI29" s="2"/>
      <c r="PJ29" s="2">
        <v>8</v>
      </c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>
        <v>4</v>
      </c>
      <c r="QF29" s="2"/>
      <c r="QG29" s="2"/>
      <c r="QH29" s="2"/>
      <c r="QI29" s="2"/>
      <c r="QJ29" s="2"/>
      <c r="QK29" s="2"/>
      <c r="QL29" s="2"/>
      <c r="QM29" s="2"/>
      <c r="QN29" s="2">
        <v>4</v>
      </c>
      <c r="QO29" s="2"/>
      <c r="QP29" s="2">
        <f>6</f>
        <v>6</v>
      </c>
      <c r="QQ29" s="2"/>
      <c r="QR29" s="2"/>
      <c r="QS29" s="2"/>
      <c r="QT29" s="2"/>
      <c r="QU29" s="2"/>
      <c r="QV29" s="2"/>
      <c r="QW29" s="2">
        <f>4</f>
        <v>4</v>
      </c>
      <c r="QX29" s="2"/>
      <c r="QY29" s="2">
        <f>8</f>
        <v>8</v>
      </c>
      <c r="QZ29" s="2">
        <f>8</f>
        <v>8</v>
      </c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>
        <f>4</f>
        <v>4</v>
      </c>
      <c r="SJ29" s="2"/>
      <c r="SK29" s="2"/>
      <c r="SL29" s="2"/>
      <c r="SM29" s="2"/>
      <c r="SN29" s="2">
        <f>8</f>
        <v>8</v>
      </c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>
        <f>8</f>
        <v>8</v>
      </c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>
        <v>4</v>
      </c>
      <c r="TK29" s="2"/>
      <c r="TL29" s="2"/>
      <c r="TM29" s="2"/>
      <c r="TN29" s="2"/>
      <c r="TO29" s="2"/>
      <c r="TP29" s="2">
        <v>8</v>
      </c>
      <c r="TQ29" s="2"/>
      <c r="TR29" s="2"/>
      <c r="TS29" s="2"/>
      <c r="TT29" s="2">
        <v>4</v>
      </c>
      <c r="TU29" s="2"/>
      <c r="TV29" s="2">
        <v>8</v>
      </c>
      <c r="TW29" s="2"/>
      <c r="TX29" s="2">
        <v>8</v>
      </c>
      <c r="TY29" s="2"/>
      <c r="TZ29" s="2"/>
      <c r="UA29" s="2"/>
      <c r="UB29" s="2"/>
      <c r="UC29" s="2"/>
      <c r="UD29" s="2">
        <v>4</v>
      </c>
      <c r="UE29" s="2"/>
      <c r="UF29" s="2"/>
      <c r="UG29" s="2"/>
      <c r="UH29" s="2"/>
      <c r="UI29" s="2"/>
      <c r="UJ29" s="2"/>
      <c r="UK29" s="2">
        <v>4</v>
      </c>
      <c r="UL29" s="2">
        <v>8</v>
      </c>
      <c r="UM29" s="2"/>
      <c r="UN29" s="2">
        <f>8+8</f>
        <v>16</v>
      </c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>
        <v>8</v>
      </c>
      <c r="VL29" s="2"/>
      <c r="VM29" s="2"/>
      <c r="VN29" s="2">
        <v>4</v>
      </c>
      <c r="VO29" s="2"/>
      <c r="VP29" s="2"/>
      <c r="VQ29" s="2"/>
      <c r="VR29" s="2"/>
      <c r="VS29" s="2"/>
      <c r="VT29" s="2"/>
      <c r="VU29" s="2"/>
      <c r="VV29" s="2"/>
      <c r="VW29" s="2"/>
      <c r="VX29" s="2">
        <v>8</v>
      </c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>
        <v>4</v>
      </c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>
        <v>1</v>
      </c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  <c r="AAA29" s="2"/>
      <c r="AAB29" s="2"/>
      <c r="AAC29" s="2"/>
      <c r="AAD29" s="2"/>
      <c r="AAE29" s="2"/>
      <c r="AAF29" s="2"/>
      <c r="AAG29" s="2"/>
      <c r="AAH29" s="2"/>
      <c r="AAI29" s="2"/>
      <c r="AAJ29" s="2"/>
      <c r="AAK29" s="2"/>
      <c r="AAL29" s="2"/>
      <c r="AAM29" s="2"/>
      <c r="AAN29" s="2"/>
      <c r="AAO29" s="2"/>
      <c r="AAP29" s="2"/>
      <c r="AAQ29" s="2"/>
      <c r="AAR29" s="2"/>
      <c r="AAS29" s="2"/>
      <c r="AAT29" s="2"/>
      <c r="AAU29" s="2"/>
      <c r="AAV29" s="2"/>
      <c r="AAW29" s="2"/>
      <c r="AAX29" s="2"/>
      <c r="AAY29" s="2"/>
      <c r="AAZ29" s="2"/>
      <c r="ABA29" s="2"/>
      <c r="ABB29" s="2"/>
      <c r="ABC29" s="2"/>
      <c r="ABD29" s="2"/>
      <c r="ABE29" s="2"/>
      <c r="ABF29" s="2"/>
      <c r="ABG29" s="2"/>
      <c r="ABH29" s="2"/>
      <c r="ABI29" s="2"/>
      <c r="ABJ29" s="2"/>
      <c r="ABK29" s="2"/>
      <c r="ABL29" s="2"/>
      <c r="ABM29" s="2"/>
      <c r="ABN29" s="2"/>
      <c r="ABO29" s="2"/>
      <c r="ABP29" s="2"/>
      <c r="ABQ29" s="2"/>
      <c r="ABR29" s="2"/>
      <c r="ABS29" s="2"/>
      <c r="ABT29" s="2"/>
      <c r="ABU29" s="2"/>
      <c r="ABV29" s="2"/>
      <c r="ABW29" s="2"/>
      <c r="ABX29" s="2"/>
      <c r="ABY29" s="2"/>
      <c r="ABZ29" s="2"/>
      <c r="ACA29" s="2"/>
      <c r="ACB29" s="2"/>
      <c r="ACC29" s="2"/>
      <c r="ACD29" s="2">
        <v>8</v>
      </c>
      <c r="ACE29" s="2">
        <v>4</v>
      </c>
      <c r="ACF29" s="2">
        <v>16</v>
      </c>
      <c r="ACG29" s="2">
        <v>8</v>
      </c>
      <c r="ACH29" s="2"/>
      <c r="ACI29" s="2"/>
      <c r="ACJ29" s="2">
        <v>16</v>
      </c>
      <c r="ACK29" s="2"/>
      <c r="ACL29" s="2"/>
      <c r="ACM29" s="2"/>
      <c r="ACN29" s="2"/>
      <c r="ACO29" s="2"/>
      <c r="ACP29" s="2"/>
      <c r="ACQ29" s="2"/>
      <c r="ACR29" s="2">
        <v>4</v>
      </c>
      <c r="ACS29" s="2"/>
      <c r="ACT29" s="2"/>
      <c r="ACU29" s="2"/>
      <c r="ACV29" s="2"/>
      <c r="ACW29" s="2"/>
      <c r="ACX29" s="2"/>
      <c r="ACY29" s="2"/>
      <c r="ACZ29" s="2">
        <f>8+4</f>
        <v>12</v>
      </c>
      <c r="ADA29" s="2"/>
      <c r="ADB29" s="2"/>
      <c r="ADC29" s="2"/>
      <c r="ADD29" s="2">
        <v>4</v>
      </c>
      <c r="ADE29" s="2"/>
      <c r="ADF29" s="2"/>
      <c r="ADG29" s="2"/>
      <c r="ADH29" s="2"/>
      <c r="ADI29" s="2"/>
      <c r="ADJ29" s="2"/>
      <c r="ADK29" s="2"/>
      <c r="ADL29" s="2"/>
      <c r="ADM29" s="2"/>
      <c r="ADN29" s="2"/>
      <c r="ADO29" s="2"/>
      <c r="ADP29" s="2"/>
      <c r="ADQ29" s="2"/>
      <c r="ADR29" s="2"/>
      <c r="ADS29" s="2"/>
      <c r="ADT29" s="2"/>
      <c r="ADU29" s="2"/>
      <c r="ADV29" s="2"/>
      <c r="ADW29" s="2"/>
      <c r="ADX29" s="2"/>
      <c r="ADY29" s="2"/>
      <c r="ADZ29" s="2"/>
      <c r="AEA29" s="2"/>
      <c r="AEB29" s="2">
        <v>1</v>
      </c>
      <c r="AEC29" s="2"/>
      <c r="AED29" s="2"/>
      <c r="AEE29" s="2"/>
      <c r="AEF29" s="2">
        <v>4</v>
      </c>
      <c r="AEG29" s="2"/>
      <c r="AEH29" s="2"/>
      <c r="AEI29" s="2">
        <v>4</v>
      </c>
      <c r="AEJ29" s="2"/>
      <c r="AEK29" s="2"/>
      <c r="AEL29" s="2"/>
      <c r="AEM29" s="2"/>
      <c r="AEN29" s="2"/>
      <c r="AEO29" s="2"/>
      <c r="AEP29" s="2">
        <v>4</v>
      </c>
      <c r="AEQ29" s="2"/>
      <c r="AER29" s="2"/>
      <c r="AES29" s="2"/>
      <c r="AET29" s="2"/>
      <c r="AEU29" s="2"/>
      <c r="AEV29" s="2"/>
      <c r="AEW29" s="2"/>
      <c r="AEX29" s="2"/>
      <c r="AEY29" s="2"/>
      <c r="AEZ29" s="2"/>
      <c r="AFA29" s="2">
        <v>8</v>
      </c>
      <c r="AFB29" s="2"/>
      <c r="AFC29" s="2"/>
      <c r="AFD29" s="2"/>
      <c r="AFE29" s="2"/>
      <c r="AFF29" s="2"/>
      <c r="AFG29" s="2"/>
      <c r="AFH29" s="2"/>
      <c r="AFI29" s="2"/>
      <c r="AFJ29" s="2"/>
      <c r="AFK29" s="2"/>
      <c r="AFL29" s="2">
        <f t="shared" si="0"/>
        <v>645</v>
      </c>
    </row>
    <row r="30" spans="1:844" s="11" customFormat="1" ht="14.4" customHeight="1" x14ac:dyDescent="0.3">
      <c r="B30" s="91">
        <v>550045853</v>
      </c>
      <c r="C30" s="89" t="s">
        <v>87</v>
      </c>
      <c r="D30" s="35" t="s">
        <v>1</v>
      </c>
      <c r="E30" s="2"/>
      <c r="F30" s="2"/>
      <c r="G30" s="2"/>
      <c r="H30" s="2"/>
      <c r="I30" s="2"/>
      <c r="J30" s="2"/>
      <c r="K30" s="2"/>
      <c r="L30" s="2">
        <v>240</v>
      </c>
      <c r="M30" s="2">
        <f>80+160+80</f>
        <v>320</v>
      </c>
      <c r="N30" s="2">
        <v>80</v>
      </c>
      <c r="O30" s="2">
        <v>80</v>
      </c>
      <c r="P30" s="2">
        <v>80</v>
      </c>
      <c r="Q30" s="2">
        <v>80</v>
      </c>
      <c r="R30" s="2"/>
      <c r="S30" s="2">
        <v>240</v>
      </c>
      <c r="T30" s="2">
        <v>80</v>
      </c>
      <c r="U30" s="2">
        <v>80</v>
      </c>
      <c r="V30" s="2"/>
      <c r="W30" s="2">
        <v>240</v>
      </c>
      <c r="X30" s="2">
        <v>80</v>
      </c>
      <c r="Y30" s="2"/>
      <c r="Z30" s="2"/>
      <c r="AA30" s="2"/>
      <c r="AB30" s="2">
        <v>80</v>
      </c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>
        <f>1+1</f>
        <v>2</v>
      </c>
      <c r="AQ30" s="2"/>
      <c r="AR30" s="2"/>
      <c r="AS30" s="2"/>
      <c r="AT30" s="2"/>
      <c r="AU30" s="2">
        <f>160+240+160+160</f>
        <v>720</v>
      </c>
      <c r="AV30" s="2">
        <f>80+160+80</f>
        <v>320</v>
      </c>
      <c r="AW30" s="2">
        <f>80+160</f>
        <v>240</v>
      </c>
      <c r="AX30" s="2"/>
      <c r="AY30" s="2">
        <v>80</v>
      </c>
      <c r="AZ30" s="2">
        <v>80</v>
      </c>
      <c r="BA30" s="2"/>
      <c r="BB30" s="2">
        <v>80</v>
      </c>
      <c r="BC30" s="2">
        <v>80</v>
      </c>
      <c r="BD30" s="2"/>
      <c r="BE30" s="2">
        <v>80</v>
      </c>
      <c r="BF30" s="2">
        <f>1+1+2+1</f>
        <v>5</v>
      </c>
      <c r="BG30" s="2"/>
      <c r="BH30" s="2">
        <f>1+1+1+1</f>
        <v>4</v>
      </c>
      <c r="BI30" s="2"/>
      <c r="BJ30" s="2">
        <v>160</v>
      </c>
      <c r="BK30" s="2">
        <f>160+160</f>
        <v>320</v>
      </c>
      <c r="BL30" s="2">
        <f>320+160</f>
        <v>480</v>
      </c>
      <c r="BM30" s="2">
        <f>160+160</f>
        <v>320</v>
      </c>
      <c r="BN30" s="2"/>
      <c r="BO30" s="2">
        <f>160+1</f>
        <v>161</v>
      </c>
      <c r="BP30" s="2"/>
      <c r="BQ30" s="2"/>
      <c r="BR30" s="2">
        <v>160</v>
      </c>
      <c r="BS30" s="2">
        <f>160+160</f>
        <v>320</v>
      </c>
      <c r="BT30" s="2">
        <f>240+160+160</f>
        <v>560</v>
      </c>
      <c r="BU30" s="2">
        <f>160+80+240+80</f>
        <v>560</v>
      </c>
      <c r="BV30" s="2"/>
      <c r="BW30" s="2">
        <v>320</v>
      </c>
      <c r="BX30" s="2">
        <v>240</v>
      </c>
      <c r="BY30" s="2">
        <f>80+160</f>
        <v>240</v>
      </c>
      <c r="BZ30" s="2"/>
      <c r="CA30" s="2">
        <v>240</v>
      </c>
      <c r="CB30" s="2">
        <f>240+320</f>
        <v>560</v>
      </c>
      <c r="CC30" s="2">
        <v>240</v>
      </c>
      <c r="CD30" s="2"/>
      <c r="CE30" s="2"/>
      <c r="CF30" s="2">
        <f>160+320+160</f>
        <v>640</v>
      </c>
      <c r="CG30" s="2">
        <v>240</v>
      </c>
      <c r="CH30" s="2">
        <v>160</v>
      </c>
      <c r="CI30" s="2">
        <f>160+240+160</f>
        <v>560</v>
      </c>
      <c r="CJ30" s="2">
        <v>160</v>
      </c>
      <c r="CK30" s="2">
        <f>160+160</f>
        <v>320</v>
      </c>
      <c r="CL30" s="2">
        <v>240</v>
      </c>
      <c r="CM30" s="2">
        <f>240+80</f>
        <v>320</v>
      </c>
      <c r="CN30" s="2"/>
      <c r="CO30" s="2"/>
      <c r="CP30" s="2"/>
      <c r="CQ30" s="2"/>
      <c r="CR30" s="2"/>
      <c r="CS30" s="2">
        <v>54</v>
      </c>
      <c r="CT30" s="2"/>
      <c r="CU30" s="2"/>
      <c r="CV30" s="2"/>
      <c r="CW30" s="2">
        <f>320+160+240</f>
        <v>720</v>
      </c>
      <c r="CX30" s="2"/>
      <c r="CY30" s="2">
        <v>1</v>
      </c>
      <c r="CZ30" s="2">
        <v>125</v>
      </c>
      <c r="DA30" s="2">
        <f>320+160+160</f>
        <v>640</v>
      </c>
      <c r="DB30" s="2"/>
      <c r="DC30" s="2">
        <v>320</v>
      </c>
      <c r="DD30" s="2"/>
      <c r="DE30" s="2"/>
      <c r="DF30" s="2">
        <v>1</v>
      </c>
      <c r="DG30" s="2"/>
      <c r="DH30" s="2"/>
      <c r="DI30" s="2">
        <v>1</v>
      </c>
      <c r="DJ30" s="2"/>
      <c r="DK30" s="2"/>
      <c r="DL30" s="2">
        <v>240</v>
      </c>
      <c r="DM30" s="2">
        <v>160</v>
      </c>
      <c r="DN30" s="2"/>
      <c r="DO30" s="2"/>
      <c r="DP30" s="2">
        <v>80</v>
      </c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>
        <v>1</v>
      </c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>
        <v>80</v>
      </c>
      <c r="EQ30" s="2">
        <v>160</v>
      </c>
      <c r="ER30" s="2"/>
      <c r="ES30" s="2"/>
      <c r="ET30" s="2"/>
      <c r="EU30" s="2"/>
      <c r="EV30" s="2"/>
      <c r="EW30" s="2"/>
      <c r="EX30" s="2"/>
      <c r="EY30" s="2">
        <v>1</v>
      </c>
      <c r="EZ30" s="2">
        <v>80</v>
      </c>
      <c r="FA30" s="2">
        <v>80</v>
      </c>
      <c r="FB30" s="2"/>
      <c r="FC30" s="2">
        <v>320</v>
      </c>
      <c r="FD30" s="2"/>
      <c r="FE30" s="2"/>
      <c r="FF30" s="2">
        <v>160</v>
      </c>
      <c r="FG30" s="2"/>
      <c r="FH30" s="2"/>
      <c r="FI30" s="2"/>
      <c r="FJ30" s="2">
        <v>80</v>
      </c>
      <c r="FK30" s="2"/>
      <c r="FL30" s="2">
        <v>80</v>
      </c>
      <c r="FM30" s="2">
        <f>80+80</f>
        <v>160</v>
      </c>
      <c r="FN30" s="2"/>
      <c r="FO30" s="2">
        <v>1</v>
      </c>
      <c r="FP30" s="2"/>
      <c r="FQ30" s="2">
        <v>80</v>
      </c>
      <c r="FR30" s="2"/>
      <c r="FS30" s="2">
        <f>160+320</f>
        <v>480</v>
      </c>
      <c r="FT30" s="2">
        <v>80</v>
      </c>
      <c r="FU30" s="2">
        <v>160</v>
      </c>
      <c r="FV30" s="2"/>
      <c r="FW30" s="2"/>
      <c r="FX30" s="2"/>
      <c r="FY30" s="2"/>
      <c r="FZ30" s="2">
        <v>160</v>
      </c>
      <c r="GA30" s="2"/>
      <c r="GB30" s="2"/>
      <c r="GC30" s="2">
        <v>80</v>
      </c>
      <c r="GD30" s="2"/>
      <c r="GE30" s="2"/>
      <c r="GF30" s="2">
        <v>160</v>
      </c>
      <c r="GG30" s="2"/>
      <c r="GH30" s="2"/>
      <c r="GI30" s="2"/>
      <c r="GJ30" s="2"/>
      <c r="GK30" s="2">
        <v>160</v>
      </c>
      <c r="GL30" s="2"/>
      <c r="GM30" s="2"/>
      <c r="GN30" s="2">
        <f>80+160</f>
        <v>240</v>
      </c>
      <c r="GO30" s="2">
        <v>80</v>
      </c>
      <c r="GP30" s="2"/>
      <c r="GQ30" s="2"/>
      <c r="GR30" s="2"/>
      <c r="GS30" s="2">
        <v>1</v>
      </c>
      <c r="GT30" s="2">
        <v>160</v>
      </c>
      <c r="GU30" s="2">
        <v>80</v>
      </c>
      <c r="GV30" s="2">
        <v>80</v>
      </c>
      <c r="GW30" s="2"/>
      <c r="GX30" s="2"/>
      <c r="GY30" s="2"/>
      <c r="GZ30" s="2">
        <f>80+80</f>
        <v>160</v>
      </c>
      <c r="HA30" s="2"/>
      <c r="HB30" s="2">
        <v>160</v>
      </c>
      <c r="HC30" s="2"/>
      <c r="HD30" s="2">
        <f>80+80</f>
        <v>160</v>
      </c>
      <c r="HE30" s="2">
        <v>80</v>
      </c>
      <c r="HF30" s="2"/>
      <c r="HG30" s="2"/>
      <c r="HH30" s="2">
        <v>160</v>
      </c>
      <c r="HI30" s="2"/>
      <c r="HJ30" s="2">
        <f>160+160</f>
        <v>320</v>
      </c>
      <c r="HK30" s="2"/>
      <c r="HL30" s="2"/>
      <c r="HM30" s="2">
        <f>160+1</f>
        <v>161</v>
      </c>
      <c r="HN30" s="2">
        <v>1</v>
      </c>
      <c r="HO30" s="2">
        <v>160</v>
      </c>
      <c r="HP30" s="2">
        <v>80</v>
      </c>
      <c r="HQ30" s="2">
        <v>80</v>
      </c>
      <c r="HR30" s="2">
        <f>160+160</f>
        <v>320</v>
      </c>
      <c r="HS30" s="2"/>
      <c r="HT30" s="2">
        <f>160+1</f>
        <v>161</v>
      </c>
      <c r="HU30" s="2">
        <f>80+160</f>
        <v>240</v>
      </c>
      <c r="HV30" s="2">
        <f>160+480</f>
        <v>640</v>
      </c>
      <c r="HW30" s="2"/>
      <c r="HX30" s="2">
        <f>400+1</f>
        <v>401</v>
      </c>
      <c r="HY30" s="2"/>
      <c r="HZ30" s="2"/>
      <c r="IA30" s="2"/>
      <c r="IB30" s="2"/>
      <c r="IC30" s="2"/>
      <c r="ID30" s="2">
        <v>240</v>
      </c>
      <c r="IE30" s="2">
        <v>320</v>
      </c>
      <c r="IF30" s="2">
        <f>80+240+160</f>
        <v>480</v>
      </c>
      <c r="IG30" s="2"/>
      <c r="IH30" s="2"/>
      <c r="II30" s="2">
        <v>80</v>
      </c>
      <c r="IJ30" s="2"/>
      <c r="IK30" s="2"/>
      <c r="IL30" s="2">
        <v>1</v>
      </c>
      <c r="IM30" s="2">
        <v>1</v>
      </c>
      <c r="IN30" s="2"/>
      <c r="IO30" s="2"/>
      <c r="IP30" s="2">
        <v>240</v>
      </c>
      <c r="IQ30" s="2"/>
      <c r="IR30" s="2"/>
      <c r="IS30" s="2"/>
      <c r="IT30" s="2">
        <v>160</v>
      </c>
      <c r="IU30" s="2">
        <f>240+160</f>
        <v>400</v>
      </c>
      <c r="IV30" s="2"/>
      <c r="IW30" s="2"/>
      <c r="IX30" s="2"/>
      <c r="IY30" s="2"/>
      <c r="IZ30" s="2">
        <f>80+320</f>
        <v>400</v>
      </c>
      <c r="JA30" s="2"/>
      <c r="JB30" s="2"/>
      <c r="JC30" s="2"/>
      <c r="JD30" s="2"/>
      <c r="JE30" s="2">
        <v>160</v>
      </c>
      <c r="JF30" s="2"/>
      <c r="JG30" s="2"/>
      <c r="JH30" s="2"/>
      <c r="JI30" s="2"/>
      <c r="JJ30" s="2"/>
      <c r="JK30" s="2">
        <v>160</v>
      </c>
      <c r="JL30" s="2"/>
      <c r="JM30" s="2">
        <v>160</v>
      </c>
      <c r="JN30" s="2">
        <f>240+160+240+160</f>
        <v>800</v>
      </c>
      <c r="JO30" s="2"/>
      <c r="JP30" s="2">
        <v>320</v>
      </c>
      <c r="JQ30" s="2"/>
      <c r="JR30" s="2">
        <f>240+240</f>
        <v>480</v>
      </c>
      <c r="JS30" s="2"/>
      <c r="JT30" s="2">
        <f>240+80</f>
        <v>320</v>
      </c>
      <c r="JU30" s="2"/>
      <c r="JV30" s="2"/>
      <c r="JW30" s="2">
        <v>160</v>
      </c>
      <c r="JX30" s="2">
        <v>160</v>
      </c>
      <c r="JY30" s="2"/>
      <c r="JZ30" s="2">
        <f>80+1</f>
        <v>81</v>
      </c>
      <c r="KA30" s="2">
        <f>160+80</f>
        <v>240</v>
      </c>
      <c r="KB30" s="2">
        <f>1+80+160+160</f>
        <v>401</v>
      </c>
      <c r="KC30" s="2"/>
      <c r="KD30" s="2"/>
      <c r="KE30" s="2">
        <f>1+160+240+240</f>
        <v>641</v>
      </c>
      <c r="KF30" s="2">
        <v>160</v>
      </c>
      <c r="KG30" s="2">
        <v>80</v>
      </c>
      <c r="KH30" s="2">
        <f>160+80</f>
        <v>240</v>
      </c>
      <c r="KI30" s="2"/>
      <c r="KJ30" s="2">
        <v>160</v>
      </c>
      <c r="KK30" s="2">
        <v>80</v>
      </c>
      <c r="KL30" s="2">
        <v>1</v>
      </c>
      <c r="KM30" s="2"/>
      <c r="KN30" s="2">
        <v>1</v>
      </c>
      <c r="KO30" s="2"/>
      <c r="KP30" s="2">
        <v>1</v>
      </c>
      <c r="KQ30" s="2">
        <v>640</v>
      </c>
      <c r="KR30" s="2">
        <v>160</v>
      </c>
      <c r="KS30" s="2">
        <f>160+240</f>
        <v>400</v>
      </c>
      <c r="KT30" s="2">
        <f>160+80</f>
        <v>240</v>
      </c>
      <c r="KU30" s="2">
        <v>80</v>
      </c>
      <c r="KV30" s="2"/>
      <c r="KW30" s="2"/>
      <c r="KX30" s="2"/>
      <c r="KY30" s="2">
        <v>160</v>
      </c>
      <c r="KZ30" s="2">
        <v>80</v>
      </c>
      <c r="LA30" s="2">
        <v>80</v>
      </c>
      <c r="LB30" s="2"/>
      <c r="LC30" s="2">
        <f>160+160+80+160</f>
        <v>560</v>
      </c>
      <c r="LD30" s="2"/>
      <c r="LE30" s="2"/>
      <c r="LF30" s="2">
        <v>1</v>
      </c>
      <c r="LG30" s="2">
        <f>320+160</f>
        <v>480</v>
      </c>
      <c r="LH30" s="2"/>
      <c r="LI30" s="2"/>
      <c r="LJ30" s="2">
        <v>400</v>
      </c>
      <c r="LK30" s="2"/>
      <c r="LL30" s="2">
        <f>160+240</f>
        <v>400</v>
      </c>
      <c r="LM30" s="2"/>
      <c r="LN30" s="2">
        <f>160+160</f>
        <v>320</v>
      </c>
      <c r="LO30" s="2">
        <f>240+1</f>
        <v>241</v>
      </c>
      <c r="LP30" s="2">
        <v>80</v>
      </c>
      <c r="LQ30" s="2">
        <f>80+320</f>
        <v>400</v>
      </c>
      <c r="LR30" s="2">
        <v>320</v>
      </c>
      <c r="LS30" s="2">
        <v>240</v>
      </c>
      <c r="LT30" s="2"/>
      <c r="LU30" s="2">
        <f>160+160</f>
        <v>320</v>
      </c>
      <c r="LV30" s="2">
        <v>160</v>
      </c>
      <c r="LW30" s="2">
        <v>80</v>
      </c>
      <c r="LX30" s="2"/>
      <c r="LY30" s="2">
        <f>80+320+80</f>
        <v>480</v>
      </c>
      <c r="LZ30" s="2">
        <v>240</v>
      </c>
      <c r="MA30" s="2"/>
      <c r="MB30" s="2">
        <v>160</v>
      </c>
      <c r="MC30" s="2">
        <v>1</v>
      </c>
      <c r="MD30" s="2">
        <f>80+160</f>
        <v>240</v>
      </c>
      <c r="ME30" s="2">
        <f>320+320+240+160+160</f>
        <v>1200</v>
      </c>
      <c r="MF30" s="2"/>
      <c r="MG30" s="2">
        <f>160+160+160+160</f>
        <v>640</v>
      </c>
      <c r="MH30" s="2"/>
      <c r="MI30" s="2">
        <f>80+160+80</f>
        <v>320</v>
      </c>
      <c r="MJ30" s="2">
        <v>80</v>
      </c>
      <c r="MK30" s="2"/>
      <c r="ML30" s="2"/>
      <c r="MM30" s="2"/>
      <c r="MN30" s="2">
        <v>81</v>
      </c>
      <c r="MO30" s="2"/>
      <c r="MP30" s="2">
        <f>320+320+240</f>
        <v>880</v>
      </c>
      <c r="MQ30" s="2"/>
      <c r="MR30" s="2"/>
      <c r="MS30" s="2">
        <f>1+1</f>
        <v>2</v>
      </c>
      <c r="MT30" s="2">
        <f>160+80</f>
        <v>240</v>
      </c>
      <c r="MU30" s="2">
        <v>240</v>
      </c>
      <c r="MV30" s="2"/>
      <c r="MW30" s="2">
        <v>160</v>
      </c>
      <c r="MX30" s="2">
        <v>80</v>
      </c>
      <c r="MY30" s="2">
        <v>7</v>
      </c>
      <c r="MZ30" s="2"/>
      <c r="NA30" s="2">
        <v>160</v>
      </c>
      <c r="NB30" s="2">
        <f>160+80</f>
        <v>240</v>
      </c>
      <c r="NC30" s="2"/>
      <c r="ND30" s="2">
        <f>240+1</f>
        <v>241</v>
      </c>
      <c r="NE30" s="2">
        <f>80+80+160+80</f>
        <v>400</v>
      </c>
      <c r="NF30" s="2">
        <f>80+160</f>
        <v>240</v>
      </c>
      <c r="NG30" s="2">
        <f>160+160</f>
        <v>320</v>
      </c>
      <c r="NH30" s="2">
        <v>80</v>
      </c>
      <c r="NI30" s="2">
        <v>160</v>
      </c>
      <c r="NJ30" s="2">
        <f>240+320</f>
        <v>560</v>
      </c>
      <c r="NK30" s="2">
        <v>1</v>
      </c>
      <c r="NL30" s="2">
        <f>160+160+240</f>
        <v>560</v>
      </c>
      <c r="NM30" s="2">
        <f>1+2+160+160+160</f>
        <v>483</v>
      </c>
      <c r="NN30" s="2">
        <v>480</v>
      </c>
      <c r="NO30" s="2">
        <f>160+480</f>
        <v>640</v>
      </c>
      <c r="NP30" s="2">
        <f>160+480+160</f>
        <v>800</v>
      </c>
      <c r="NQ30" s="2"/>
      <c r="NR30" s="2"/>
      <c r="NS30" s="2"/>
      <c r="NT30" s="2">
        <v>160</v>
      </c>
      <c r="NU30" s="2">
        <f>800+80</f>
        <v>880</v>
      </c>
      <c r="NV30" s="2"/>
      <c r="NW30" s="2"/>
      <c r="NX30" s="2"/>
      <c r="NY30" s="2"/>
      <c r="NZ30" s="2">
        <v>19</v>
      </c>
      <c r="OA30" s="2"/>
      <c r="OB30" s="2"/>
      <c r="OC30" s="2"/>
      <c r="OD30" s="2">
        <f>6+160</f>
        <v>166</v>
      </c>
      <c r="OE30" s="2"/>
      <c r="OF30" s="2"/>
      <c r="OG30" s="2">
        <v>1</v>
      </c>
      <c r="OH30" s="2">
        <v>1</v>
      </c>
      <c r="OI30" s="2"/>
      <c r="OJ30" s="2"/>
      <c r="OK30" s="2">
        <v>52</v>
      </c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>
        <f>1+160+80+160+160+160+80</f>
        <v>801</v>
      </c>
      <c r="PA30" s="2">
        <f>160+160+160+80</f>
        <v>560</v>
      </c>
      <c r="PB30" s="2">
        <v>69</v>
      </c>
      <c r="PC30" s="2"/>
      <c r="PD30" s="2">
        <f>80+80</f>
        <v>160</v>
      </c>
      <c r="PE30" s="2">
        <f>160+80+80</f>
        <v>320</v>
      </c>
      <c r="PF30" s="2">
        <f>160+80+80+160</f>
        <v>480</v>
      </c>
      <c r="PG30" s="2">
        <f>80+80</f>
        <v>160</v>
      </c>
      <c r="PH30" s="2"/>
      <c r="PI30" s="2">
        <v>160</v>
      </c>
      <c r="PJ30" s="2"/>
      <c r="PK30" s="2">
        <f>80+80</f>
        <v>160</v>
      </c>
      <c r="PL30" s="2"/>
      <c r="PM30" s="2">
        <f>80+80</f>
        <v>160</v>
      </c>
      <c r="PN30" s="2">
        <f>80</f>
        <v>80</v>
      </c>
      <c r="PO30" s="2">
        <f>80</f>
        <v>80</v>
      </c>
      <c r="PP30" s="2"/>
      <c r="PQ30" s="2"/>
      <c r="PR30" s="2">
        <v>80</v>
      </c>
      <c r="PS30" s="2">
        <f>80+160</f>
        <v>240</v>
      </c>
      <c r="PT30" s="2">
        <f>80+80</f>
        <v>160</v>
      </c>
      <c r="PU30" s="2"/>
      <c r="PV30" s="2">
        <f>80+80</f>
        <v>160</v>
      </c>
      <c r="PW30" s="2">
        <v>1</v>
      </c>
      <c r="PX30" s="2">
        <f>160+80</f>
        <v>240</v>
      </c>
      <c r="PY30" s="2">
        <v>160</v>
      </c>
      <c r="PZ30" s="2">
        <v>80</v>
      </c>
      <c r="QA30" s="2">
        <f>240+80+80</f>
        <v>400</v>
      </c>
      <c r="QB30" s="2">
        <f>240+80</f>
        <v>320</v>
      </c>
      <c r="QC30" s="2">
        <f>160+80+160+160+80</f>
        <v>640</v>
      </c>
      <c r="QD30" s="2"/>
      <c r="QE30" s="2">
        <v>160</v>
      </c>
      <c r="QF30" s="2">
        <v>320</v>
      </c>
      <c r="QG30" s="2"/>
      <c r="QH30" s="2"/>
      <c r="QI30" s="2">
        <f>44+240+80</f>
        <v>364</v>
      </c>
      <c r="QJ30" s="2"/>
      <c r="QK30" s="2">
        <f>160+160+160+240+160+80</f>
        <v>960</v>
      </c>
      <c r="QL30" s="2">
        <f>160</f>
        <v>160</v>
      </c>
      <c r="QM30" s="2">
        <f>240+160</f>
        <v>400</v>
      </c>
      <c r="QN30" s="2"/>
      <c r="QO30" s="2"/>
      <c r="QP30" s="2">
        <f>240</f>
        <v>240</v>
      </c>
      <c r="QQ30" s="2">
        <f>240+8</f>
        <v>248</v>
      </c>
      <c r="QR30" s="2">
        <f>160</f>
        <v>160</v>
      </c>
      <c r="QS30" s="2">
        <f>160+160</f>
        <v>320</v>
      </c>
      <c r="QT30" s="2"/>
      <c r="QU30" s="2"/>
      <c r="QV30" s="2">
        <f>160+160+160</f>
        <v>480</v>
      </c>
      <c r="QW30" s="2">
        <f>160</f>
        <v>160</v>
      </c>
      <c r="QX30" s="2"/>
      <c r="QY30" s="2">
        <v>80</v>
      </c>
      <c r="QZ30" s="2"/>
      <c r="RA30" s="2">
        <f>160</f>
        <v>160</v>
      </c>
      <c r="RB30" s="2">
        <f>240+17</f>
        <v>257</v>
      </c>
      <c r="RC30" s="2"/>
      <c r="RD30" s="2"/>
      <c r="RE30" s="2">
        <f>240+240+320+320</f>
        <v>1120</v>
      </c>
      <c r="RF30" s="2"/>
      <c r="RG30" s="2">
        <f>240</f>
        <v>240</v>
      </c>
      <c r="RH30" s="2">
        <f>240</f>
        <v>240</v>
      </c>
      <c r="RI30" s="2">
        <f>240</f>
        <v>240</v>
      </c>
      <c r="RJ30" s="2"/>
      <c r="RK30" s="2">
        <f>7</f>
        <v>7</v>
      </c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>
        <f>25</f>
        <v>25</v>
      </c>
      <c r="RX30" s="2">
        <f>58+240+160</f>
        <v>458</v>
      </c>
      <c r="RY30" s="2"/>
      <c r="RZ30" s="2">
        <f>160</f>
        <v>160</v>
      </c>
      <c r="SA30" s="2">
        <f>160+160</f>
        <v>320</v>
      </c>
      <c r="SB30" s="2"/>
      <c r="SC30" s="2">
        <f>160</f>
        <v>160</v>
      </c>
      <c r="SD30" s="2">
        <f>160+160</f>
        <v>320</v>
      </c>
      <c r="SE30" s="2">
        <f>240</f>
        <v>240</v>
      </c>
      <c r="SF30" s="2">
        <f>80+160</f>
        <v>240</v>
      </c>
      <c r="SG30" s="2">
        <f>240+240</f>
        <v>480</v>
      </c>
      <c r="SH30" s="2">
        <f>80+160</f>
        <v>240</v>
      </c>
      <c r="SI30" s="2">
        <f>240+160+160</f>
        <v>560</v>
      </c>
      <c r="SJ30" s="2"/>
      <c r="SK30" s="2">
        <f>1+1</f>
        <v>2</v>
      </c>
      <c r="SL30" s="2"/>
      <c r="SM30" s="2">
        <f>80</f>
        <v>80</v>
      </c>
      <c r="SN30" s="2"/>
      <c r="SO30" s="2">
        <f>240</f>
        <v>240</v>
      </c>
      <c r="SP30" s="2">
        <f>320+320+80</f>
        <v>720</v>
      </c>
      <c r="SQ30" s="2"/>
      <c r="SR30" s="2"/>
      <c r="SS30" s="2">
        <f>240</f>
        <v>240</v>
      </c>
      <c r="ST30" s="2"/>
      <c r="SU30" s="2">
        <f>240+320</f>
        <v>560</v>
      </c>
      <c r="SV30" s="2">
        <f>240</f>
        <v>240</v>
      </c>
      <c r="SW30" s="2">
        <f>160+160+76</f>
        <v>396</v>
      </c>
      <c r="SX30" s="2"/>
      <c r="SY30" s="2">
        <f>240</f>
        <v>240</v>
      </c>
      <c r="SZ30" s="2">
        <f>240</f>
        <v>240</v>
      </c>
      <c r="TA30" s="2"/>
      <c r="TB30" s="12">
        <f>80+80+160</f>
        <v>320</v>
      </c>
      <c r="TC30" s="2"/>
      <c r="TD30" s="2">
        <v>1</v>
      </c>
      <c r="TE30" s="2"/>
      <c r="TF30" s="2">
        <f>160+80+80</f>
        <v>320</v>
      </c>
      <c r="TG30" s="2">
        <v>160</v>
      </c>
      <c r="TH30" s="2">
        <v>160</v>
      </c>
      <c r="TI30" s="2">
        <v>1</v>
      </c>
      <c r="TJ30" s="2">
        <f>160+240+80</f>
        <v>480</v>
      </c>
      <c r="TK30" s="2">
        <f>80+160</f>
        <v>240</v>
      </c>
      <c r="TL30" s="2">
        <f>160+240</f>
        <v>400</v>
      </c>
      <c r="TM30" s="2">
        <f>240+160+16</f>
        <v>416</v>
      </c>
      <c r="TN30" s="2">
        <f>320+160+240</f>
        <v>720</v>
      </c>
      <c r="TO30" s="2">
        <f>80+320</f>
        <v>400</v>
      </c>
      <c r="TP30" s="2">
        <f>80+160</f>
        <v>240</v>
      </c>
      <c r="TQ30" s="2">
        <v>160</v>
      </c>
      <c r="TR30" s="2"/>
      <c r="TS30" s="2"/>
      <c r="TT30" s="2">
        <v>80</v>
      </c>
      <c r="TU30" s="2">
        <v>160</v>
      </c>
      <c r="TV30" s="2"/>
      <c r="TW30" s="2">
        <v>240</v>
      </c>
      <c r="TX30" s="2">
        <v>240</v>
      </c>
      <c r="TY30" s="2"/>
      <c r="TZ30" s="2"/>
      <c r="UA30" s="2"/>
      <c r="UB30" s="2"/>
      <c r="UC30" s="2">
        <v>320</v>
      </c>
      <c r="UD30" s="2">
        <v>96</v>
      </c>
      <c r="UE30" s="2">
        <v>80</v>
      </c>
      <c r="UF30" s="2"/>
      <c r="UG30" s="2"/>
      <c r="UH30" s="2"/>
      <c r="UI30" s="2">
        <f>160+160+80+160</f>
        <v>560</v>
      </c>
      <c r="UJ30" s="2"/>
      <c r="UK30" s="2">
        <v>80</v>
      </c>
      <c r="UL30" s="2">
        <f>160+160</f>
        <v>320</v>
      </c>
      <c r="UM30" s="2">
        <f>160+80</f>
        <v>240</v>
      </c>
      <c r="UN30" s="2"/>
      <c r="UO30" s="2">
        <v>70</v>
      </c>
      <c r="UP30" s="2"/>
      <c r="UQ30" s="2"/>
      <c r="UR30" s="2"/>
      <c r="US30" s="2"/>
      <c r="UT30" s="2">
        <v>12</v>
      </c>
      <c r="UU30" s="2"/>
      <c r="UV30" s="2"/>
      <c r="UW30" s="2"/>
      <c r="UX30" s="2"/>
      <c r="UY30" s="2"/>
      <c r="UZ30" s="2">
        <v>23</v>
      </c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>
        <v>37</v>
      </c>
      <c r="VL30" s="2"/>
      <c r="VM30" s="2"/>
      <c r="VN30" s="2"/>
      <c r="VO30" s="2"/>
      <c r="VP30" s="2"/>
      <c r="VQ30" s="2"/>
      <c r="VR30" s="2"/>
      <c r="VS30" s="2"/>
      <c r="VT30" s="2"/>
      <c r="VU30" s="2">
        <v>1</v>
      </c>
      <c r="VV30" s="2"/>
      <c r="VW30" s="2">
        <v>160</v>
      </c>
      <c r="VX30" s="2">
        <f>27+400+240</f>
        <v>667</v>
      </c>
      <c r="VY30" s="2">
        <f>160+54+320+240</f>
        <v>774</v>
      </c>
      <c r="VZ30" s="2">
        <f>1+1+320+240</f>
        <v>562</v>
      </c>
      <c r="WA30" s="2">
        <f>1+80</f>
        <v>81</v>
      </c>
      <c r="WB30" s="2">
        <f>160+240+240</f>
        <v>640</v>
      </c>
      <c r="WC30" s="2">
        <f>400+240</f>
        <v>640</v>
      </c>
      <c r="WD30" s="2">
        <f>240+240+240</f>
        <v>720</v>
      </c>
      <c r="WE30" s="2">
        <f>400+240</f>
        <v>640</v>
      </c>
      <c r="WF30" s="2">
        <v>240</v>
      </c>
      <c r="WG30" s="2">
        <v>1</v>
      </c>
      <c r="WH30" s="2">
        <v>1</v>
      </c>
      <c r="WI30" s="2">
        <v>160</v>
      </c>
      <c r="WJ30" s="2">
        <v>1</v>
      </c>
      <c r="WK30" s="2">
        <v>16</v>
      </c>
      <c r="WL30" s="2"/>
      <c r="WM30" s="2"/>
      <c r="WN30" s="2">
        <f>320+80</f>
        <v>400</v>
      </c>
      <c r="WO30" s="2">
        <f>22+320</f>
        <v>342</v>
      </c>
      <c r="WP30" s="2">
        <v>320</v>
      </c>
      <c r="WQ30" s="2"/>
      <c r="WR30" s="2"/>
      <c r="WS30" s="2"/>
      <c r="WT30" s="2">
        <f>160+240+160</f>
        <v>560</v>
      </c>
      <c r="WU30" s="2"/>
      <c r="WV30" s="2">
        <f>240+320+160</f>
        <v>720</v>
      </c>
      <c r="WW30" s="2">
        <v>160</v>
      </c>
      <c r="WX30" s="2">
        <f>80+320</f>
        <v>400</v>
      </c>
      <c r="WY30" s="2">
        <v>27</v>
      </c>
      <c r="WZ30" s="2"/>
      <c r="XA30" s="2">
        <f>1+1</f>
        <v>2</v>
      </c>
      <c r="XB30" s="2">
        <v>1</v>
      </c>
      <c r="XC30" s="2"/>
      <c r="XD30" s="2">
        <f>400+1</f>
        <v>401</v>
      </c>
      <c r="XE30" s="2"/>
      <c r="XF30" s="2"/>
      <c r="XG30" s="2"/>
      <c r="XH30" s="2"/>
      <c r="XI30" s="2">
        <v>1</v>
      </c>
      <c r="XJ30" s="2">
        <v>25</v>
      </c>
      <c r="XK30" s="2"/>
      <c r="XL30" s="2"/>
      <c r="XM30" s="2">
        <f>320+240+80</f>
        <v>640</v>
      </c>
      <c r="XN30" s="2">
        <f>240+160</f>
        <v>400</v>
      </c>
      <c r="XO30" s="2">
        <v>240</v>
      </c>
      <c r="XP30" s="2"/>
      <c r="XQ30" s="2">
        <f>31+160+320</f>
        <v>511</v>
      </c>
      <c r="XR30" s="2">
        <v>160</v>
      </c>
      <c r="XS30" s="2">
        <f>80+160</f>
        <v>240</v>
      </c>
      <c r="XT30" s="2"/>
      <c r="XU30" s="2"/>
      <c r="XV30" s="2"/>
      <c r="XW30" s="2"/>
      <c r="XX30" s="2"/>
      <c r="XY30" s="2">
        <f>80+2</f>
        <v>82</v>
      </c>
      <c r="XZ30" s="2">
        <f>160+1</f>
        <v>161</v>
      </c>
      <c r="YA30" s="2"/>
      <c r="YB30" s="2">
        <f>320+1</f>
        <v>321</v>
      </c>
      <c r="YC30" s="2">
        <v>4</v>
      </c>
      <c r="YD30" s="2">
        <v>80</v>
      </c>
      <c r="YE30" s="2">
        <v>33</v>
      </c>
      <c r="YF30" s="2"/>
      <c r="YG30" s="2">
        <v>160</v>
      </c>
      <c r="YH30" s="2">
        <f>240+160</f>
        <v>400</v>
      </c>
      <c r="YI30" s="2">
        <v>27</v>
      </c>
      <c r="YJ30" s="2"/>
      <c r="YK30" s="2"/>
      <c r="YL30" s="2">
        <v>160</v>
      </c>
      <c r="YM30" s="2"/>
      <c r="YN30" s="2">
        <v>1</v>
      </c>
      <c r="YO30" s="2">
        <v>1</v>
      </c>
      <c r="YP30" s="2"/>
      <c r="YQ30" s="2">
        <v>1</v>
      </c>
      <c r="YR30" s="2">
        <v>1</v>
      </c>
      <c r="YS30" s="2"/>
      <c r="YT30" s="2">
        <f>160+160</f>
        <v>320</v>
      </c>
      <c r="YU30" s="2">
        <f>160+160</f>
        <v>320</v>
      </c>
      <c r="YV30" s="2"/>
      <c r="YW30" s="2">
        <v>240</v>
      </c>
      <c r="YX30" s="2"/>
      <c r="YY30" s="2">
        <f>160+80</f>
        <v>240</v>
      </c>
      <c r="YZ30" s="2">
        <f>160+28+1+1</f>
        <v>190</v>
      </c>
      <c r="ZA30" s="2">
        <f>160+160+160</f>
        <v>480</v>
      </c>
      <c r="ZB30" s="2">
        <v>160</v>
      </c>
      <c r="ZC30" s="2">
        <v>26</v>
      </c>
      <c r="ZD30" s="2">
        <v>160</v>
      </c>
      <c r="ZE30" s="2"/>
      <c r="ZF30" s="2">
        <v>1</v>
      </c>
      <c r="ZG30" s="2">
        <f>1+1</f>
        <v>2</v>
      </c>
      <c r="ZH30" s="2">
        <f>160+22</f>
        <v>182</v>
      </c>
      <c r="ZI30" s="2">
        <f>1+1+1+1</f>
        <v>4</v>
      </c>
      <c r="ZJ30" s="2">
        <f>80+60</f>
        <v>140</v>
      </c>
      <c r="ZK30" s="2"/>
      <c r="ZL30" s="2"/>
      <c r="ZM30" s="2"/>
      <c r="ZN30" s="2"/>
      <c r="ZO30" s="2"/>
      <c r="ZP30" s="2"/>
      <c r="ZQ30" s="2"/>
      <c r="ZR30" s="2">
        <v>1</v>
      </c>
      <c r="ZS30" s="2">
        <v>19</v>
      </c>
      <c r="ZT30" s="2"/>
      <c r="ZU30" s="2"/>
      <c r="ZV30" s="2"/>
      <c r="ZW30" s="2"/>
      <c r="ZX30" s="2">
        <v>53</v>
      </c>
      <c r="ZY30" s="2">
        <f>1+1+1+1</f>
        <v>4</v>
      </c>
      <c r="ZZ30" s="2">
        <f>80+240</f>
        <v>320</v>
      </c>
      <c r="AAA30" s="2">
        <v>240</v>
      </c>
      <c r="AAB30" s="2"/>
      <c r="AAC30" s="2">
        <f>1+1+1</f>
        <v>3</v>
      </c>
      <c r="AAD30" s="2"/>
      <c r="AAE30" s="2">
        <v>1</v>
      </c>
      <c r="AAF30" s="2">
        <v>1</v>
      </c>
      <c r="AAG30" s="2"/>
      <c r="AAH30" s="2"/>
      <c r="AAI30" s="2">
        <f>19+1+80</f>
        <v>100</v>
      </c>
      <c r="AAJ30" s="2"/>
      <c r="AAK30" s="2">
        <v>1</v>
      </c>
      <c r="AAL30" s="2"/>
      <c r="AAM30" s="2">
        <f>1+1</f>
        <v>2</v>
      </c>
      <c r="AAN30" s="2"/>
      <c r="AAO30" s="2"/>
      <c r="AAP30" s="2">
        <f>80+160+240</f>
        <v>480</v>
      </c>
      <c r="AAQ30" s="2">
        <f>240+80+240</f>
        <v>560</v>
      </c>
      <c r="AAR30" s="2"/>
      <c r="AAS30" s="2">
        <v>1</v>
      </c>
      <c r="AAT30" s="2">
        <v>1</v>
      </c>
      <c r="AAU30" s="2">
        <v>2</v>
      </c>
      <c r="AAV30" s="2"/>
      <c r="AAW30" s="2">
        <v>240</v>
      </c>
      <c r="AAX30" s="2"/>
      <c r="AAY30" s="2">
        <v>160</v>
      </c>
      <c r="AAZ30" s="2">
        <v>240</v>
      </c>
      <c r="ABA30" s="2">
        <v>1</v>
      </c>
      <c r="ABB30" s="2"/>
      <c r="ABC30" s="2"/>
      <c r="ABD30" s="2"/>
      <c r="ABE30" s="2">
        <v>10</v>
      </c>
      <c r="ABF30" s="2"/>
      <c r="ABG30" s="2">
        <f>1+1+1</f>
        <v>3</v>
      </c>
      <c r="ABH30" s="2">
        <f>4+80</f>
        <v>84</v>
      </c>
      <c r="ABI30" s="2"/>
      <c r="ABJ30" s="2">
        <f>240+160</f>
        <v>400</v>
      </c>
      <c r="ABK30" s="2"/>
      <c r="ABL30" s="2">
        <v>320</v>
      </c>
      <c r="ABM30" s="2">
        <f>1+1</f>
        <v>2</v>
      </c>
      <c r="ABN30" s="2">
        <f>80+24</f>
        <v>104</v>
      </c>
      <c r="ABO30" s="2"/>
      <c r="ABP30" s="2"/>
      <c r="ABQ30" s="2">
        <v>160</v>
      </c>
      <c r="ABR30" s="2">
        <v>160</v>
      </c>
      <c r="ABS30" s="2"/>
      <c r="ABT30" s="2">
        <f>160+240</f>
        <v>400</v>
      </c>
      <c r="ABU30" s="2">
        <v>16</v>
      </c>
      <c r="ABV30" s="2">
        <v>80</v>
      </c>
      <c r="ABW30" s="2"/>
      <c r="ABX30" s="2"/>
      <c r="ABY30" s="2">
        <v>160</v>
      </c>
      <c r="ABZ30" s="2">
        <v>80</v>
      </c>
      <c r="ACA30" s="2">
        <f>160+160+1+160</f>
        <v>481</v>
      </c>
      <c r="ACB30" s="2">
        <v>160</v>
      </c>
      <c r="ACC30" s="2">
        <v>160</v>
      </c>
      <c r="ACD30" s="2"/>
      <c r="ACE30" s="2"/>
      <c r="ACF30" s="2"/>
      <c r="ACG30" s="2"/>
      <c r="ACH30" s="2"/>
      <c r="ACI30" s="2">
        <f>1+10</f>
        <v>11</v>
      </c>
      <c r="ACJ30" s="2">
        <f>160+160</f>
        <v>320</v>
      </c>
      <c r="ACK30" s="2">
        <v>80</v>
      </c>
      <c r="ACL30" s="2"/>
      <c r="ACM30" s="2">
        <f>160+26</f>
        <v>186</v>
      </c>
      <c r="ACN30" s="2">
        <v>1</v>
      </c>
      <c r="ACO30" s="2"/>
      <c r="ACP30" s="2"/>
      <c r="ACQ30" s="2">
        <f>160+160</f>
        <v>320</v>
      </c>
      <c r="ACR30" s="2">
        <f>160+1+1+1</f>
        <v>163</v>
      </c>
      <c r="ACS30" s="2"/>
      <c r="ACT30" s="2">
        <v>24</v>
      </c>
      <c r="ACU30" s="2">
        <f>160+1+240</f>
        <v>401</v>
      </c>
      <c r="ACV30" s="2"/>
      <c r="ACW30" s="2">
        <v>240</v>
      </c>
      <c r="ACX30" s="2"/>
      <c r="ACY30" s="2">
        <v>160</v>
      </c>
      <c r="ACZ30" s="2">
        <v>160</v>
      </c>
      <c r="ADA30" s="2"/>
      <c r="ADB30" s="2"/>
      <c r="ADC30" s="2">
        <f>12+80</f>
        <v>92</v>
      </c>
      <c r="ADD30" s="2">
        <v>160</v>
      </c>
      <c r="ADE30" s="2"/>
      <c r="ADF30" s="2">
        <f>160+80+160</f>
        <v>400</v>
      </c>
      <c r="ADG30" s="2">
        <f>80+80</f>
        <v>160</v>
      </c>
      <c r="ADH30" s="2"/>
      <c r="ADI30" s="2"/>
      <c r="ADJ30" s="2"/>
      <c r="ADK30" s="2">
        <f>160+80+80</f>
        <v>320</v>
      </c>
      <c r="ADL30" s="2"/>
      <c r="ADM30" s="2"/>
      <c r="ADN30" s="2"/>
      <c r="ADO30" s="2">
        <v>160</v>
      </c>
      <c r="ADP30" s="2">
        <v>21</v>
      </c>
      <c r="ADQ30" s="2">
        <v>80</v>
      </c>
      <c r="ADR30" s="2">
        <v>160</v>
      </c>
      <c r="ADS30" s="2">
        <v>80</v>
      </c>
      <c r="ADT30" s="2">
        <v>160</v>
      </c>
      <c r="ADU30" s="2">
        <f>160+80+160</f>
        <v>400</v>
      </c>
      <c r="ADV30" s="2">
        <f>24+1</f>
        <v>25</v>
      </c>
      <c r="ADW30" s="2">
        <v>160</v>
      </c>
      <c r="ADX30" s="2"/>
      <c r="ADY30" s="2">
        <f>160+240+80</f>
        <v>480</v>
      </c>
      <c r="ADZ30" s="2"/>
      <c r="AEA30" s="2"/>
      <c r="AEB30" s="2"/>
      <c r="AEC30" s="2"/>
      <c r="AED30" s="2">
        <f>80+1+1+1+1</f>
        <v>84</v>
      </c>
      <c r="AEE30" s="2">
        <v>22</v>
      </c>
      <c r="AEF30" s="2">
        <v>160</v>
      </c>
      <c r="AEG30" s="2">
        <v>240</v>
      </c>
      <c r="AEH30" s="2">
        <v>80</v>
      </c>
      <c r="AEI30" s="2">
        <f>200+80+80</f>
        <v>360</v>
      </c>
      <c r="AEJ30" s="2">
        <v>160</v>
      </c>
      <c r="AEK30" s="2">
        <v>160</v>
      </c>
      <c r="AEL30" s="2"/>
      <c r="AEM30" s="2">
        <v>160</v>
      </c>
      <c r="AEN30" s="2"/>
      <c r="AEO30" s="2">
        <v>19</v>
      </c>
      <c r="AEP30" s="2"/>
      <c r="AEQ30" s="2">
        <f>160+1+320+160+80</f>
        <v>721</v>
      </c>
      <c r="AER30" s="2">
        <v>1</v>
      </c>
      <c r="AES30" s="2"/>
      <c r="AET30" s="2"/>
      <c r="AEU30" s="2"/>
      <c r="AEV30" s="2">
        <v>160</v>
      </c>
      <c r="AEW30" s="2">
        <v>3</v>
      </c>
      <c r="AEX30" s="2"/>
      <c r="AEY30" s="2">
        <f>1+1+1+1+1+1</f>
        <v>6</v>
      </c>
      <c r="AEZ30" s="2"/>
      <c r="AFA30" s="2">
        <v>80</v>
      </c>
      <c r="AFB30" s="2"/>
      <c r="AFC30" s="2"/>
      <c r="AFD30" s="2"/>
      <c r="AFE30" s="2">
        <f>80+80</f>
        <v>160</v>
      </c>
      <c r="AFF30" s="2"/>
      <c r="AFG30" s="2"/>
      <c r="AFH30" s="2"/>
      <c r="AFI30" s="2"/>
      <c r="AFJ30" s="2"/>
      <c r="AFK30" s="2"/>
      <c r="AFL30" s="2">
        <f t="shared" si="0"/>
        <v>96572</v>
      </c>
    </row>
    <row r="31" spans="1:844" x14ac:dyDescent="0.3">
      <c r="B31" s="91">
        <v>550045885</v>
      </c>
      <c r="C31" s="52" t="s">
        <v>89</v>
      </c>
      <c r="D31" s="35" t="s">
        <v>2</v>
      </c>
      <c r="E31" s="2">
        <f>175+700</f>
        <v>875</v>
      </c>
      <c r="F31" s="2">
        <v>350</v>
      </c>
      <c r="G31" s="2"/>
      <c r="H31" s="2">
        <f>350+175+350</f>
        <v>875</v>
      </c>
      <c r="I31" s="2">
        <f>350+175+175+175+350+350</f>
        <v>1575</v>
      </c>
      <c r="J31" s="2"/>
      <c r="K31" s="2">
        <v>2</v>
      </c>
      <c r="L31" s="2">
        <f>875+525</f>
        <v>1400</v>
      </c>
      <c r="M31" s="2">
        <f>700+525+700</f>
        <v>1925</v>
      </c>
      <c r="N31" s="2">
        <v>700</v>
      </c>
      <c r="O31" s="2">
        <f>700+6+4+2+2+2+2+2+6</f>
        <v>726</v>
      </c>
      <c r="P31" s="2">
        <f>1050+700</f>
        <v>1750</v>
      </c>
      <c r="Q31" s="2">
        <v>525</v>
      </c>
      <c r="R31" s="2"/>
      <c r="S31" s="2"/>
      <c r="T31" s="2">
        <v>175</v>
      </c>
      <c r="U31" s="2">
        <v>350</v>
      </c>
      <c r="V31" s="2"/>
      <c r="W31" s="2">
        <v>175</v>
      </c>
      <c r="X31" s="2"/>
      <c r="Y31" s="2"/>
      <c r="Z31" s="2"/>
      <c r="AA31" s="2"/>
      <c r="AB31" s="2">
        <v>24</v>
      </c>
      <c r="AC31" s="2">
        <f>2+2+2+2+2+2</f>
        <v>12</v>
      </c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>
        <f>2+2+2</f>
        <v>6</v>
      </c>
      <c r="AQ31" s="2"/>
      <c r="AR31" s="2"/>
      <c r="AS31" s="2"/>
      <c r="AT31" s="2"/>
      <c r="AU31" s="2">
        <f>1575+1225+525+525+525</f>
        <v>4375</v>
      </c>
      <c r="AV31" s="2">
        <f>875+525+1050</f>
        <v>2450</v>
      </c>
      <c r="AW31" s="2">
        <f>350+700</f>
        <v>1050</v>
      </c>
      <c r="AX31" s="2">
        <v>6</v>
      </c>
      <c r="AY31" s="2">
        <v>350</v>
      </c>
      <c r="AZ31" s="2"/>
      <c r="BA31" s="2">
        <v>175</v>
      </c>
      <c r="BB31" s="2">
        <v>343</v>
      </c>
      <c r="BC31" s="2"/>
      <c r="BD31" s="2"/>
      <c r="BE31" s="2">
        <v>1</v>
      </c>
      <c r="BF31" s="2">
        <f>1+2</f>
        <v>3</v>
      </c>
      <c r="BG31" s="2"/>
      <c r="BH31" s="2">
        <v>1</v>
      </c>
      <c r="BI31" s="2"/>
      <c r="BJ31" s="2">
        <v>1750</v>
      </c>
      <c r="BK31" s="2">
        <f>2625+1750+2+2</f>
        <v>4379</v>
      </c>
      <c r="BL31" s="2">
        <f>1050+2100</f>
        <v>3150</v>
      </c>
      <c r="BM31" s="2">
        <f>2100+1050</f>
        <v>3150</v>
      </c>
      <c r="BN31" s="2"/>
      <c r="BO31" s="2">
        <f>875+2+1+2</f>
        <v>880</v>
      </c>
      <c r="BP31" s="2">
        <v>2</v>
      </c>
      <c r="BQ31" s="2"/>
      <c r="BR31" s="2">
        <v>1400</v>
      </c>
      <c r="BS31" s="2">
        <f>875+1575</f>
        <v>2450</v>
      </c>
      <c r="BT31" s="2">
        <f>1225+350+350+1400</f>
        <v>3325</v>
      </c>
      <c r="BU31" s="2">
        <f>700+525+1225+1+2+4+1+3+2</f>
        <v>2463</v>
      </c>
      <c r="BV31" s="2"/>
      <c r="BW31" s="2">
        <f>1225+2+4+5+5</f>
        <v>1241</v>
      </c>
      <c r="BX31" s="2">
        <f>1225+2+5+2+1</f>
        <v>1235</v>
      </c>
      <c r="BY31" s="2">
        <f>175+1225</f>
        <v>1400</v>
      </c>
      <c r="BZ31" s="2">
        <v>2</v>
      </c>
      <c r="CA31" s="2">
        <v>350</v>
      </c>
      <c r="CB31" s="2">
        <f>175+1050</f>
        <v>1225</v>
      </c>
      <c r="CC31" s="2">
        <f>1575+3</f>
        <v>1578</v>
      </c>
      <c r="CD31" s="2"/>
      <c r="CE31" s="2">
        <f>4+1</f>
        <v>5</v>
      </c>
      <c r="CF31" s="2">
        <f>525+1050+1050</f>
        <v>2625</v>
      </c>
      <c r="CG31" s="2">
        <f>2+2+2+2+2+2+700</f>
        <v>712</v>
      </c>
      <c r="CH31" s="2">
        <f>175+875+2+2+2+2</f>
        <v>1058</v>
      </c>
      <c r="CI31" s="2">
        <f>1050+875+1225+1050</f>
        <v>4200</v>
      </c>
      <c r="CJ31" s="2">
        <f>7+1050</f>
        <v>1057</v>
      </c>
      <c r="CK31" s="2">
        <f>1050+175+2</f>
        <v>1227</v>
      </c>
      <c r="CL31" s="2">
        <v>1750</v>
      </c>
      <c r="CM31" s="2">
        <f>1400+1400+525</f>
        <v>3325</v>
      </c>
      <c r="CN31" s="2">
        <f>175+1</f>
        <v>176</v>
      </c>
      <c r="CO31" s="2">
        <v>4</v>
      </c>
      <c r="CP31" s="2"/>
      <c r="CQ31" s="2">
        <f>1050+3</f>
        <v>1053</v>
      </c>
      <c r="CR31" s="2">
        <f>2+2</f>
        <v>4</v>
      </c>
      <c r="CS31" s="2">
        <f>525+350+350</f>
        <v>1225</v>
      </c>
      <c r="CT31" s="2">
        <v>175</v>
      </c>
      <c r="CU31" s="2">
        <v>1</v>
      </c>
      <c r="CV31" s="2">
        <v>2</v>
      </c>
      <c r="CW31" s="2">
        <f>1575+350+175+700</f>
        <v>2800</v>
      </c>
      <c r="CX31" s="2">
        <f>2+2+2+2+2+1+2</f>
        <v>13</v>
      </c>
      <c r="CY31" s="2">
        <f>1+2</f>
        <v>3</v>
      </c>
      <c r="CZ31" s="2">
        <f>875+1</f>
        <v>876</v>
      </c>
      <c r="DA31" s="2">
        <v>525</v>
      </c>
      <c r="DB31" s="2">
        <f>2+1+2+2</f>
        <v>7</v>
      </c>
      <c r="DC31" s="2">
        <v>1400</v>
      </c>
      <c r="DD31" s="2">
        <f>2+2+1</f>
        <v>5</v>
      </c>
      <c r="DE31" s="2">
        <f>1+2</f>
        <v>3</v>
      </c>
      <c r="DF31" s="2"/>
      <c r="DG31" s="2">
        <f>1+2+2</f>
        <v>5</v>
      </c>
      <c r="DH31" s="2">
        <f>2+2</f>
        <v>4</v>
      </c>
      <c r="DI31" s="2">
        <f>1+2</f>
        <v>3</v>
      </c>
      <c r="DJ31" s="2"/>
      <c r="DK31" s="2">
        <v>2</v>
      </c>
      <c r="DL31" s="2"/>
      <c r="DM31" s="2">
        <v>350</v>
      </c>
      <c r="DN31" s="2">
        <f>1+2+1+1+4</f>
        <v>9</v>
      </c>
      <c r="DO31" s="2"/>
      <c r="DP31" s="2">
        <f>175+4+2+2</f>
        <v>183</v>
      </c>
      <c r="DQ31" s="2">
        <v>2</v>
      </c>
      <c r="DR31" s="2"/>
      <c r="DS31" s="2"/>
      <c r="DT31" s="2"/>
      <c r="DU31" s="2">
        <f>2+2</f>
        <v>4</v>
      </c>
      <c r="DV31" s="2">
        <v>175</v>
      </c>
      <c r="DW31" s="2"/>
      <c r="DX31" s="2"/>
      <c r="DY31" s="2">
        <v>2</v>
      </c>
      <c r="DZ31" s="2">
        <v>350</v>
      </c>
      <c r="EA31" s="2">
        <f>2+2+2</f>
        <v>6</v>
      </c>
      <c r="EB31" s="2">
        <v>1</v>
      </c>
      <c r="EC31" s="2"/>
      <c r="ED31" s="2">
        <f>350+24</f>
        <v>374</v>
      </c>
      <c r="EE31" s="2">
        <v>700</v>
      </c>
      <c r="EF31" s="2">
        <f>175+700+350+2</f>
        <v>1227</v>
      </c>
      <c r="EG31" s="2">
        <f>2+2+2+2+2+2</f>
        <v>12</v>
      </c>
      <c r="EH31" s="2">
        <f>2+1+2+2+175</f>
        <v>182</v>
      </c>
      <c r="EI31" s="2"/>
      <c r="EJ31" s="2">
        <f>2+2</f>
        <v>4</v>
      </c>
      <c r="EK31" s="2">
        <v>1050</v>
      </c>
      <c r="EL31" s="2"/>
      <c r="EM31" s="2"/>
      <c r="EN31" s="2"/>
      <c r="EO31" s="2"/>
      <c r="EP31" s="2">
        <v>700</v>
      </c>
      <c r="EQ31" s="2">
        <f>525+700+525</f>
        <v>1750</v>
      </c>
      <c r="ER31" s="2">
        <v>2</v>
      </c>
      <c r="ES31" s="2">
        <f>3</f>
        <v>3</v>
      </c>
      <c r="ET31" s="2">
        <v>2</v>
      </c>
      <c r="EU31" s="2">
        <f>2+2</f>
        <v>4</v>
      </c>
      <c r="EV31" s="2"/>
      <c r="EW31" s="2">
        <v>350</v>
      </c>
      <c r="EX31" s="2">
        <f>2+2+2+2</f>
        <v>8</v>
      </c>
      <c r="EY31" s="2">
        <v>2</v>
      </c>
      <c r="EZ31" s="2">
        <v>875</v>
      </c>
      <c r="FA31" s="2">
        <f>175+2+2+2+2</f>
        <v>183</v>
      </c>
      <c r="FB31" s="2"/>
      <c r="FC31" s="2">
        <v>875</v>
      </c>
      <c r="FD31" s="2">
        <f>350+2+2</f>
        <v>354</v>
      </c>
      <c r="FE31" s="2">
        <v>2</v>
      </c>
      <c r="FF31" s="2">
        <f>700+2+2</f>
        <v>704</v>
      </c>
      <c r="FG31" s="2">
        <v>1750</v>
      </c>
      <c r="FH31" s="2"/>
      <c r="FI31" s="2">
        <v>2</v>
      </c>
      <c r="FJ31" s="2">
        <v>875</v>
      </c>
      <c r="FK31" s="2">
        <v>700</v>
      </c>
      <c r="FL31" s="2">
        <v>350</v>
      </c>
      <c r="FM31" s="2">
        <f>350+350</f>
        <v>700</v>
      </c>
      <c r="FN31" s="2"/>
      <c r="FO31" s="2">
        <f>2+2+2+2</f>
        <v>8</v>
      </c>
      <c r="FP31" s="2">
        <f>2+2</f>
        <v>4</v>
      </c>
      <c r="FQ31" s="2">
        <v>350</v>
      </c>
      <c r="FR31" s="2">
        <f>2+2</f>
        <v>4</v>
      </c>
      <c r="FS31" s="2">
        <f>525+875</f>
        <v>1400</v>
      </c>
      <c r="FT31" s="2">
        <f>700+350+2+2</f>
        <v>1054</v>
      </c>
      <c r="FU31" s="2">
        <f>175+2</f>
        <v>177</v>
      </c>
      <c r="FV31" s="2">
        <v>2</v>
      </c>
      <c r="FW31" s="2"/>
      <c r="FX31" s="2">
        <f>2+2+2</f>
        <v>6</v>
      </c>
      <c r="FY31" s="2">
        <v>1050</v>
      </c>
      <c r="FZ31" s="2">
        <v>525</v>
      </c>
      <c r="GA31" s="2">
        <v>1</v>
      </c>
      <c r="GB31" s="2">
        <v>2</v>
      </c>
      <c r="GC31" s="2">
        <f>175+1+2</f>
        <v>178</v>
      </c>
      <c r="GD31" s="2">
        <v>350</v>
      </c>
      <c r="GE31" s="2"/>
      <c r="GF31" s="2">
        <f>175+350+525</f>
        <v>1050</v>
      </c>
      <c r="GG31" s="2">
        <f>2+2+1750</f>
        <v>1754</v>
      </c>
      <c r="GH31" s="2">
        <v>2</v>
      </c>
      <c r="GI31" s="2">
        <f>350+1</f>
        <v>351</v>
      </c>
      <c r="GJ31" s="2">
        <v>2</v>
      </c>
      <c r="GK31" s="2">
        <f>2+2</f>
        <v>4</v>
      </c>
      <c r="GL31" s="2"/>
      <c r="GM31" s="2"/>
      <c r="GN31" s="2"/>
      <c r="GO31" s="2">
        <f>2+2</f>
        <v>4</v>
      </c>
      <c r="GP31" s="2">
        <v>2</v>
      </c>
      <c r="GQ31" s="2">
        <v>525</v>
      </c>
      <c r="GR31" s="2"/>
      <c r="GS31" s="2">
        <f>2+20+700+175+350</f>
        <v>1247</v>
      </c>
      <c r="GT31" s="2">
        <v>350</v>
      </c>
      <c r="GU31" s="9">
        <f>875+2+2</f>
        <v>879</v>
      </c>
      <c r="GV31" s="2">
        <f>1750+525</f>
        <v>2275</v>
      </c>
      <c r="GW31" s="2"/>
      <c r="GX31" s="2">
        <v>175</v>
      </c>
      <c r="GY31" s="2"/>
      <c r="GZ31" s="2">
        <v>175</v>
      </c>
      <c r="HA31" s="2">
        <v>1750</v>
      </c>
      <c r="HB31" s="2">
        <f>175+700</f>
        <v>875</v>
      </c>
      <c r="HC31" s="2">
        <f>175+2+2+3+2</f>
        <v>184</v>
      </c>
      <c r="HD31" s="2">
        <f>175+700</f>
        <v>875</v>
      </c>
      <c r="HE31" s="2"/>
      <c r="HF31" s="2"/>
      <c r="HG31" s="2">
        <f>175+525+2</f>
        <v>702</v>
      </c>
      <c r="HH31" s="2">
        <f>350+2</f>
        <v>352</v>
      </c>
      <c r="HI31" s="2">
        <f>1050+2</f>
        <v>1052</v>
      </c>
      <c r="HJ31" s="2">
        <v>350</v>
      </c>
      <c r="HK31" s="2"/>
      <c r="HL31" s="2">
        <v>1</v>
      </c>
      <c r="HM31" s="2">
        <f>350+2+2</f>
        <v>354</v>
      </c>
      <c r="HN31" s="2">
        <f>350+2+1+2+2</f>
        <v>357</v>
      </c>
      <c r="HO31" s="2">
        <v>700</v>
      </c>
      <c r="HP31" s="2">
        <v>1050</v>
      </c>
      <c r="HQ31" s="2">
        <f>700+2+2+2+2+1</f>
        <v>709</v>
      </c>
      <c r="HR31" s="2">
        <f>1050+875+2+1+2+2+2</f>
        <v>1934</v>
      </c>
      <c r="HS31" s="2">
        <v>1750</v>
      </c>
      <c r="HT31" s="2">
        <v>700</v>
      </c>
      <c r="HU31" s="2">
        <f>350+525+1400</f>
        <v>2275</v>
      </c>
      <c r="HV31" s="2">
        <f>700+350</f>
        <v>1050</v>
      </c>
      <c r="HW31" s="2">
        <v>3</v>
      </c>
      <c r="HX31" s="2">
        <f>700+2</f>
        <v>702</v>
      </c>
      <c r="HY31" s="2">
        <v>2</v>
      </c>
      <c r="HZ31" s="2">
        <v>70</v>
      </c>
      <c r="IA31" s="2">
        <v>2</v>
      </c>
      <c r="IB31" s="2">
        <v>2</v>
      </c>
      <c r="IC31" s="2"/>
      <c r="ID31" s="2">
        <f>175+1050</f>
        <v>1225</v>
      </c>
      <c r="IE31" s="2">
        <f>350+1400</f>
        <v>1750</v>
      </c>
      <c r="IF31" s="2">
        <f>525+350+1225+350</f>
        <v>2450</v>
      </c>
      <c r="IG31" s="2"/>
      <c r="IH31" s="2">
        <f>1+1</f>
        <v>2</v>
      </c>
      <c r="II31" s="2">
        <f>175+350</f>
        <v>525</v>
      </c>
      <c r="IJ31" s="2"/>
      <c r="IK31" s="2"/>
      <c r="IL31" s="2">
        <v>2</v>
      </c>
      <c r="IM31" s="2"/>
      <c r="IN31" s="2">
        <f>2+350</f>
        <v>352</v>
      </c>
      <c r="IO31" s="2">
        <f>2+2+2+1+1</f>
        <v>8</v>
      </c>
      <c r="IP31" s="2">
        <v>525</v>
      </c>
      <c r="IQ31" s="2">
        <f>2+1</f>
        <v>3</v>
      </c>
      <c r="IR31" s="2"/>
      <c r="IS31" s="2">
        <f>1+2</f>
        <v>3</v>
      </c>
      <c r="IT31" s="2">
        <f>1050+1050</f>
        <v>2100</v>
      </c>
      <c r="IU31" s="2">
        <f>1050+1050+175+2+2+2</f>
        <v>2281</v>
      </c>
      <c r="IV31" s="2"/>
      <c r="IW31" s="2">
        <f>2+1+1+350</f>
        <v>354</v>
      </c>
      <c r="IX31" s="2"/>
      <c r="IY31" s="2"/>
      <c r="IZ31" s="2">
        <f>525+1750</f>
        <v>2275</v>
      </c>
      <c r="JA31" s="2"/>
      <c r="JB31" s="2">
        <f>4+2+2</f>
        <v>8</v>
      </c>
      <c r="JC31" s="2">
        <f>1</f>
        <v>1</v>
      </c>
      <c r="JD31" s="2">
        <f>2+1</f>
        <v>3</v>
      </c>
      <c r="JE31" s="2">
        <v>525</v>
      </c>
      <c r="JF31" s="2">
        <v>4</v>
      </c>
      <c r="JG31" s="2">
        <v>2</v>
      </c>
      <c r="JH31" s="2">
        <f>1+1</f>
        <v>2</v>
      </c>
      <c r="JI31" s="2">
        <f>350+175</f>
        <v>525</v>
      </c>
      <c r="JJ31" s="2">
        <v>2</v>
      </c>
      <c r="JK31" s="2">
        <f>700+2</f>
        <v>702</v>
      </c>
      <c r="JL31" s="2">
        <f>2+2</f>
        <v>4</v>
      </c>
      <c r="JM31" s="2">
        <f>2+2+1</f>
        <v>5</v>
      </c>
      <c r="JN31" s="2">
        <f>1225+1050+875+1750</f>
        <v>4900</v>
      </c>
      <c r="JO31" s="2">
        <f>875+525</f>
        <v>1400</v>
      </c>
      <c r="JP31" s="2">
        <v>1050</v>
      </c>
      <c r="JQ31" s="2"/>
      <c r="JR31" s="2">
        <f>2100+525</f>
        <v>2625</v>
      </c>
      <c r="JS31" s="2">
        <v>1</v>
      </c>
      <c r="JT31" s="2">
        <f>875+700+525+875</f>
        <v>2975</v>
      </c>
      <c r="JU31" s="2">
        <v>2</v>
      </c>
      <c r="JV31" s="2">
        <v>1</v>
      </c>
      <c r="JW31" s="2">
        <v>525</v>
      </c>
      <c r="JX31" s="2">
        <v>1050</v>
      </c>
      <c r="JY31" s="2"/>
      <c r="JZ31" s="2">
        <f>2+2</f>
        <v>4</v>
      </c>
      <c r="KA31" s="2">
        <f>700+700+350</f>
        <v>1750</v>
      </c>
      <c r="KB31" s="2">
        <f>175+350+350+2</f>
        <v>877</v>
      </c>
      <c r="KC31" s="2">
        <v>2</v>
      </c>
      <c r="KD31" s="2">
        <v>2</v>
      </c>
      <c r="KE31" s="2">
        <f>2+875+3850</f>
        <v>4727</v>
      </c>
      <c r="KF31" s="2">
        <f>700+700+1050</f>
        <v>2450</v>
      </c>
      <c r="KG31" s="2">
        <f>1750+175+700</f>
        <v>2625</v>
      </c>
      <c r="KH31" s="2">
        <f>700+525</f>
        <v>1225</v>
      </c>
      <c r="KI31" s="2">
        <v>4</v>
      </c>
      <c r="KJ31" s="2">
        <v>350</v>
      </c>
      <c r="KK31" s="2">
        <v>175</v>
      </c>
      <c r="KL31" s="2">
        <f>2+3+4</f>
        <v>9</v>
      </c>
      <c r="KM31" s="2">
        <f>1+1+2</f>
        <v>4</v>
      </c>
      <c r="KN31" s="2">
        <f>2+2+2</f>
        <v>6</v>
      </c>
      <c r="KO31" s="2"/>
      <c r="KP31" s="2">
        <v>3</v>
      </c>
      <c r="KQ31" s="2"/>
      <c r="KR31" s="2"/>
      <c r="KS31" s="2">
        <v>350</v>
      </c>
      <c r="KT31" s="2">
        <f>1400+175+350+2</f>
        <v>1927</v>
      </c>
      <c r="KU31" s="2"/>
      <c r="KV31" s="2">
        <v>4</v>
      </c>
      <c r="KW31" s="2"/>
      <c r="KX31" s="2">
        <f>2+2</f>
        <v>4</v>
      </c>
      <c r="KY31" s="2">
        <f>1+2+875+175+175</f>
        <v>1228</v>
      </c>
      <c r="KZ31" s="2">
        <f>350+4</f>
        <v>354</v>
      </c>
      <c r="LA31" s="2">
        <v>88</v>
      </c>
      <c r="LB31" s="2">
        <v>2</v>
      </c>
      <c r="LC31" s="2">
        <f>350+1750+175+525+875+1050+525+2+4</f>
        <v>5256</v>
      </c>
      <c r="LD31" s="2">
        <f>525+2+3</f>
        <v>530</v>
      </c>
      <c r="LE31" s="2">
        <v>2</v>
      </c>
      <c r="LF31" s="2"/>
      <c r="LG31" s="2">
        <f>700+1400+2+3+2</f>
        <v>2107</v>
      </c>
      <c r="LH31" s="2"/>
      <c r="LI31" s="2">
        <v>700</v>
      </c>
      <c r="LJ31" s="2"/>
      <c r="LK31" s="2">
        <f>2+1</f>
        <v>3</v>
      </c>
      <c r="LL31" s="2">
        <f>1+350+875</f>
        <v>1226</v>
      </c>
      <c r="LM31" s="2">
        <f>525+525+1400</f>
        <v>2450</v>
      </c>
      <c r="LN31" s="2">
        <f>700+25+350+1050</f>
        <v>2125</v>
      </c>
      <c r="LO31" s="2">
        <f>700+1+1+2</f>
        <v>704</v>
      </c>
      <c r="LP31" s="2">
        <v>350</v>
      </c>
      <c r="LQ31" s="2">
        <f>175+1575+525</f>
        <v>2275</v>
      </c>
      <c r="LR31" s="2"/>
      <c r="LS31" s="2">
        <f>1+525</f>
        <v>526</v>
      </c>
      <c r="LT31" s="2"/>
      <c r="LU31" s="2">
        <f>350+525+525+350+4+1400+525</f>
        <v>3679</v>
      </c>
      <c r="LV31" s="2">
        <f>175+1050+2+4+2+2+1050</f>
        <v>2285</v>
      </c>
      <c r="LW31" s="2">
        <v>350</v>
      </c>
      <c r="LX31" s="2">
        <f>4+2+1</f>
        <v>7</v>
      </c>
      <c r="LY31" s="2">
        <f>1050+1400+700+2+1+1</f>
        <v>3154</v>
      </c>
      <c r="LZ31" s="2">
        <v>1</v>
      </c>
      <c r="MA31" s="2"/>
      <c r="MB31" s="2">
        <f>525+175+525</f>
        <v>1225</v>
      </c>
      <c r="MC31" s="2">
        <f>1+3+1+4+2</f>
        <v>11</v>
      </c>
      <c r="MD31" s="2">
        <f>525+1050+350</f>
        <v>1925</v>
      </c>
      <c r="ME31" s="2">
        <f>700+1225+875+875+1225</f>
        <v>4900</v>
      </c>
      <c r="MF31" s="2">
        <v>700</v>
      </c>
      <c r="MG31" s="2">
        <f>350+700+2+1+700+175</f>
        <v>1928</v>
      </c>
      <c r="MH31" s="2">
        <f>875+525+875+1</f>
        <v>2276</v>
      </c>
      <c r="MI31" s="2">
        <f>350+525+350</f>
        <v>1225</v>
      </c>
      <c r="MJ31" s="2"/>
      <c r="MK31" s="2">
        <f>1050+175</f>
        <v>1225</v>
      </c>
      <c r="ML31" s="2">
        <v>525</v>
      </c>
      <c r="MM31" s="2">
        <f>2+4+2+2+2+1+525+1050+350</f>
        <v>1938</v>
      </c>
      <c r="MN31" s="2">
        <f>44+2</f>
        <v>46</v>
      </c>
      <c r="MO31" s="2">
        <v>1</v>
      </c>
      <c r="MP31" s="2">
        <f>350+350+1575</f>
        <v>2275</v>
      </c>
      <c r="MQ31" s="2"/>
      <c r="MR31" s="2">
        <v>350</v>
      </c>
      <c r="MS31" s="2">
        <f>2+2</f>
        <v>4</v>
      </c>
      <c r="MT31" s="2">
        <f>350+350</f>
        <v>700</v>
      </c>
      <c r="MU31" s="2">
        <f>700+2</f>
        <v>702</v>
      </c>
      <c r="MV31" s="2"/>
      <c r="MW31" s="2">
        <v>525</v>
      </c>
      <c r="MX31" s="2">
        <v>175</v>
      </c>
      <c r="MY31" s="2">
        <f>10+1+2</f>
        <v>13</v>
      </c>
      <c r="MZ31" s="2">
        <f>1050+350+1+4</f>
        <v>1405</v>
      </c>
      <c r="NA31" s="2">
        <v>350</v>
      </c>
      <c r="NB31" s="2">
        <f>175+1+875</f>
        <v>1051</v>
      </c>
      <c r="NC31" s="2">
        <v>350</v>
      </c>
      <c r="ND31" s="2">
        <f>1050+525</f>
        <v>1575</v>
      </c>
      <c r="NE31" s="2">
        <f>525+1225+875+350+1050+2+4</f>
        <v>4031</v>
      </c>
      <c r="NF31" s="2">
        <f>350+350+3+175</f>
        <v>878</v>
      </c>
      <c r="NG31" s="2">
        <f>875+700+2</f>
        <v>1577</v>
      </c>
      <c r="NH31" s="2">
        <f>700+350</f>
        <v>1050</v>
      </c>
      <c r="NI31" s="2">
        <f>350+1</f>
        <v>351</v>
      </c>
      <c r="NJ31" s="2">
        <f>175+175</f>
        <v>350</v>
      </c>
      <c r="NK31" s="2"/>
      <c r="NL31" s="2">
        <f>4+700+875+1050+2</f>
        <v>2631</v>
      </c>
      <c r="NM31" s="2">
        <f>1+1+700+700</f>
        <v>1402</v>
      </c>
      <c r="NN31" s="2">
        <v>350</v>
      </c>
      <c r="NO31" s="2">
        <f>2+350</f>
        <v>352</v>
      </c>
      <c r="NP31" s="2">
        <v>4</v>
      </c>
      <c r="NQ31" s="2">
        <v>2</v>
      </c>
      <c r="NR31" s="2">
        <v>1</v>
      </c>
      <c r="NS31" s="2"/>
      <c r="NT31" s="2"/>
      <c r="NU31" s="2"/>
      <c r="NV31" s="2"/>
      <c r="NW31" s="2"/>
      <c r="NX31" s="2"/>
      <c r="NY31" s="2">
        <f>4+4</f>
        <v>8</v>
      </c>
      <c r="NZ31" s="2">
        <f>2+2+2</f>
        <v>6</v>
      </c>
      <c r="OA31" s="2"/>
      <c r="OB31" s="2">
        <v>2</v>
      </c>
      <c r="OC31" s="2">
        <v>2</v>
      </c>
      <c r="OD31" s="2">
        <f>130+1</f>
        <v>131</v>
      </c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>
        <f>2+4+1</f>
        <v>7</v>
      </c>
      <c r="OX31" s="2">
        <f>2+2</f>
        <v>4</v>
      </c>
      <c r="OY31" s="2">
        <f>2+1+2+2</f>
        <v>7</v>
      </c>
      <c r="OZ31" s="2">
        <f>2+525+700+525+525+525</f>
        <v>2802</v>
      </c>
      <c r="PA31" s="2">
        <f>2+700+700+700+350</f>
        <v>2452</v>
      </c>
      <c r="PB31" s="2">
        <v>2</v>
      </c>
      <c r="PC31" s="2">
        <v>2</v>
      </c>
      <c r="PD31" s="2">
        <f>350+350+525</f>
        <v>1225</v>
      </c>
      <c r="PE31" s="2">
        <f>525+350+525</f>
        <v>1400</v>
      </c>
      <c r="PF31" s="2">
        <f>350+350+525+2+350</f>
        <v>1577</v>
      </c>
      <c r="PG31" s="2">
        <f>700+350+175+2</f>
        <v>1227</v>
      </c>
      <c r="PH31" s="2">
        <f>2+2</f>
        <v>4</v>
      </c>
      <c r="PI31" s="2">
        <f>175+350</f>
        <v>525</v>
      </c>
      <c r="PJ31" s="2"/>
      <c r="PK31" s="2">
        <f>350+350</f>
        <v>700</v>
      </c>
      <c r="PL31" s="2"/>
      <c r="PM31" s="2">
        <f>2+2+2+1+175+175</f>
        <v>357</v>
      </c>
      <c r="PN31" s="2">
        <f>2+2+1+525</f>
        <v>530</v>
      </c>
      <c r="PO31" s="2">
        <f>350</f>
        <v>350</v>
      </c>
      <c r="PP31" s="2">
        <v>1</v>
      </c>
      <c r="PQ31" s="2">
        <v>2</v>
      </c>
      <c r="PR31" s="2">
        <f>350+175</f>
        <v>525</v>
      </c>
      <c r="PS31" s="2">
        <f>525+1050</f>
        <v>1575</v>
      </c>
      <c r="PT31" s="2">
        <f>350+175</f>
        <v>525</v>
      </c>
      <c r="PU31" s="2"/>
      <c r="PV31" s="2">
        <f>700+875+175+700+2+2+1</f>
        <v>2455</v>
      </c>
      <c r="PW31" s="2">
        <v>2</v>
      </c>
      <c r="PX31" s="2">
        <f>1050+875+2</f>
        <v>1927</v>
      </c>
      <c r="PY31" s="2">
        <f>1050+2</f>
        <v>1052</v>
      </c>
      <c r="PZ31" s="2">
        <v>875</v>
      </c>
      <c r="QA31" s="2">
        <f>875+700+1225+700</f>
        <v>3500</v>
      </c>
      <c r="QB31" s="2">
        <f>875+875</f>
        <v>1750</v>
      </c>
      <c r="QC31" s="2">
        <f>1050+875+2+700+1225+1050</f>
        <v>4902</v>
      </c>
      <c r="QD31" s="2">
        <v>350</v>
      </c>
      <c r="QE31" s="2">
        <v>875</v>
      </c>
      <c r="QF31" s="2">
        <f>875+2+4+4</f>
        <v>885</v>
      </c>
      <c r="QG31" s="2">
        <f>1+2</f>
        <v>3</v>
      </c>
      <c r="QH31" s="2">
        <f>1+1</f>
        <v>2</v>
      </c>
      <c r="QI31" s="2">
        <f>26+1050</f>
        <v>1076</v>
      </c>
      <c r="QJ31" s="2">
        <v>2</v>
      </c>
      <c r="QK31" s="2">
        <f>1050+1225+875+875+1050+1225</f>
        <v>6300</v>
      </c>
      <c r="QL31" s="2">
        <f>1225+875</f>
        <v>2100</v>
      </c>
      <c r="QM31" s="2">
        <f>1050+1+2</f>
        <v>1053</v>
      </c>
      <c r="QN31" s="2">
        <v>1</v>
      </c>
      <c r="QO31" s="2"/>
      <c r="QP31" s="2">
        <f>175+1225</f>
        <v>1400</v>
      </c>
      <c r="QQ31" s="2">
        <f>875+23+1</f>
        <v>899</v>
      </c>
      <c r="QR31" s="2"/>
      <c r="QS31" s="2">
        <f>1+875+875+875</f>
        <v>2626</v>
      </c>
      <c r="QT31" s="2">
        <v>1</v>
      </c>
      <c r="QU31" s="2"/>
      <c r="QV31" s="2">
        <f>875+1050+1+1050</f>
        <v>2976</v>
      </c>
      <c r="QW31" s="2">
        <f>1225+1+1</f>
        <v>1227</v>
      </c>
      <c r="QX31" s="2">
        <f>525</f>
        <v>525</v>
      </c>
      <c r="QY31" s="2">
        <f>875+525</f>
        <v>1400</v>
      </c>
      <c r="QZ31" s="2">
        <f>175</f>
        <v>175</v>
      </c>
      <c r="RA31" s="2">
        <f>350+2+1+1+1</f>
        <v>355</v>
      </c>
      <c r="RB31" s="2">
        <f>2+2+22</f>
        <v>26</v>
      </c>
      <c r="RC31" s="2">
        <f>2+1+2+2+2+525</f>
        <v>534</v>
      </c>
      <c r="RD31" s="2">
        <f>2+1</f>
        <v>3</v>
      </c>
      <c r="RE31" s="2">
        <f>1400+175+875+1</f>
        <v>2451</v>
      </c>
      <c r="RF31" s="2">
        <f>2+1</f>
        <v>3</v>
      </c>
      <c r="RG31" s="2">
        <f>350</f>
        <v>350</v>
      </c>
      <c r="RH31" s="2">
        <f>350</f>
        <v>350</v>
      </c>
      <c r="RI31" s="2">
        <f>1+175+700</f>
        <v>876</v>
      </c>
      <c r="RJ31" s="2">
        <f>1+175</f>
        <v>176</v>
      </c>
      <c r="RK31" s="2">
        <f>19+2+350</f>
        <v>371</v>
      </c>
      <c r="RL31" s="2"/>
      <c r="RM31" s="2">
        <f>525</f>
        <v>525</v>
      </c>
      <c r="RN31" s="2">
        <f>700+1</f>
        <v>701</v>
      </c>
      <c r="RO31" s="2"/>
      <c r="RP31" s="2"/>
      <c r="RQ31" s="2">
        <f>2+700</f>
        <v>702</v>
      </c>
      <c r="RR31" s="2">
        <f>1</f>
        <v>1</v>
      </c>
      <c r="RS31" s="2"/>
      <c r="RT31" s="2">
        <f>2</f>
        <v>2</v>
      </c>
      <c r="RU31" s="2">
        <f>2+4</f>
        <v>6</v>
      </c>
      <c r="RV31" s="2">
        <f>1</f>
        <v>1</v>
      </c>
      <c r="RW31" s="2">
        <f>77</f>
        <v>77</v>
      </c>
      <c r="RX31" s="2">
        <f>700</f>
        <v>700</v>
      </c>
      <c r="RY31" s="2">
        <f>2</f>
        <v>2</v>
      </c>
      <c r="RZ31" s="2">
        <f>1+1+700</f>
        <v>702</v>
      </c>
      <c r="SA31" s="2">
        <f>700</f>
        <v>700</v>
      </c>
      <c r="SB31" s="2">
        <f>1+4</f>
        <v>5</v>
      </c>
      <c r="SC31" s="2">
        <f>175+2+1</f>
        <v>178</v>
      </c>
      <c r="SD31" s="2">
        <f>525+4</f>
        <v>529</v>
      </c>
      <c r="SE31" s="2">
        <f>2</f>
        <v>2</v>
      </c>
      <c r="SF31" s="2">
        <f>350+350+175</f>
        <v>875</v>
      </c>
      <c r="SG31" s="2">
        <f>350+175+2+2</f>
        <v>529</v>
      </c>
      <c r="SH31" s="2">
        <f>700+153+1225+1050</f>
        <v>3128</v>
      </c>
      <c r="SI31" s="2">
        <f>700+175+525+350</f>
        <v>1750</v>
      </c>
      <c r="SJ31" s="2">
        <f>350+175+20+2+1</f>
        <v>548</v>
      </c>
      <c r="SK31" s="2">
        <f>1+2+2</f>
        <v>5</v>
      </c>
      <c r="SL31" s="2">
        <f>1</f>
        <v>1</v>
      </c>
      <c r="SM31" s="2">
        <f>2+1+4</f>
        <v>7</v>
      </c>
      <c r="SN31" s="2">
        <f>525+2</f>
        <v>527</v>
      </c>
      <c r="SO31" s="2">
        <f>175+2+2</f>
        <v>179</v>
      </c>
      <c r="SP31" s="2">
        <f>350+350+525</f>
        <v>1225</v>
      </c>
      <c r="SQ31" s="2"/>
      <c r="SR31" s="2">
        <f>2+2+4+1</f>
        <v>9</v>
      </c>
      <c r="SS31" s="2">
        <f>1400</f>
        <v>1400</v>
      </c>
      <c r="ST31" s="2">
        <v>1</v>
      </c>
      <c r="SU31" s="2"/>
      <c r="SV31" s="2">
        <f>175+700+350+2+1</f>
        <v>1228</v>
      </c>
      <c r="SW31" s="2">
        <f>525+700+700+2+2+2+92</f>
        <v>2023</v>
      </c>
      <c r="SX31" s="2">
        <f>4+4+525</f>
        <v>533</v>
      </c>
      <c r="SY31" s="2">
        <f>3+875+700</f>
        <v>1578</v>
      </c>
      <c r="SZ31" s="2">
        <f>875+1</f>
        <v>876</v>
      </c>
      <c r="TA31" s="2">
        <v>175</v>
      </c>
      <c r="TB31" s="12">
        <f>1400+350+350+700+350+1+1+2</f>
        <v>3154</v>
      </c>
      <c r="TC31" s="2">
        <f>1+2</f>
        <v>3</v>
      </c>
      <c r="TD31" s="9">
        <f>3+2</f>
        <v>5</v>
      </c>
      <c r="TE31" s="2">
        <f>2+4+875</f>
        <v>881</v>
      </c>
      <c r="TF31" s="2">
        <f>350+1050+875</f>
        <v>2275</v>
      </c>
      <c r="TG31" s="9">
        <f>2+525+700+1050</f>
        <v>2277</v>
      </c>
      <c r="TH31" s="2">
        <f>175+350+525+1+1</f>
        <v>1052</v>
      </c>
      <c r="TI31" s="2">
        <v>1</v>
      </c>
      <c r="TJ31" s="2">
        <f>525+1050+700+700</f>
        <v>2975</v>
      </c>
      <c r="TK31" s="2">
        <f>525+875+2+350+350</f>
        <v>2102</v>
      </c>
      <c r="TL31" s="2">
        <f>2+4+700</f>
        <v>706</v>
      </c>
      <c r="TM31" s="2">
        <f>525+69</f>
        <v>594</v>
      </c>
      <c r="TN31" s="2">
        <f>1+350+525+350+875</f>
        <v>2101</v>
      </c>
      <c r="TO31" s="2">
        <f>525+525</f>
        <v>1050</v>
      </c>
      <c r="TP31" s="2">
        <f>875+1050</f>
        <v>1925</v>
      </c>
      <c r="TQ31" s="2">
        <f>875+1050</f>
        <v>1925</v>
      </c>
      <c r="TR31" s="2">
        <f>1225+2+2+2+1+1575</f>
        <v>2807</v>
      </c>
      <c r="TS31" s="2">
        <v>1050</v>
      </c>
      <c r="TT31" s="2">
        <v>1050</v>
      </c>
      <c r="TU31" s="2">
        <f>13+700</f>
        <v>713</v>
      </c>
      <c r="TV31" s="2">
        <v>875</v>
      </c>
      <c r="TW31" s="2">
        <f>350+1+1+2+2</f>
        <v>356</v>
      </c>
      <c r="TX31" s="2">
        <f>1+2+700+875</f>
        <v>1578</v>
      </c>
      <c r="TY31" s="2">
        <f>2+1+4</f>
        <v>7</v>
      </c>
      <c r="TZ31" s="2">
        <f>2+2+2+1+2</f>
        <v>9</v>
      </c>
      <c r="UA31" s="2">
        <f>4+4</f>
        <v>8</v>
      </c>
      <c r="UB31" s="2">
        <f>894+3+2+1</f>
        <v>900</v>
      </c>
      <c r="UC31" s="2">
        <f>875+700</f>
        <v>1575</v>
      </c>
      <c r="UD31" s="2">
        <f>100+700</f>
        <v>800</v>
      </c>
      <c r="UE31" s="2">
        <f>1+4+2+1+175</f>
        <v>183</v>
      </c>
      <c r="UF31" s="2"/>
      <c r="UG31" s="2">
        <v>2</v>
      </c>
      <c r="UH31" s="2"/>
      <c r="UI31" s="2">
        <f>350+175+175+700+2</f>
        <v>1402</v>
      </c>
      <c r="UJ31" s="2">
        <f>175+700+2</f>
        <v>877</v>
      </c>
      <c r="UK31" s="2">
        <f>700+175+700</f>
        <v>1575</v>
      </c>
      <c r="UL31" s="2">
        <f>350+175+700+525+350+700+700+700</f>
        <v>4200</v>
      </c>
      <c r="UM31" s="2">
        <f>525+875+525</f>
        <v>1925</v>
      </c>
      <c r="UN31" s="2">
        <f>700+700+700+2+350</f>
        <v>2452</v>
      </c>
      <c r="UO31" s="2">
        <f>62+2+1050</f>
        <v>1114</v>
      </c>
      <c r="UP31" s="2">
        <v>2</v>
      </c>
      <c r="UQ31" s="2">
        <f>525+350+4+1+1+1+4</f>
        <v>886</v>
      </c>
      <c r="UR31" s="2">
        <f>1+3</f>
        <v>4</v>
      </c>
      <c r="US31" s="2">
        <f>2+4+700</f>
        <v>706</v>
      </c>
      <c r="UT31" s="2">
        <f>36+4+4+1</f>
        <v>45</v>
      </c>
      <c r="UU31" s="2">
        <f>700+350+4</f>
        <v>1054</v>
      </c>
      <c r="UV31" s="2">
        <f>4+525</f>
        <v>529</v>
      </c>
      <c r="UW31" s="2">
        <v>1</v>
      </c>
      <c r="UX31" s="2"/>
      <c r="UY31" s="2">
        <f>350+175+350</f>
        <v>875</v>
      </c>
      <c r="UZ31" s="2">
        <f>42+1</f>
        <v>43</v>
      </c>
      <c r="VA31" s="2">
        <v>1</v>
      </c>
      <c r="VB31" s="2">
        <v>1</v>
      </c>
      <c r="VC31" s="2">
        <f>350+700+700+1225+875+2+525</f>
        <v>4377</v>
      </c>
      <c r="VD31" s="2">
        <v>2</v>
      </c>
      <c r="VE31" s="2">
        <f>525+525+525</f>
        <v>1575</v>
      </c>
      <c r="VF31" s="2">
        <v>350</v>
      </c>
      <c r="VG31" s="2">
        <f>700+525+525</f>
        <v>1750</v>
      </c>
      <c r="VH31" s="2">
        <f>875+350</f>
        <v>1225</v>
      </c>
      <c r="VI31" s="2">
        <v>875</v>
      </c>
      <c r="VJ31" s="2">
        <f>2+2</f>
        <v>4</v>
      </c>
      <c r="VK31" s="2">
        <f>218+2+2</f>
        <v>222</v>
      </c>
      <c r="VL31" s="2"/>
      <c r="VM31" s="2">
        <f>2+2</f>
        <v>4</v>
      </c>
      <c r="VN31" s="2">
        <f>2+2+2+2+46</f>
        <v>54</v>
      </c>
      <c r="VO31" s="2">
        <v>2</v>
      </c>
      <c r="VP31" s="2">
        <f>2+187</f>
        <v>189</v>
      </c>
      <c r="VQ31" s="2">
        <f>525+1+2</f>
        <v>528</v>
      </c>
      <c r="VR31" s="2">
        <f>350+175+1</f>
        <v>526</v>
      </c>
      <c r="VS31" s="2">
        <f>175+525</f>
        <v>700</v>
      </c>
      <c r="VT31" s="2">
        <v>1050</v>
      </c>
      <c r="VU31" s="2">
        <f>2+700</f>
        <v>702</v>
      </c>
      <c r="VV31" s="2">
        <f>1+700+1</f>
        <v>702</v>
      </c>
      <c r="VW31" s="2"/>
      <c r="VX31" s="2">
        <f>72+175+700</f>
        <v>947</v>
      </c>
      <c r="VY31" s="2">
        <f>350+244+525+875</f>
        <v>1994</v>
      </c>
      <c r="VZ31" s="2">
        <f>1+2+2+2+350+525</f>
        <v>882</v>
      </c>
      <c r="WA31" s="2">
        <v>175</v>
      </c>
      <c r="WB31" s="2">
        <f>1050+1225+350</f>
        <v>2625</v>
      </c>
      <c r="WC31" s="2">
        <f>1225+350+525+350</f>
        <v>2450</v>
      </c>
      <c r="WD31" s="2">
        <f>875+700+525</f>
        <v>2100</v>
      </c>
      <c r="WE31" s="2">
        <v>875</v>
      </c>
      <c r="WF31" s="2">
        <f>875+4+2</f>
        <v>881</v>
      </c>
      <c r="WG31" s="2">
        <v>525</v>
      </c>
      <c r="WH31" s="2">
        <f>1+2</f>
        <v>3</v>
      </c>
      <c r="WI31" s="2">
        <v>350</v>
      </c>
      <c r="WJ31" s="2">
        <v>2</v>
      </c>
      <c r="WK31" s="2"/>
      <c r="WL31" s="2"/>
      <c r="WM31" s="2"/>
      <c r="WN31" s="2">
        <f>175+2</f>
        <v>177</v>
      </c>
      <c r="WO31" s="2">
        <f>6+700+2</f>
        <v>708</v>
      </c>
      <c r="WP31" s="2">
        <v>525</v>
      </c>
      <c r="WQ31" s="2"/>
      <c r="WR31" s="2"/>
      <c r="WS31" s="2"/>
      <c r="WT31" s="2">
        <f>350+350+700</f>
        <v>1400</v>
      </c>
      <c r="WU31" s="2"/>
      <c r="WV31" s="2">
        <v>1050</v>
      </c>
      <c r="WW31" s="2">
        <v>3</v>
      </c>
      <c r="WX31" s="2"/>
      <c r="WY31" s="2">
        <v>88</v>
      </c>
      <c r="WZ31" s="2"/>
      <c r="XA31" s="2"/>
      <c r="XB31" s="2">
        <f>1+2</f>
        <v>3</v>
      </c>
      <c r="XC31" s="2"/>
      <c r="XD31" s="2">
        <f>1225+2+1</f>
        <v>1228</v>
      </c>
      <c r="XE31" s="2">
        <f>2+2</f>
        <v>4</v>
      </c>
      <c r="XF31" s="2">
        <f>2+1050</f>
        <v>1052</v>
      </c>
      <c r="XG31" s="2">
        <v>7</v>
      </c>
      <c r="XH31" s="2"/>
      <c r="XI31" s="2">
        <v>2</v>
      </c>
      <c r="XJ31" s="2">
        <v>50</v>
      </c>
      <c r="XK31" s="2"/>
      <c r="XL31" s="2"/>
      <c r="XM31" s="2">
        <f>1050+525+175+1225+2</f>
        <v>2977</v>
      </c>
      <c r="XN31" s="2">
        <f>350+700</f>
        <v>1050</v>
      </c>
      <c r="XO31" s="2">
        <v>1</v>
      </c>
      <c r="XP31" s="2"/>
      <c r="XQ31" s="2">
        <v>40</v>
      </c>
      <c r="XR31" s="2">
        <v>175</v>
      </c>
      <c r="XS31" s="2">
        <f>875+1050</f>
        <v>1925</v>
      </c>
      <c r="XT31" s="2"/>
      <c r="XU31" s="2">
        <f>1+2+2+2+1+2</f>
        <v>10</v>
      </c>
      <c r="XV31" s="2">
        <f>2+1</f>
        <v>3</v>
      </c>
      <c r="XW31" s="2">
        <f>1+2+1+1</f>
        <v>5</v>
      </c>
      <c r="XX31" s="2"/>
      <c r="XY31" s="2">
        <f>525+350+1050</f>
        <v>1925</v>
      </c>
      <c r="XZ31" s="2">
        <f>700+2</f>
        <v>702</v>
      </c>
      <c r="YA31" s="2">
        <v>2</v>
      </c>
      <c r="YB31" s="2">
        <f>1050+1</f>
        <v>1051</v>
      </c>
      <c r="YC31" s="2">
        <v>4</v>
      </c>
      <c r="YD31" s="2"/>
      <c r="YE31" s="2">
        <f>1050+700+50</f>
        <v>1800</v>
      </c>
      <c r="YF31" s="2"/>
      <c r="YG31" s="2">
        <v>1</v>
      </c>
      <c r="YH31" s="2">
        <f>525+350</f>
        <v>875</v>
      </c>
      <c r="YI31" s="2">
        <v>56</v>
      </c>
      <c r="YJ31" s="2">
        <v>3</v>
      </c>
      <c r="YK31" s="2"/>
      <c r="YL31" s="2">
        <f>700+350</f>
        <v>1050</v>
      </c>
      <c r="YM31" s="2">
        <f>2+3+2+1</f>
        <v>8</v>
      </c>
      <c r="YN31" s="2">
        <f>2+2+2+2</f>
        <v>8</v>
      </c>
      <c r="YO31" s="2">
        <f>1+1+2+2</f>
        <v>6</v>
      </c>
      <c r="YP31" s="2"/>
      <c r="YQ31" s="2"/>
      <c r="YR31" s="2">
        <v>1</v>
      </c>
      <c r="YS31" s="2">
        <f>2+2</f>
        <v>4</v>
      </c>
      <c r="YT31" s="2">
        <f>525+175+525+1+2</f>
        <v>1228</v>
      </c>
      <c r="YU31" s="2">
        <f>350+875+175</f>
        <v>1400</v>
      </c>
      <c r="YV31" s="2">
        <v>350</v>
      </c>
      <c r="YW31" s="9">
        <f>525+525</f>
        <v>1050</v>
      </c>
      <c r="YX31" s="2">
        <f>1+2</f>
        <v>3</v>
      </c>
      <c r="YY31" s="2">
        <v>525</v>
      </c>
      <c r="YZ31" s="2">
        <f>51+1</f>
        <v>52</v>
      </c>
      <c r="ZA31" s="2">
        <f>350+175+875+175</f>
        <v>1575</v>
      </c>
      <c r="ZB31" s="2">
        <v>875</v>
      </c>
      <c r="ZC31" s="2">
        <v>32</v>
      </c>
      <c r="ZD31" s="2">
        <v>350</v>
      </c>
      <c r="ZE31" s="2">
        <v>10</v>
      </c>
      <c r="ZF31" s="2">
        <f>1+2+2</f>
        <v>5</v>
      </c>
      <c r="ZG31" s="2">
        <f>2+2+2</f>
        <v>6</v>
      </c>
      <c r="ZH31" s="2">
        <f>1050+26</f>
        <v>1076</v>
      </c>
      <c r="ZI31" s="2">
        <f>2+2+2+1+1+8</f>
        <v>16</v>
      </c>
      <c r="ZJ31" s="2">
        <f>525+175+350+2</f>
        <v>1052</v>
      </c>
      <c r="ZK31" s="2">
        <f>2+2</f>
        <v>4</v>
      </c>
      <c r="ZL31" s="2"/>
      <c r="ZM31" s="2">
        <f>1+2</f>
        <v>3</v>
      </c>
      <c r="ZN31" s="2"/>
      <c r="ZO31" s="2">
        <v>1</v>
      </c>
      <c r="ZP31" s="2">
        <v>2</v>
      </c>
      <c r="ZQ31" s="2">
        <v>875</v>
      </c>
      <c r="ZR31" s="2">
        <v>1</v>
      </c>
      <c r="ZS31" s="2">
        <f>18+2+2</f>
        <v>22</v>
      </c>
      <c r="ZT31" s="2">
        <f>1+2</f>
        <v>3</v>
      </c>
      <c r="ZU31" s="2">
        <v>175</v>
      </c>
      <c r="ZV31" s="2">
        <v>875</v>
      </c>
      <c r="ZW31" s="2">
        <v>700</v>
      </c>
      <c r="ZX31" s="2">
        <v>66</v>
      </c>
      <c r="ZY31" s="2">
        <f>2+2+1+2</f>
        <v>7</v>
      </c>
      <c r="ZZ31" s="2">
        <f>175+1+1+1</f>
        <v>178</v>
      </c>
      <c r="AAA31" s="2">
        <v>350</v>
      </c>
      <c r="AAB31" s="2">
        <f>1+525+4</f>
        <v>530</v>
      </c>
      <c r="AAC31" s="2">
        <f>2+1+2+2+2</f>
        <v>9</v>
      </c>
      <c r="AAD31" s="2">
        <f>700+1</f>
        <v>701</v>
      </c>
      <c r="AAE31" s="2">
        <v>2</v>
      </c>
      <c r="AAF31" s="2">
        <v>2</v>
      </c>
      <c r="AAG31" s="2">
        <v>2</v>
      </c>
      <c r="AAH31" s="2"/>
      <c r="AAI31" s="2">
        <f>22+175</f>
        <v>197</v>
      </c>
      <c r="AAJ31" s="2"/>
      <c r="AAK31" s="2">
        <v>1</v>
      </c>
      <c r="AAL31" s="2"/>
      <c r="AAM31" s="2">
        <f>2+2+2</f>
        <v>6</v>
      </c>
      <c r="AAN31" s="2">
        <v>2</v>
      </c>
      <c r="AAO31" s="2"/>
      <c r="AAP31" s="2">
        <f>1+525+875</f>
        <v>1401</v>
      </c>
      <c r="AAQ31" s="2">
        <f>700+1+175+700</f>
        <v>1576</v>
      </c>
      <c r="AAR31" s="2"/>
      <c r="AAS31" s="2">
        <f>2+2+1050</f>
        <v>1054</v>
      </c>
      <c r="AAT31" s="2">
        <f>350+1050+2</f>
        <v>1402</v>
      </c>
      <c r="AAU31" s="2">
        <f>26+875+1+1</f>
        <v>903</v>
      </c>
      <c r="AAV31" s="2">
        <f>1+2</f>
        <v>3</v>
      </c>
      <c r="AAW31" s="2"/>
      <c r="AAX31" s="2"/>
      <c r="AAY31" s="2">
        <v>350</v>
      </c>
      <c r="AAZ31" s="2">
        <f>700+350+525+2</f>
        <v>1577</v>
      </c>
      <c r="ABA31" s="2">
        <f>1+350+2</f>
        <v>353</v>
      </c>
      <c r="ABB31" s="2">
        <v>3</v>
      </c>
      <c r="ABC31" s="2"/>
      <c r="ABD31" s="2"/>
      <c r="ABE31" s="2">
        <v>38</v>
      </c>
      <c r="ABF31" s="2">
        <v>2</v>
      </c>
      <c r="ABG31" s="2">
        <f>1+1+2+2+2+2+2</f>
        <v>12</v>
      </c>
      <c r="ABH31" s="2">
        <f>6+2+1+1+350</f>
        <v>360</v>
      </c>
      <c r="ABI31" s="2">
        <f>525+2+2</f>
        <v>529</v>
      </c>
      <c r="ABJ31" s="2">
        <f>700+525</f>
        <v>1225</v>
      </c>
      <c r="ABK31" s="2">
        <v>350</v>
      </c>
      <c r="ABL31" s="2">
        <f>2+525+875</f>
        <v>1402</v>
      </c>
      <c r="ABM31" s="2">
        <v>2</v>
      </c>
      <c r="ABN31" s="2">
        <f>700+350+49</f>
        <v>1099</v>
      </c>
      <c r="ABO31" s="2"/>
      <c r="ABP31" s="2">
        <v>350</v>
      </c>
      <c r="ABQ31" s="2">
        <v>350</v>
      </c>
      <c r="ABR31" s="2">
        <f>1575+350</f>
        <v>1925</v>
      </c>
      <c r="ABS31" s="2">
        <f>2+2+1+2+2+10</f>
        <v>19</v>
      </c>
      <c r="ABT31" s="2">
        <f>1400+700+1</f>
        <v>2101</v>
      </c>
      <c r="ABU31" s="2">
        <v>25</v>
      </c>
      <c r="ABV31" s="2">
        <v>350</v>
      </c>
      <c r="ABW31" s="2"/>
      <c r="ABX31" s="2">
        <f>2+2</f>
        <v>4</v>
      </c>
      <c r="ABY31" s="2">
        <f>2+2+2</f>
        <v>6</v>
      </c>
      <c r="ABZ31" s="2">
        <f>2+175</f>
        <v>177</v>
      </c>
      <c r="ACA31" s="2">
        <f>875+700+525+2+2+700+875+1</f>
        <v>3680</v>
      </c>
      <c r="ACB31" s="2">
        <f>525+2</f>
        <v>527</v>
      </c>
      <c r="ACC31" s="2">
        <f>3+2+350</f>
        <v>355</v>
      </c>
      <c r="ACD31" s="2"/>
      <c r="ACE31" s="2"/>
      <c r="ACF31" s="2">
        <v>525</v>
      </c>
      <c r="ACG31" s="2">
        <f>2+2</f>
        <v>4</v>
      </c>
      <c r="ACH31" s="2"/>
      <c r="ACI31" s="2">
        <f>700+525+26</f>
        <v>1251</v>
      </c>
      <c r="ACJ31" s="2">
        <f>2+525+525</f>
        <v>1052</v>
      </c>
      <c r="ACK31" s="2">
        <f>2+175+175</f>
        <v>352</v>
      </c>
      <c r="ACL31" s="2">
        <v>1</v>
      </c>
      <c r="ACM31" s="2">
        <v>26</v>
      </c>
      <c r="ACN31" s="2">
        <v>700</v>
      </c>
      <c r="ACO31" s="2"/>
      <c r="ACP31" s="2"/>
      <c r="ACQ31" s="2">
        <f>525+175</f>
        <v>700</v>
      </c>
      <c r="ACR31" s="2">
        <f>350+1+2+4+2+1+2+4+2</f>
        <v>368</v>
      </c>
      <c r="ACS31" s="2">
        <f>1+2+350+175</f>
        <v>528</v>
      </c>
      <c r="ACT31" s="2">
        <v>31</v>
      </c>
      <c r="ACU31" s="2">
        <f>525+2+175+2</f>
        <v>704</v>
      </c>
      <c r="ACV31" s="2">
        <v>2</v>
      </c>
      <c r="ACW31" s="2">
        <f>700+2+2</f>
        <v>704</v>
      </c>
      <c r="ACX31" s="2">
        <f>175+1</f>
        <v>176</v>
      </c>
      <c r="ACY31" s="2">
        <f>1+1050</f>
        <v>1051</v>
      </c>
      <c r="ACZ31" s="2"/>
      <c r="ADA31" s="2">
        <f>175+1+2</f>
        <v>178</v>
      </c>
      <c r="ADB31" s="2">
        <v>1</v>
      </c>
      <c r="ADC31" s="2">
        <f>24+175</f>
        <v>199</v>
      </c>
      <c r="ADD31" s="2">
        <f>175+175+525+350</f>
        <v>1225</v>
      </c>
      <c r="ADE31" s="2"/>
      <c r="ADF31" s="2">
        <f>700+350+350</f>
        <v>1400</v>
      </c>
      <c r="ADG31" s="2">
        <f>175+700+525+525</f>
        <v>1925</v>
      </c>
      <c r="ADH31" s="2"/>
      <c r="ADI31" s="2">
        <f>2+1+1+2+2+2+2+2+1</f>
        <v>15</v>
      </c>
      <c r="ADJ31" s="2"/>
      <c r="ADK31" s="2">
        <f>525+525+875+2+1+175+350</f>
        <v>2453</v>
      </c>
      <c r="ADL31" s="2">
        <v>1</v>
      </c>
      <c r="ADM31" s="2">
        <f>1+525+2+2</f>
        <v>530</v>
      </c>
      <c r="ADN31" s="2">
        <f>4+2</f>
        <v>6</v>
      </c>
      <c r="ADO31" s="2">
        <f>1050+1</f>
        <v>1051</v>
      </c>
      <c r="ADP31" s="2">
        <v>39</v>
      </c>
      <c r="ADQ31" s="2">
        <f>1+2+350</f>
        <v>353</v>
      </c>
      <c r="ADR31" s="2">
        <f>2+2+2+350</f>
        <v>356</v>
      </c>
      <c r="ADS31" s="2">
        <v>525</v>
      </c>
      <c r="ADT31" s="2">
        <f>700+1225</f>
        <v>1925</v>
      </c>
      <c r="ADU31" s="2">
        <v>525</v>
      </c>
      <c r="ADV31" s="2">
        <f>28+2</f>
        <v>30</v>
      </c>
      <c r="ADW31" s="2">
        <f>1+3+350</f>
        <v>354</v>
      </c>
      <c r="ADX31" s="2">
        <f>350+525</f>
        <v>875</v>
      </c>
      <c r="ADY31" s="2">
        <f>525+1+1050+175</f>
        <v>1751</v>
      </c>
      <c r="ADZ31" s="2">
        <v>1</v>
      </c>
      <c r="AEA31" s="2">
        <v>700</v>
      </c>
      <c r="AEB31" s="2"/>
      <c r="AEC31" s="2"/>
      <c r="AED31" s="2">
        <f>175+1+1</f>
        <v>177</v>
      </c>
      <c r="AEE31" s="2">
        <f>1+32</f>
        <v>33</v>
      </c>
      <c r="AEF31" s="2">
        <f>2+2+2+175</f>
        <v>181</v>
      </c>
      <c r="AEG31" s="2">
        <f>2+700+175</f>
        <v>877</v>
      </c>
      <c r="AEH31" s="2">
        <f>2+2+2+175</f>
        <v>181</v>
      </c>
      <c r="AEI31" s="2">
        <f>350+350</f>
        <v>700</v>
      </c>
      <c r="AEJ31" s="2">
        <f>525+1</f>
        <v>526</v>
      </c>
      <c r="AEK31" s="2">
        <f>175+175+1</f>
        <v>351</v>
      </c>
      <c r="AEL31" s="2">
        <f>1+2+2+1</f>
        <v>6</v>
      </c>
      <c r="AEM31" s="2">
        <v>350</v>
      </c>
      <c r="AEN31" s="2">
        <f>2+1</f>
        <v>3</v>
      </c>
      <c r="AEO31" s="2">
        <f>2+2+40</f>
        <v>44</v>
      </c>
      <c r="AEP31" s="2">
        <f>2+2</f>
        <v>4</v>
      </c>
      <c r="AEQ31" s="2">
        <f>525+2+525</f>
        <v>1052</v>
      </c>
      <c r="AER31" s="2">
        <f>2+8</f>
        <v>10</v>
      </c>
      <c r="AES31" s="2">
        <v>350</v>
      </c>
      <c r="AET31" s="2"/>
      <c r="AEU31" s="2"/>
      <c r="AEV31" s="2">
        <v>350</v>
      </c>
      <c r="AEW31" s="2">
        <f>350+27</f>
        <v>377</v>
      </c>
      <c r="AEX31" s="2">
        <v>1</v>
      </c>
      <c r="AEY31" s="2">
        <f>2+2+1+2+1+1+2+2</f>
        <v>13</v>
      </c>
      <c r="AEZ31" s="2">
        <v>1</v>
      </c>
      <c r="AFA31" s="2">
        <f>350+525+1+2</f>
        <v>878</v>
      </c>
      <c r="AFB31" s="2"/>
      <c r="AFC31" s="12">
        <f>1+350+700</f>
        <v>1051</v>
      </c>
      <c r="AFD31" s="2" t="s">
        <v>1241</v>
      </c>
      <c r="AFE31" s="2">
        <f>350+350</f>
        <v>700</v>
      </c>
      <c r="AFF31" s="2"/>
      <c r="AFG31" s="2"/>
      <c r="AFH31" s="2"/>
      <c r="AFI31" s="2"/>
      <c r="AFJ31" s="2"/>
      <c r="AFK31" s="2"/>
      <c r="AFL31" s="2">
        <f t="shared" si="0"/>
        <v>492505</v>
      </c>
    </row>
    <row r="32" spans="1:844" s="4" customFormat="1" ht="13.5" customHeight="1" x14ac:dyDescent="0.3">
      <c r="A32" s="11"/>
      <c r="B32" s="91">
        <v>550052038</v>
      </c>
      <c r="C32" s="52" t="s">
        <v>93</v>
      </c>
      <c r="D32" s="35" t="s">
        <v>2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>
        <f>350+350</f>
        <v>700</v>
      </c>
      <c r="X32" s="2">
        <v>175</v>
      </c>
      <c r="Y32" s="2">
        <v>525</v>
      </c>
      <c r="Z32" s="2">
        <v>350</v>
      </c>
      <c r="AA32" s="2">
        <v>525</v>
      </c>
      <c r="AB32" s="2">
        <v>350</v>
      </c>
      <c r="AC32" s="2"/>
      <c r="AD32" s="2"/>
      <c r="AE32" s="2">
        <v>350</v>
      </c>
      <c r="AF32" s="2">
        <f>175+350</f>
        <v>525</v>
      </c>
      <c r="AG32" s="2"/>
      <c r="AH32" s="2">
        <v>175</v>
      </c>
      <c r="AI32" s="2">
        <v>350</v>
      </c>
      <c r="AJ32" s="2">
        <v>175</v>
      </c>
      <c r="AK32" s="2">
        <v>175</v>
      </c>
      <c r="AL32" s="2"/>
      <c r="AM32" s="2">
        <v>525</v>
      </c>
      <c r="AN32" s="2"/>
      <c r="AO32" s="2"/>
      <c r="AP32" s="2">
        <v>311</v>
      </c>
      <c r="AQ32" s="2"/>
      <c r="AR32" s="2"/>
      <c r="AS32" s="2"/>
      <c r="AT32" s="2"/>
      <c r="AU32" s="2">
        <f>175+175+175</f>
        <v>525</v>
      </c>
      <c r="AV32" s="2">
        <f>175+175</f>
        <v>350</v>
      </c>
      <c r="AW32" s="2">
        <v>175</v>
      </c>
      <c r="AX32" s="2"/>
      <c r="AY32" s="2"/>
      <c r="AZ32" s="2">
        <v>175</v>
      </c>
      <c r="BA32" s="2"/>
      <c r="BB32" s="2"/>
      <c r="BC32" s="2"/>
      <c r="BD32" s="2"/>
      <c r="BE32" s="2"/>
      <c r="BF32" s="2"/>
      <c r="BG32" s="2"/>
      <c r="BH32" s="2">
        <f>1+1</f>
        <v>2</v>
      </c>
      <c r="BI32" s="2"/>
      <c r="BJ32" s="2"/>
      <c r="BK32" s="2"/>
      <c r="BL32" s="2"/>
      <c r="BM32" s="2"/>
      <c r="BN32" s="2"/>
      <c r="BO32" s="2">
        <v>175</v>
      </c>
      <c r="BP32" s="2"/>
      <c r="BQ32" s="2"/>
      <c r="BR32" s="2"/>
      <c r="BS32" s="2"/>
      <c r="BT32" s="2">
        <v>350</v>
      </c>
      <c r="BU32" s="2">
        <v>1</v>
      </c>
      <c r="BV32" s="2"/>
      <c r="BW32" s="2"/>
      <c r="BX32" s="2">
        <v>175</v>
      </c>
      <c r="BY32" s="2"/>
      <c r="BZ32" s="2"/>
      <c r="CA32" s="2">
        <v>350</v>
      </c>
      <c r="CB32" s="2"/>
      <c r="CC32" s="2">
        <v>175</v>
      </c>
      <c r="CD32" s="2"/>
      <c r="CE32" s="2"/>
      <c r="CF32" s="2">
        <v>175</v>
      </c>
      <c r="CG32" s="2"/>
      <c r="CH32" s="2">
        <v>175</v>
      </c>
      <c r="CI32" s="2">
        <f>175+175</f>
        <v>350</v>
      </c>
      <c r="CJ32" s="2">
        <v>350</v>
      </c>
      <c r="CK32" s="2">
        <v>175</v>
      </c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>
        <v>175</v>
      </c>
      <c r="CX32" s="2"/>
      <c r="CY32" s="2"/>
      <c r="CZ32" s="2">
        <v>350</v>
      </c>
      <c r="DA32" s="2">
        <f>175+175</f>
        <v>350</v>
      </c>
      <c r="DB32" s="2"/>
      <c r="DC32" s="2"/>
      <c r="DD32" s="2"/>
      <c r="DE32" s="2"/>
      <c r="DF32" s="2"/>
      <c r="DG32" s="2"/>
      <c r="DH32" s="2">
        <v>1</v>
      </c>
      <c r="DI32" s="2"/>
      <c r="DJ32" s="2"/>
      <c r="DK32" s="2"/>
      <c r="DL32" s="2">
        <v>175</v>
      </c>
      <c r="DM32" s="2"/>
      <c r="DN32" s="2"/>
      <c r="DO32" s="2"/>
      <c r="DP32" s="2"/>
      <c r="DQ32" s="2"/>
      <c r="DR32" s="2"/>
      <c r="DS32" s="2"/>
      <c r="DT32" s="2"/>
      <c r="DU32" s="2">
        <v>4</v>
      </c>
      <c r="DV32" s="2">
        <v>9</v>
      </c>
      <c r="DW32" s="2"/>
      <c r="DX32" s="2"/>
      <c r="DY32" s="2"/>
      <c r="DZ32" s="2"/>
      <c r="EA32" s="2"/>
      <c r="EB32" s="2"/>
      <c r="EC32" s="2"/>
      <c r="ED32" s="2"/>
      <c r="EE32" s="2"/>
      <c r="EF32" s="2">
        <v>175</v>
      </c>
      <c r="EG32" s="2"/>
      <c r="EH32" s="2">
        <v>2</v>
      </c>
      <c r="EI32" s="2"/>
      <c r="EJ32" s="2"/>
      <c r="EK32" s="2"/>
      <c r="EL32" s="2"/>
      <c r="EM32" s="2">
        <v>2</v>
      </c>
      <c r="EN32" s="2"/>
      <c r="EO32" s="2"/>
      <c r="EP32" s="2"/>
      <c r="EQ32" s="2"/>
      <c r="ER32" s="2"/>
      <c r="ES32" s="2">
        <f>1+2</f>
        <v>3</v>
      </c>
      <c r="ET32" s="2"/>
      <c r="EU32" s="2"/>
      <c r="EV32" s="2"/>
      <c r="EW32" s="2">
        <v>175</v>
      </c>
      <c r="EX32" s="2"/>
      <c r="EY32" s="2"/>
      <c r="EZ32" s="2">
        <f>175+175</f>
        <v>350</v>
      </c>
      <c r="FA32" s="2">
        <v>175</v>
      </c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>
        <v>175</v>
      </c>
      <c r="FR32" s="2"/>
      <c r="FS32" s="2">
        <v>175</v>
      </c>
      <c r="FT32" s="2">
        <v>175</v>
      </c>
      <c r="FU32" s="2"/>
      <c r="FV32" s="2"/>
      <c r="FW32" s="2"/>
      <c r="FX32" s="2">
        <v>1</v>
      </c>
      <c r="FY32" s="2"/>
      <c r="FZ32" s="2"/>
      <c r="GA32" s="2"/>
      <c r="GB32" s="2"/>
      <c r="GC32" s="2"/>
      <c r="GD32" s="2"/>
      <c r="GE32" s="2"/>
      <c r="GF32" s="2"/>
      <c r="GG32" s="2">
        <f>2+350</f>
        <v>352</v>
      </c>
      <c r="GH32" s="2"/>
      <c r="GI32" s="2">
        <v>175</v>
      </c>
      <c r="GJ32" s="2">
        <v>1</v>
      </c>
      <c r="GK32" s="2"/>
      <c r="GL32" s="2"/>
      <c r="GM32" s="2"/>
      <c r="GN32" s="2"/>
      <c r="GO32" s="2"/>
      <c r="GP32" s="2"/>
      <c r="GQ32" s="2"/>
      <c r="GR32" s="2"/>
      <c r="GS32" s="2">
        <v>2</v>
      </c>
      <c r="GT32" s="2"/>
      <c r="GU32" s="2"/>
      <c r="GV32" s="2"/>
      <c r="GW32" s="2"/>
      <c r="GX32" s="2">
        <v>1</v>
      </c>
      <c r="GY32" s="2"/>
      <c r="GZ32" s="2"/>
      <c r="HA32" s="2"/>
      <c r="HB32" s="2">
        <v>175</v>
      </c>
      <c r="HC32" s="2"/>
      <c r="HD32" s="2">
        <v>2</v>
      </c>
      <c r="HE32" s="2"/>
      <c r="HF32" s="2"/>
      <c r="HG32" s="2">
        <v>175</v>
      </c>
      <c r="HH32" s="2"/>
      <c r="HI32" s="2"/>
      <c r="HJ32" s="2"/>
      <c r="HK32" s="2"/>
      <c r="HL32" s="2"/>
      <c r="HM32" s="2"/>
      <c r="HN32" s="2"/>
      <c r="HO32" s="2"/>
      <c r="HP32" s="2"/>
      <c r="HQ32" s="2">
        <v>1</v>
      </c>
      <c r="HR32" s="2"/>
      <c r="HS32" s="2">
        <v>350</v>
      </c>
      <c r="HT32" s="2"/>
      <c r="HU32" s="2">
        <v>175</v>
      </c>
      <c r="HV32" s="2"/>
      <c r="HW32" s="2"/>
      <c r="HX32" s="2"/>
      <c r="HY32" s="2"/>
      <c r="HZ32" s="2"/>
      <c r="IA32" s="2"/>
      <c r="IB32" s="2">
        <v>2</v>
      </c>
      <c r="IC32" s="2"/>
      <c r="ID32" s="2"/>
      <c r="IE32" s="2"/>
      <c r="IF32" s="2">
        <v>175</v>
      </c>
      <c r="IG32" s="2"/>
      <c r="IH32" s="2"/>
      <c r="II32" s="2"/>
      <c r="IJ32" s="2"/>
      <c r="IK32" s="2">
        <f>175+10</f>
        <v>185</v>
      </c>
      <c r="IL32" s="2">
        <v>1</v>
      </c>
      <c r="IM32" s="2"/>
      <c r="IN32" s="2">
        <v>175</v>
      </c>
      <c r="IO32" s="2">
        <f>350+1</f>
        <v>351</v>
      </c>
      <c r="IP32" s="2"/>
      <c r="IQ32" s="2"/>
      <c r="IR32" s="2"/>
      <c r="IS32" s="2"/>
      <c r="IT32" s="2"/>
      <c r="IU32" s="2">
        <f>2+175</f>
        <v>177</v>
      </c>
      <c r="IV32" s="2"/>
      <c r="IW32" s="2"/>
      <c r="IX32" s="2">
        <v>2</v>
      </c>
      <c r="IY32" s="2"/>
      <c r="IZ32" s="2">
        <v>175</v>
      </c>
      <c r="JA32" s="2"/>
      <c r="JB32" s="2"/>
      <c r="JC32" s="2"/>
      <c r="JD32" s="2"/>
      <c r="JE32" s="2"/>
      <c r="JF32" s="2"/>
      <c r="JG32" s="2"/>
      <c r="JH32" s="2">
        <v>1</v>
      </c>
      <c r="JI32" s="2"/>
      <c r="JJ32" s="2"/>
      <c r="JK32" s="2"/>
      <c r="JL32" s="2"/>
      <c r="JM32" s="2"/>
      <c r="JN32" s="2">
        <v>175</v>
      </c>
      <c r="JO32" s="2"/>
      <c r="JP32" s="2"/>
      <c r="JQ32" s="2"/>
      <c r="JR32" s="2">
        <v>175</v>
      </c>
      <c r="JS32" s="2"/>
      <c r="JT32" s="2"/>
      <c r="JU32" s="2"/>
      <c r="JV32" s="2"/>
      <c r="JW32" s="2"/>
      <c r="JX32" s="2">
        <v>350</v>
      </c>
      <c r="JY32" s="2">
        <v>1</v>
      </c>
      <c r="JZ32" s="2">
        <f>175+175</f>
        <v>350</v>
      </c>
      <c r="KA32" s="2"/>
      <c r="KB32" s="2">
        <f>175+175</f>
        <v>350</v>
      </c>
      <c r="KC32" s="2"/>
      <c r="KD32" s="2"/>
      <c r="KE32" s="2">
        <f>1+350</f>
        <v>351</v>
      </c>
      <c r="KF32" s="2"/>
      <c r="KG32" s="2"/>
      <c r="KH32" s="2"/>
      <c r="KI32" s="2"/>
      <c r="KJ32" s="2"/>
      <c r="KK32" s="2">
        <v>175</v>
      </c>
      <c r="KL32" s="2"/>
      <c r="KM32" s="2"/>
      <c r="KN32" s="2">
        <v>1</v>
      </c>
      <c r="KO32" s="2"/>
      <c r="KP32" s="2"/>
      <c r="KQ32" s="2"/>
      <c r="KR32" s="2"/>
      <c r="KS32" s="2">
        <f>175+175</f>
        <v>350</v>
      </c>
      <c r="KT32" s="2"/>
      <c r="KU32" s="2">
        <f>350+1</f>
        <v>351</v>
      </c>
      <c r="KV32" s="2"/>
      <c r="KW32" s="2"/>
      <c r="KX32" s="2"/>
      <c r="KY32" s="2"/>
      <c r="KZ32" s="2"/>
      <c r="LA32" s="2">
        <v>88</v>
      </c>
      <c r="LB32" s="2"/>
      <c r="LC32" s="2"/>
      <c r="LD32" s="2">
        <v>175</v>
      </c>
      <c r="LE32" s="2"/>
      <c r="LF32" s="2"/>
      <c r="LG32" s="2"/>
      <c r="LH32" s="2"/>
      <c r="LI32" s="2">
        <v>175</v>
      </c>
      <c r="LJ32" s="2"/>
      <c r="LK32" s="2"/>
      <c r="LL32" s="2">
        <v>175</v>
      </c>
      <c r="LM32" s="2"/>
      <c r="LN32" s="2">
        <v>175</v>
      </c>
      <c r="LO32" s="2">
        <v>175</v>
      </c>
      <c r="LP32" s="2">
        <v>1</v>
      </c>
      <c r="LQ32" s="2">
        <v>350</v>
      </c>
      <c r="LR32" s="2"/>
      <c r="LS32" s="2"/>
      <c r="LT32" s="2">
        <v>175</v>
      </c>
      <c r="LU32" s="2">
        <v>175</v>
      </c>
      <c r="LV32" s="2">
        <f>175+175</f>
        <v>350</v>
      </c>
      <c r="LW32" s="2"/>
      <c r="LX32" s="2">
        <v>4</v>
      </c>
      <c r="LY32" s="2">
        <f>175+175</f>
        <v>350</v>
      </c>
      <c r="LZ32" s="2">
        <v>525</v>
      </c>
      <c r="MA32" s="2"/>
      <c r="MB32" s="2">
        <v>175</v>
      </c>
      <c r="MC32" s="2">
        <v>1</v>
      </c>
      <c r="MD32" s="2">
        <f>175+175</f>
        <v>350</v>
      </c>
      <c r="ME32" s="2">
        <f>175+350+525</f>
        <v>1050</v>
      </c>
      <c r="MF32" s="2"/>
      <c r="MG32" s="2"/>
      <c r="MH32" s="2">
        <v>350</v>
      </c>
      <c r="MI32" s="2">
        <v>175</v>
      </c>
      <c r="MJ32" s="2">
        <v>1</v>
      </c>
      <c r="MK32" s="2"/>
      <c r="ML32" s="2"/>
      <c r="MM32" s="2">
        <v>175</v>
      </c>
      <c r="MN32" s="2">
        <v>1</v>
      </c>
      <c r="MO32" s="2"/>
      <c r="MP32" s="2">
        <f>175+350</f>
        <v>525</v>
      </c>
      <c r="MQ32" s="2"/>
      <c r="MR32" s="2"/>
      <c r="MS32" s="2">
        <f>1+1</f>
        <v>2</v>
      </c>
      <c r="MT32" s="2"/>
      <c r="MU32" s="2"/>
      <c r="MV32" s="2"/>
      <c r="MW32" s="2"/>
      <c r="MX32" s="2">
        <v>175</v>
      </c>
      <c r="MY32" s="2">
        <v>1</v>
      </c>
      <c r="MZ32" s="2">
        <v>2</v>
      </c>
      <c r="NA32" s="2">
        <v>1</v>
      </c>
      <c r="NB32" s="2"/>
      <c r="NC32" s="2"/>
      <c r="ND32" s="2"/>
      <c r="NE32" s="2">
        <f>175+175</f>
        <v>350</v>
      </c>
      <c r="NF32" s="2">
        <f>1+2</f>
        <v>3</v>
      </c>
      <c r="NG32" s="2"/>
      <c r="NH32" s="2">
        <v>175</v>
      </c>
      <c r="NI32" s="2"/>
      <c r="NJ32" s="2"/>
      <c r="NK32" s="2"/>
      <c r="NL32" s="2"/>
      <c r="NM32" s="2">
        <v>175</v>
      </c>
      <c r="NN32" s="2"/>
      <c r="NO32" s="2"/>
      <c r="NP32" s="2">
        <v>350</v>
      </c>
      <c r="NQ32" s="2"/>
      <c r="NR32" s="2"/>
      <c r="NS32" s="2"/>
      <c r="NT32" s="2">
        <v>175</v>
      </c>
      <c r="NU32" s="2"/>
      <c r="NV32" s="2"/>
      <c r="NW32" s="2">
        <v>175</v>
      </c>
      <c r="NX32" s="2"/>
      <c r="NY32" s="2"/>
      <c r="NZ32" s="2">
        <v>7</v>
      </c>
      <c r="OA32" s="2"/>
      <c r="OB32" s="2">
        <v>175</v>
      </c>
      <c r="OC32" s="2"/>
      <c r="OD32" s="2">
        <f>139+1</f>
        <v>140</v>
      </c>
      <c r="OE32" s="2"/>
      <c r="OF32" s="2"/>
      <c r="OG32" s="2"/>
      <c r="OH32" s="2">
        <v>175</v>
      </c>
      <c r="OI32" s="2">
        <v>175</v>
      </c>
      <c r="OJ32" s="2">
        <v>350</v>
      </c>
      <c r="OK32" s="2"/>
      <c r="OL32" s="2">
        <v>3</v>
      </c>
      <c r="OM32" s="2"/>
      <c r="ON32" s="2"/>
      <c r="OO32" s="2"/>
      <c r="OP32" s="2">
        <v>175</v>
      </c>
      <c r="OQ32" s="2">
        <f>175+175</f>
        <v>350</v>
      </c>
      <c r="OR32" s="2">
        <v>175</v>
      </c>
      <c r="OS32" s="2"/>
      <c r="OT32" s="2">
        <f>51+175+1</f>
        <v>227</v>
      </c>
      <c r="OU32" s="2">
        <v>175</v>
      </c>
      <c r="OV32" s="2"/>
      <c r="OW32" s="2"/>
      <c r="OX32" s="2"/>
      <c r="OY32" s="2"/>
      <c r="OZ32" s="2">
        <f>175+350+175</f>
        <v>700</v>
      </c>
      <c r="PA32" s="2">
        <f>175+175</f>
        <v>350</v>
      </c>
      <c r="PB32" s="2">
        <v>8</v>
      </c>
      <c r="PC32" s="2"/>
      <c r="PD32" s="2"/>
      <c r="PE32" s="2"/>
      <c r="PF32" s="2">
        <v>175</v>
      </c>
      <c r="PG32" s="2">
        <v>175</v>
      </c>
      <c r="PH32" s="2"/>
      <c r="PI32" s="2"/>
      <c r="PJ32" s="2"/>
      <c r="PK32" s="2"/>
      <c r="PL32" s="2"/>
      <c r="PM32" s="2">
        <f>175</f>
        <v>175</v>
      </c>
      <c r="PN32" s="2"/>
      <c r="PO32" s="2"/>
      <c r="PP32" s="2"/>
      <c r="PQ32" s="2"/>
      <c r="PR32" s="2">
        <v>175</v>
      </c>
      <c r="PS32" s="2">
        <f>175+350</f>
        <v>525</v>
      </c>
      <c r="PT32" s="2">
        <v>175</v>
      </c>
      <c r="PU32" s="2"/>
      <c r="PV32" s="2">
        <f>175+1+1</f>
        <v>177</v>
      </c>
      <c r="PW32" s="2"/>
      <c r="PX32" s="2"/>
      <c r="PY32" s="2"/>
      <c r="PZ32" s="2"/>
      <c r="QA32" s="2">
        <v>175</v>
      </c>
      <c r="QB32" s="2">
        <f>175+175+1</f>
        <v>351</v>
      </c>
      <c r="QC32" s="2">
        <f>175+175+175+175</f>
        <v>700</v>
      </c>
      <c r="QD32" s="2"/>
      <c r="QE32" s="2"/>
      <c r="QF32" s="2">
        <v>175</v>
      </c>
      <c r="QG32" s="2"/>
      <c r="QH32" s="2"/>
      <c r="QI32" s="2">
        <f>31</f>
        <v>31</v>
      </c>
      <c r="QJ32" s="2"/>
      <c r="QK32" s="2">
        <f>175+175+175</f>
        <v>525</v>
      </c>
      <c r="QL32" s="2">
        <f>175</f>
        <v>175</v>
      </c>
      <c r="QM32" s="2">
        <f>175</f>
        <v>175</v>
      </c>
      <c r="QN32" s="2"/>
      <c r="QO32" s="2"/>
      <c r="QP32" s="2"/>
      <c r="QQ32" s="2">
        <f>8</f>
        <v>8</v>
      </c>
      <c r="QR32" s="2">
        <f>175</f>
        <v>175</v>
      </c>
      <c r="QS32" s="2">
        <f>350</f>
        <v>350</v>
      </c>
      <c r="QT32" s="2"/>
      <c r="QU32" s="2"/>
      <c r="QV32" s="2"/>
      <c r="QW32" s="2"/>
      <c r="QX32" s="2"/>
      <c r="QY32" s="2"/>
      <c r="QZ32" s="2"/>
      <c r="RA32" s="2"/>
      <c r="RB32" s="2">
        <f>175+2</f>
        <v>177</v>
      </c>
      <c r="RC32" s="2"/>
      <c r="RD32" s="2"/>
      <c r="RE32" s="2">
        <f>350+175</f>
        <v>525</v>
      </c>
      <c r="RF32" s="2"/>
      <c r="RG32" s="2"/>
      <c r="RH32" s="2">
        <f>8</f>
        <v>8</v>
      </c>
      <c r="RI32" s="2"/>
      <c r="RJ32" s="2"/>
      <c r="RK32" s="2">
        <f>8</f>
        <v>8</v>
      </c>
      <c r="RL32" s="2">
        <f>2</f>
        <v>2</v>
      </c>
      <c r="RM32" s="2">
        <f>350</f>
        <v>350</v>
      </c>
      <c r="RN32" s="2">
        <f>350</f>
        <v>350</v>
      </c>
      <c r="RO32" s="2"/>
      <c r="RP32" s="2"/>
      <c r="RQ32" s="2">
        <f>175</f>
        <v>175</v>
      </c>
      <c r="RR32" s="2"/>
      <c r="RS32" s="2"/>
      <c r="RT32" s="2"/>
      <c r="RU32" s="2"/>
      <c r="RV32" s="2"/>
      <c r="RW32" s="2">
        <f>11</f>
        <v>11</v>
      </c>
      <c r="RX32" s="2">
        <f>175</f>
        <v>175</v>
      </c>
      <c r="RY32" s="2"/>
      <c r="RZ32" s="2">
        <f>350</f>
        <v>350</v>
      </c>
      <c r="SA32" s="2">
        <f>175</f>
        <v>175</v>
      </c>
      <c r="SB32" s="2">
        <f>2</f>
        <v>2</v>
      </c>
      <c r="SC32" s="2"/>
      <c r="SD32" s="2">
        <f>175+175</f>
        <v>350</v>
      </c>
      <c r="SE32" s="2"/>
      <c r="SF32" s="2"/>
      <c r="SG32" s="2"/>
      <c r="SH32" s="2">
        <f>175+175</f>
        <v>350</v>
      </c>
      <c r="SI32" s="2">
        <f>175</f>
        <v>175</v>
      </c>
      <c r="SJ32" s="2">
        <f>5+1</f>
        <v>6</v>
      </c>
      <c r="SK32" s="2"/>
      <c r="SL32" s="2"/>
      <c r="SM32" s="2"/>
      <c r="SN32" s="2"/>
      <c r="SO32" s="2"/>
      <c r="SP32" s="2">
        <f>175+175+175</f>
        <v>525</v>
      </c>
      <c r="SQ32" s="2"/>
      <c r="SR32" s="2">
        <f>2</f>
        <v>2</v>
      </c>
      <c r="SS32" s="2">
        <f>525</f>
        <v>525</v>
      </c>
      <c r="ST32" s="2"/>
      <c r="SU32" s="2">
        <f>175+175</f>
        <v>350</v>
      </c>
      <c r="SV32" s="2">
        <v>175</v>
      </c>
      <c r="SW32" s="2">
        <f>175+6</f>
        <v>181</v>
      </c>
      <c r="SX32" s="2"/>
      <c r="SY32" s="2">
        <f>175+175</f>
        <v>350</v>
      </c>
      <c r="SZ32" s="2"/>
      <c r="TA32" s="2"/>
      <c r="TB32" s="2">
        <f>350+175</f>
        <v>525</v>
      </c>
      <c r="TC32" s="2"/>
      <c r="TD32" s="2"/>
      <c r="TE32" s="2">
        <v>175</v>
      </c>
      <c r="TF32" s="2">
        <v>175</v>
      </c>
      <c r="TG32" s="2">
        <v>175</v>
      </c>
      <c r="TH32" s="2">
        <f>175+2</f>
        <v>177</v>
      </c>
      <c r="TI32" s="2"/>
      <c r="TJ32" s="2">
        <v>175</v>
      </c>
      <c r="TK32" s="2">
        <f>66+175</f>
        <v>241</v>
      </c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>
        <f>2+1</f>
        <v>3</v>
      </c>
      <c r="VF32" s="2"/>
      <c r="VG32" s="2"/>
      <c r="VH32" s="2"/>
      <c r="VI32" s="2"/>
      <c r="VJ32" s="2"/>
      <c r="VK32" s="2">
        <f>139-3</f>
        <v>136</v>
      </c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  <c r="AAA32" s="2"/>
      <c r="AAB32" s="2"/>
      <c r="AAC32" s="2"/>
      <c r="AAD32" s="2"/>
      <c r="AAE32" s="2"/>
      <c r="AAF32" s="2"/>
      <c r="AAG32" s="2"/>
      <c r="AAH32" s="2"/>
      <c r="AAI32" s="2"/>
      <c r="AAJ32" s="2"/>
      <c r="AAK32" s="2"/>
      <c r="AAL32" s="2"/>
      <c r="AAM32" s="2"/>
      <c r="AAN32" s="2"/>
      <c r="AAO32" s="2"/>
      <c r="AAP32" s="2"/>
      <c r="AAQ32" s="2"/>
      <c r="AAR32" s="2"/>
      <c r="AAS32" s="2"/>
      <c r="AAT32" s="2"/>
      <c r="AAU32" s="2"/>
      <c r="AAV32" s="2"/>
      <c r="AAW32" s="2"/>
      <c r="AAX32" s="2"/>
      <c r="AAY32" s="2"/>
      <c r="AAZ32" s="2"/>
      <c r="ABA32" s="2"/>
      <c r="ABB32" s="2"/>
      <c r="ABC32" s="2"/>
      <c r="ABD32" s="2"/>
      <c r="ABE32" s="2"/>
      <c r="ABF32" s="2"/>
      <c r="ABG32" s="2"/>
      <c r="ABH32" s="2"/>
      <c r="ABI32" s="2"/>
      <c r="ABJ32" s="2"/>
      <c r="ABK32" s="2"/>
      <c r="ABL32" s="2"/>
      <c r="ABM32" s="2"/>
      <c r="ABN32" s="2"/>
      <c r="ABO32" s="2"/>
      <c r="ABP32" s="2"/>
      <c r="ABQ32" s="2"/>
      <c r="ABR32" s="2"/>
      <c r="ABS32" s="2"/>
      <c r="ABT32" s="2"/>
      <c r="ABU32" s="2"/>
      <c r="ABV32" s="2"/>
      <c r="ABW32" s="2"/>
      <c r="ABX32" s="2"/>
      <c r="ABY32" s="2"/>
      <c r="ABZ32" s="2"/>
      <c r="ACA32" s="2"/>
      <c r="ACB32" s="2"/>
      <c r="ACC32" s="2"/>
      <c r="ACD32" s="2"/>
      <c r="ACE32" s="2"/>
      <c r="ACF32" s="2"/>
      <c r="ACG32" s="2"/>
      <c r="ACH32" s="2"/>
      <c r="ACI32" s="2"/>
      <c r="ACJ32" s="2"/>
      <c r="ACK32" s="2"/>
      <c r="ACL32" s="2"/>
      <c r="ACM32" s="2"/>
      <c r="ACN32" s="2"/>
      <c r="ACO32" s="2"/>
      <c r="ACP32" s="2"/>
      <c r="ACQ32" s="2"/>
      <c r="ACR32" s="2"/>
      <c r="ACS32" s="2"/>
      <c r="ACT32" s="2"/>
      <c r="ACU32" s="2"/>
      <c r="ACV32" s="2"/>
      <c r="ACW32" s="2"/>
      <c r="ACX32" s="2"/>
      <c r="ACY32" s="2"/>
      <c r="ACZ32" s="2"/>
      <c r="ADA32" s="2"/>
      <c r="ADB32" s="2"/>
      <c r="ADC32" s="2"/>
      <c r="ADD32" s="2"/>
      <c r="ADE32" s="2"/>
      <c r="ADF32" s="2"/>
      <c r="ADG32" s="2"/>
      <c r="ADH32" s="2"/>
      <c r="ADI32" s="2"/>
      <c r="ADJ32" s="2"/>
      <c r="ADK32" s="2"/>
      <c r="ADL32" s="2"/>
      <c r="ADM32" s="2"/>
      <c r="ADN32" s="2"/>
      <c r="ADO32" s="2"/>
      <c r="ADP32" s="2"/>
      <c r="ADQ32" s="2"/>
      <c r="ADR32" s="2"/>
      <c r="ADS32" s="2"/>
      <c r="ADT32" s="2"/>
      <c r="ADU32" s="2"/>
      <c r="ADV32" s="2"/>
      <c r="ADW32" s="2"/>
      <c r="ADX32" s="2"/>
      <c r="ADY32" s="2"/>
      <c r="ADZ32" s="2"/>
      <c r="AEA32" s="2"/>
      <c r="AEB32" s="2"/>
      <c r="AEC32" s="2"/>
      <c r="AED32" s="2"/>
      <c r="AEE32" s="2"/>
      <c r="AEF32" s="2"/>
      <c r="AEG32" s="2"/>
      <c r="AEH32" s="2"/>
      <c r="AEI32" s="2"/>
      <c r="AEJ32" s="2"/>
      <c r="AEK32" s="2"/>
      <c r="AEL32" s="2"/>
      <c r="AEM32" s="2"/>
      <c r="AEN32" s="2"/>
      <c r="AEO32" s="2"/>
      <c r="AEP32" s="2"/>
      <c r="AEQ32" s="2"/>
      <c r="AER32" s="2"/>
      <c r="AES32" s="2"/>
      <c r="AET32" s="2"/>
      <c r="AEU32" s="2"/>
      <c r="AEV32" s="2"/>
      <c r="AEW32" s="2"/>
      <c r="AEX32" s="2"/>
      <c r="AEY32" s="2"/>
      <c r="AEZ32" s="2"/>
      <c r="AFA32" s="2"/>
      <c r="AFB32" s="2"/>
      <c r="AFC32" s="2"/>
      <c r="AFD32" s="2"/>
      <c r="AFE32" s="2"/>
      <c r="AFF32" s="2"/>
      <c r="AFG32" s="2"/>
      <c r="AFH32" s="2"/>
      <c r="AFI32" s="2"/>
      <c r="AFJ32" s="2"/>
      <c r="AFK32" s="2"/>
      <c r="AFL32" s="2">
        <f t="shared" si="0"/>
        <v>38604</v>
      </c>
    </row>
    <row r="33" spans="1:844" s="11" customFormat="1" x14ac:dyDescent="0.3">
      <c r="B33" s="91">
        <v>550045905</v>
      </c>
      <c r="C33" s="52" t="s">
        <v>95</v>
      </c>
      <c r="D33" s="35" t="s">
        <v>2</v>
      </c>
      <c r="E33" s="2"/>
      <c r="F33" s="2"/>
      <c r="G33" s="2"/>
      <c r="H33" s="2">
        <v>700</v>
      </c>
      <c r="I33" s="2"/>
      <c r="J33" s="2">
        <v>175</v>
      </c>
      <c r="K33" s="2"/>
      <c r="L33" s="2">
        <f>350+175</f>
        <v>525</v>
      </c>
      <c r="M33" s="2">
        <f>350+350+175</f>
        <v>875</v>
      </c>
      <c r="N33" s="2">
        <v>175</v>
      </c>
      <c r="O33" s="2">
        <f>175+2</f>
        <v>177</v>
      </c>
      <c r="P33" s="2">
        <f>175+175</f>
        <v>350</v>
      </c>
      <c r="Q33" s="2">
        <v>175</v>
      </c>
      <c r="R33" s="2"/>
      <c r="S33" s="2"/>
      <c r="T33" s="2"/>
      <c r="U33" s="2">
        <v>175</v>
      </c>
      <c r="V33" s="2"/>
      <c r="W33" s="2">
        <v>175</v>
      </c>
      <c r="X33" s="2"/>
      <c r="Y33" s="2">
        <v>175</v>
      </c>
      <c r="Z33" s="2"/>
      <c r="AA33" s="2"/>
      <c r="AB33" s="2">
        <v>350</v>
      </c>
      <c r="AC33" s="2">
        <f>2+2</f>
        <v>4</v>
      </c>
      <c r="AD33" s="2">
        <v>175</v>
      </c>
      <c r="AE33" s="2">
        <v>175</v>
      </c>
      <c r="AF33" s="2">
        <f>175+350</f>
        <v>525</v>
      </c>
      <c r="AG33" s="2"/>
      <c r="AH33" s="2"/>
      <c r="AI33" s="2">
        <v>350</v>
      </c>
      <c r="AJ33" s="2">
        <v>175</v>
      </c>
      <c r="AK33" s="2">
        <v>175</v>
      </c>
      <c r="AL33" s="2"/>
      <c r="AM33" s="2">
        <f>350+175</f>
        <v>525</v>
      </c>
      <c r="AN33" s="2"/>
      <c r="AO33" s="2"/>
      <c r="AP33" s="2">
        <f>175+1</f>
        <v>176</v>
      </c>
      <c r="AQ33" s="2"/>
      <c r="AR33" s="2"/>
      <c r="AS33" s="2">
        <f>175+175</f>
        <v>350</v>
      </c>
      <c r="AT33" s="2">
        <v>350</v>
      </c>
      <c r="AU33" s="2">
        <f>175+175+175</f>
        <v>525</v>
      </c>
      <c r="AV33" s="2">
        <f>175+175</f>
        <v>350</v>
      </c>
      <c r="AW33" s="2"/>
      <c r="AX33" s="2"/>
      <c r="AY33" s="2">
        <v>175</v>
      </c>
      <c r="AZ33" s="2">
        <v>350</v>
      </c>
      <c r="BA33" s="2"/>
      <c r="BB33" s="2"/>
      <c r="BC33" s="2"/>
      <c r="BD33" s="2"/>
      <c r="BE33" s="2">
        <v>1</v>
      </c>
      <c r="BF33" s="2"/>
      <c r="BG33" s="2">
        <v>2</v>
      </c>
      <c r="BH33" s="2">
        <f>3+1+1</f>
        <v>5</v>
      </c>
      <c r="BI33" s="2"/>
      <c r="BJ33" s="2"/>
      <c r="BK33" s="2"/>
      <c r="BL33" s="2"/>
      <c r="BM33" s="2">
        <f>2+175</f>
        <v>177</v>
      </c>
      <c r="BN33" s="2"/>
      <c r="BO33" s="2"/>
      <c r="BP33" s="2"/>
      <c r="BQ33" s="2">
        <v>3</v>
      </c>
      <c r="BR33" s="2"/>
      <c r="BS33" s="2"/>
      <c r="BT33" s="2">
        <v>350</v>
      </c>
      <c r="BU33" s="2">
        <f>175+2</f>
        <v>177</v>
      </c>
      <c r="BV33" s="2"/>
      <c r="BW33" s="2"/>
      <c r="BX33" s="2"/>
      <c r="BY33" s="2">
        <v>175</v>
      </c>
      <c r="BZ33" s="2"/>
      <c r="CA33" s="2">
        <v>175</v>
      </c>
      <c r="CB33" s="2">
        <v>2</v>
      </c>
      <c r="CC33" s="2"/>
      <c r="CD33" s="2"/>
      <c r="CE33" s="2"/>
      <c r="CF33" s="2"/>
      <c r="CG33" s="2">
        <v>175</v>
      </c>
      <c r="CH33" s="2">
        <f>175+175</f>
        <v>350</v>
      </c>
      <c r="CI33" s="2">
        <f>175+175+175</f>
        <v>525</v>
      </c>
      <c r="CJ33" s="2">
        <v>350</v>
      </c>
      <c r="CK33" s="2"/>
      <c r="CL33" s="2"/>
      <c r="CM33" s="2"/>
      <c r="CN33" s="2"/>
      <c r="CO33" s="2">
        <v>6</v>
      </c>
      <c r="CP33" s="2">
        <f>1+2</f>
        <v>3</v>
      </c>
      <c r="CQ33" s="2"/>
      <c r="CR33" s="2"/>
      <c r="CS33" s="2"/>
      <c r="CT33" s="2"/>
      <c r="CU33" s="2"/>
      <c r="CV33" s="2"/>
      <c r="CW33" s="2">
        <v>175</v>
      </c>
      <c r="CX33" s="2"/>
      <c r="CY33" s="2"/>
      <c r="CZ33" s="2">
        <f>525+3</f>
        <v>528</v>
      </c>
      <c r="DA33" s="2">
        <v>175</v>
      </c>
      <c r="DB33" s="2">
        <v>1</v>
      </c>
      <c r="DC33" s="2"/>
      <c r="DD33" s="2">
        <v>1</v>
      </c>
      <c r="DE33" s="2">
        <v>2</v>
      </c>
      <c r="DF33" s="2"/>
      <c r="DG33" s="2">
        <v>2</v>
      </c>
      <c r="DH33" s="2">
        <f>1+1</f>
        <v>2</v>
      </c>
      <c r="DI33" s="2"/>
      <c r="DJ33" s="2"/>
      <c r="DK33" s="2"/>
      <c r="DL33" s="2">
        <v>175</v>
      </c>
      <c r="DM33" s="2">
        <v>175</v>
      </c>
      <c r="DN33" s="2">
        <v>1</v>
      </c>
      <c r="DO33" s="2"/>
      <c r="DP33" s="2"/>
      <c r="DQ33" s="2"/>
      <c r="DR33" s="2"/>
      <c r="DS33" s="2"/>
      <c r="DT33" s="2"/>
      <c r="DU33" s="2"/>
      <c r="DV33" s="2">
        <v>350</v>
      </c>
      <c r="DW33" s="2"/>
      <c r="DX33" s="2"/>
      <c r="DY33" s="2"/>
      <c r="DZ33" s="2"/>
      <c r="EA33" s="2">
        <f>2+2</f>
        <v>4</v>
      </c>
      <c r="EB33" s="2"/>
      <c r="EC33" s="2"/>
      <c r="ED33" s="2">
        <v>24</v>
      </c>
      <c r="EE33" s="2"/>
      <c r="EF33" s="2">
        <v>175</v>
      </c>
      <c r="EG33" s="2"/>
      <c r="EH33" s="2">
        <v>3</v>
      </c>
      <c r="EI33" s="2">
        <v>175</v>
      </c>
      <c r="EJ33" s="2"/>
      <c r="EK33" s="2">
        <v>350</v>
      </c>
      <c r="EL33" s="2"/>
      <c r="EM33" s="2">
        <v>2</v>
      </c>
      <c r="EN33" s="2"/>
      <c r="EO33" s="2"/>
      <c r="EP33" s="2">
        <v>350</v>
      </c>
      <c r="EQ33" s="2">
        <f>175+175</f>
        <v>350</v>
      </c>
      <c r="ER33" s="2"/>
      <c r="ES33" s="2">
        <v>175</v>
      </c>
      <c r="ET33" s="2"/>
      <c r="EU33" s="2"/>
      <c r="EV33" s="2"/>
      <c r="EW33" s="2"/>
      <c r="EX33" s="2"/>
      <c r="EY33" s="2"/>
      <c r="EZ33" s="2">
        <v>175</v>
      </c>
      <c r="FA33" s="2">
        <v>175</v>
      </c>
      <c r="FB33" s="2"/>
      <c r="FC33" s="2">
        <v>350</v>
      </c>
      <c r="FD33" s="2"/>
      <c r="FE33" s="2"/>
      <c r="FF33" s="2">
        <v>2</v>
      </c>
      <c r="FG33" s="2">
        <f>350+350</f>
        <v>700</v>
      </c>
      <c r="FH33" s="2"/>
      <c r="FI33" s="2"/>
      <c r="FJ33" s="2">
        <v>175</v>
      </c>
      <c r="FK33" s="2"/>
      <c r="FL33" s="2"/>
      <c r="FM33" s="2"/>
      <c r="FN33" s="2"/>
      <c r="FO33" s="2"/>
      <c r="FP33" s="2"/>
      <c r="FQ33" s="2">
        <v>175</v>
      </c>
      <c r="FR33" s="2"/>
      <c r="FS33" s="2">
        <f>175+175</f>
        <v>350</v>
      </c>
      <c r="FT33" s="2">
        <v>350</v>
      </c>
      <c r="FU33" s="2"/>
      <c r="FV33" s="2"/>
      <c r="FW33" s="2"/>
      <c r="FX33" s="2"/>
      <c r="FY33" s="2">
        <v>700</v>
      </c>
      <c r="FZ33" s="2">
        <v>700</v>
      </c>
      <c r="GA33" s="2"/>
      <c r="GB33" s="2"/>
      <c r="GC33" s="2">
        <v>2</v>
      </c>
      <c r="GD33" s="2">
        <v>350</v>
      </c>
      <c r="GE33" s="2"/>
      <c r="GF33" s="2"/>
      <c r="GG33" s="2">
        <f>2+1</f>
        <v>3</v>
      </c>
      <c r="GH33" s="2"/>
      <c r="GI33" s="2">
        <v>175</v>
      </c>
      <c r="GJ33" s="2"/>
      <c r="GK33" s="2"/>
      <c r="GL33" s="2"/>
      <c r="GM33" s="2">
        <v>2</v>
      </c>
      <c r="GN33" s="2"/>
      <c r="GO33" s="2">
        <v>1</v>
      </c>
      <c r="GP33" s="2"/>
      <c r="GQ33" s="2"/>
      <c r="GR33" s="2"/>
      <c r="GS33" s="2">
        <v>1</v>
      </c>
      <c r="GT33" s="2">
        <f>175+350</f>
        <v>525</v>
      </c>
      <c r="GU33" s="2">
        <v>10</v>
      </c>
      <c r="GV33" s="2">
        <v>350</v>
      </c>
      <c r="GW33" s="2"/>
      <c r="GX33" s="2">
        <v>1</v>
      </c>
      <c r="GY33" s="2">
        <v>4</v>
      </c>
      <c r="GZ33" s="2"/>
      <c r="HA33" s="2">
        <v>350</v>
      </c>
      <c r="HB33" s="2"/>
      <c r="HC33" s="2"/>
      <c r="HD33" s="2">
        <f>2+1</f>
        <v>3</v>
      </c>
      <c r="HE33" s="2"/>
      <c r="HF33" s="2"/>
      <c r="HG33" s="2">
        <v>175</v>
      </c>
      <c r="HH33" s="2"/>
      <c r="HI33" s="2"/>
      <c r="HJ33" s="2"/>
      <c r="HK33" s="2"/>
      <c r="HL33" s="2">
        <v>1</v>
      </c>
      <c r="HM33" s="2">
        <v>175</v>
      </c>
      <c r="HN33" s="2">
        <v>2</v>
      </c>
      <c r="HO33" s="2"/>
      <c r="HP33" s="2">
        <v>175</v>
      </c>
      <c r="HQ33" s="2">
        <f>175+1</f>
        <v>176</v>
      </c>
      <c r="HR33" s="2">
        <f>350+175</f>
        <v>525</v>
      </c>
      <c r="HS33" s="2">
        <f>525+1+2</f>
        <v>528</v>
      </c>
      <c r="HT33" s="2"/>
      <c r="HU33" s="2">
        <f>175+350</f>
        <v>525</v>
      </c>
      <c r="HV33" s="2"/>
      <c r="HW33" s="2"/>
      <c r="HX33" s="2"/>
      <c r="HY33" s="2"/>
      <c r="HZ33" s="2"/>
      <c r="IA33" s="2"/>
      <c r="IB33" s="2"/>
      <c r="IC33" s="2">
        <v>2</v>
      </c>
      <c r="ID33" s="2">
        <v>175</v>
      </c>
      <c r="IE33" s="2"/>
      <c r="IF33" s="2">
        <f>350+175</f>
        <v>525</v>
      </c>
      <c r="IG33" s="2"/>
      <c r="IH33" s="2">
        <v>1</v>
      </c>
      <c r="II33" s="2">
        <v>1</v>
      </c>
      <c r="IJ33" s="2"/>
      <c r="IK33" s="2">
        <v>10</v>
      </c>
      <c r="IL33" s="2"/>
      <c r="IM33" s="2"/>
      <c r="IN33" s="2">
        <v>175</v>
      </c>
      <c r="IO33" s="2">
        <v>700</v>
      </c>
      <c r="IP33" s="2"/>
      <c r="IQ33" s="2"/>
      <c r="IR33" s="2"/>
      <c r="IS33" s="2"/>
      <c r="IT33" s="2"/>
      <c r="IU33" s="2"/>
      <c r="IV33" s="2">
        <v>30</v>
      </c>
      <c r="IW33" s="2">
        <v>175</v>
      </c>
      <c r="IX33" s="2"/>
      <c r="IY33" s="2"/>
      <c r="IZ33" s="2"/>
      <c r="JA33" s="2"/>
      <c r="JB33" s="2"/>
      <c r="JC33" s="2"/>
      <c r="JD33" s="2"/>
      <c r="JE33" s="2"/>
      <c r="JF33" s="2">
        <v>1</v>
      </c>
      <c r="JG33" s="2">
        <v>1</v>
      </c>
      <c r="JH33" s="2">
        <v>1</v>
      </c>
      <c r="JI33" s="2"/>
      <c r="JJ33" s="2"/>
      <c r="JK33" s="2">
        <v>175</v>
      </c>
      <c r="JL33" s="2"/>
      <c r="JM33" s="2">
        <f>175+2</f>
        <v>177</v>
      </c>
      <c r="JN33" s="2">
        <f>350+525</f>
        <v>875</v>
      </c>
      <c r="JO33" s="2">
        <v>175</v>
      </c>
      <c r="JP33" s="2"/>
      <c r="JQ33" s="2">
        <v>350</v>
      </c>
      <c r="JR33" s="2">
        <f>350+175</f>
        <v>525</v>
      </c>
      <c r="JS33" s="2"/>
      <c r="JT33" s="2"/>
      <c r="JU33" s="2"/>
      <c r="JV33" s="2">
        <v>1</v>
      </c>
      <c r="JW33" s="2"/>
      <c r="JX33" s="2">
        <v>350</v>
      </c>
      <c r="JY33" s="2">
        <v>1</v>
      </c>
      <c r="JZ33" s="2"/>
      <c r="KA33" s="2"/>
      <c r="KB33" s="2">
        <f>350+175</f>
        <v>525</v>
      </c>
      <c r="KC33" s="2"/>
      <c r="KD33" s="2"/>
      <c r="KE33" s="2">
        <f>175+175+525</f>
        <v>875</v>
      </c>
      <c r="KF33" s="2">
        <v>350</v>
      </c>
      <c r="KG33" s="2"/>
      <c r="KH33" s="2">
        <v>175</v>
      </c>
      <c r="KI33" s="2"/>
      <c r="KJ33" s="2">
        <v>175</v>
      </c>
      <c r="KK33" s="2"/>
      <c r="KL33" s="2"/>
      <c r="KM33" s="2"/>
      <c r="KN33" s="2">
        <v>1</v>
      </c>
      <c r="KO33" s="2"/>
      <c r="KP33" s="2"/>
      <c r="KQ33" s="2"/>
      <c r="KR33" s="2">
        <v>1</v>
      </c>
      <c r="KS33" s="2">
        <f>350+175+1</f>
        <v>526</v>
      </c>
      <c r="KT33" s="2">
        <f>175+2+350</f>
        <v>527</v>
      </c>
      <c r="KU33" s="2">
        <f>175+1</f>
        <v>176</v>
      </c>
      <c r="KV33" s="2"/>
      <c r="KW33" s="2"/>
      <c r="KX33" s="2"/>
      <c r="KY33" s="2">
        <v>700</v>
      </c>
      <c r="KZ33" s="2">
        <v>175</v>
      </c>
      <c r="LA33" s="2">
        <v>87</v>
      </c>
      <c r="LB33" s="2"/>
      <c r="LC33" s="2">
        <f>175+525+175</f>
        <v>875</v>
      </c>
      <c r="LD33" s="2">
        <v>175</v>
      </c>
      <c r="LE33" s="2"/>
      <c r="LF33" s="2">
        <v>2</v>
      </c>
      <c r="LG33" s="2">
        <v>1</v>
      </c>
      <c r="LH33" s="2">
        <v>1</v>
      </c>
      <c r="LI33" s="2">
        <v>350</v>
      </c>
      <c r="LJ33" s="2"/>
      <c r="LK33" s="2"/>
      <c r="LL33" s="2">
        <v>175</v>
      </c>
      <c r="LM33" s="2">
        <f>350+175</f>
        <v>525</v>
      </c>
      <c r="LN33" s="2">
        <f>50+350+175</f>
        <v>575</v>
      </c>
      <c r="LO33" s="2">
        <v>175</v>
      </c>
      <c r="LP33" s="2">
        <v>1</v>
      </c>
      <c r="LQ33" s="2"/>
      <c r="LR33" s="2"/>
      <c r="LS33" s="2">
        <v>299</v>
      </c>
      <c r="LT33" s="2"/>
      <c r="LU33" s="2"/>
      <c r="LV33" s="2">
        <v>1</v>
      </c>
      <c r="LW33" s="2"/>
      <c r="LX33" s="2">
        <v>1</v>
      </c>
      <c r="LY33" s="2"/>
      <c r="LZ33" s="2"/>
      <c r="MA33" s="2"/>
      <c r="MB33" s="2"/>
      <c r="MC33" s="2">
        <v>2</v>
      </c>
      <c r="MD33" s="2"/>
      <c r="ME33" s="2"/>
      <c r="MF33" s="2">
        <v>2</v>
      </c>
      <c r="MG33" s="2">
        <f>2+700+175</f>
        <v>877</v>
      </c>
      <c r="MH33" s="2"/>
      <c r="MI33" s="2"/>
      <c r="MJ33" s="2">
        <f>525+175</f>
        <v>700</v>
      </c>
      <c r="MK33" s="2"/>
      <c r="ML33" s="2">
        <v>175</v>
      </c>
      <c r="MM33" s="2"/>
      <c r="MN33" s="2">
        <v>1</v>
      </c>
      <c r="MO33" s="2">
        <v>1</v>
      </c>
      <c r="MP33" s="2"/>
      <c r="MQ33" s="2"/>
      <c r="MR33" s="2"/>
      <c r="MS33" s="2">
        <v>1</v>
      </c>
      <c r="MT33" s="2"/>
      <c r="MU33" s="2">
        <v>1</v>
      </c>
      <c r="MV33" s="2"/>
      <c r="MW33" s="2"/>
      <c r="MX33" s="2"/>
      <c r="MY33" s="2"/>
      <c r="MZ33" s="2"/>
      <c r="NA33" s="2"/>
      <c r="NB33" s="2">
        <v>2</v>
      </c>
      <c r="NC33" s="2"/>
      <c r="ND33" s="2"/>
      <c r="NE33" s="2"/>
      <c r="NF33" s="2"/>
      <c r="NG33" s="2">
        <f>2+1</f>
        <v>3</v>
      </c>
      <c r="NH33" s="2"/>
      <c r="NI33" s="2">
        <v>2</v>
      </c>
      <c r="NJ33" s="2"/>
      <c r="NK33" s="2"/>
      <c r="NL33" s="2"/>
      <c r="NM33" s="2"/>
      <c r="NN33" s="2"/>
      <c r="NO33" s="2"/>
      <c r="NP33" s="2"/>
      <c r="NQ33" s="2"/>
      <c r="NR33" s="2">
        <v>1</v>
      </c>
      <c r="NS33" s="2"/>
      <c r="NT33" s="2"/>
      <c r="NU33" s="2"/>
      <c r="NV33" s="2"/>
      <c r="NW33" s="2"/>
      <c r="NX33" s="2"/>
      <c r="NY33" s="2"/>
      <c r="NZ33" s="2">
        <v>2</v>
      </c>
      <c r="OA33" s="2">
        <v>4</v>
      </c>
      <c r="OB33" s="2"/>
      <c r="OC33" s="2"/>
      <c r="OD33" s="2">
        <v>94</v>
      </c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>
        <f t="shared" si="0"/>
        <v>35732</v>
      </c>
    </row>
    <row r="34" spans="1:844" s="4" customFormat="1" ht="16.95" customHeight="1" x14ac:dyDescent="0.3">
      <c r="A34" s="11"/>
      <c r="B34" s="35">
        <v>550057747</v>
      </c>
      <c r="C34" s="52" t="s">
        <v>972</v>
      </c>
      <c r="D34" s="35" t="s">
        <v>27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>
        <f t="shared" si="0"/>
        <v>0</v>
      </c>
    </row>
    <row r="35" spans="1:844" ht="13.95" customHeight="1" x14ac:dyDescent="0.3">
      <c r="B35" s="91">
        <v>550057749</v>
      </c>
      <c r="C35" s="52" t="s">
        <v>91</v>
      </c>
      <c r="D35" s="35" t="s">
        <v>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>
        <f>109+175</f>
        <v>284</v>
      </c>
      <c r="TL35" s="2">
        <v>175</v>
      </c>
      <c r="TM35" s="2">
        <f>175+22</f>
        <v>197</v>
      </c>
      <c r="TN35" s="2">
        <f>175+350+175</f>
        <v>700</v>
      </c>
      <c r="TO35" s="2">
        <v>175</v>
      </c>
      <c r="TP35" s="2"/>
      <c r="TQ35" s="2">
        <v>175</v>
      </c>
      <c r="TR35" s="2">
        <v>175</v>
      </c>
      <c r="TS35" s="2">
        <v>175</v>
      </c>
      <c r="TT35" s="2">
        <v>175</v>
      </c>
      <c r="TU35" s="2">
        <v>3</v>
      </c>
      <c r="TV35" s="2"/>
      <c r="TW35" s="2">
        <f>175+2</f>
        <v>177</v>
      </c>
      <c r="TX35" s="2">
        <f>175+175</f>
        <v>350</v>
      </c>
      <c r="TY35" s="2"/>
      <c r="TZ35" s="2">
        <f>1</f>
        <v>1</v>
      </c>
      <c r="UA35" s="2"/>
      <c r="UB35" s="2">
        <v>175</v>
      </c>
      <c r="UC35" s="2">
        <v>350</v>
      </c>
      <c r="UD35" s="2">
        <v>22</v>
      </c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>
        <f>13+3</f>
        <v>16</v>
      </c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>
        <v>700</v>
      </c>
      <c r="WJ35" s="2"/>
      <c r="WK35" s="2">
        <f>1+21</f>
        <v>22</v>
      </c>
      <c r="WL35" s="2"/>
      <c r="WM35" s="2"/>
      <c r="WN35" s="2">
        <f>350+700</f>
        <v>1050</v>
      </c>
      <c r="WO35" s="2">
        <f>25+525+1</f>
        <v>551</v>
      </c>
      <c r="WP35" s="2">
        <f>525+1</f>
        <v>526</v>
      </c>
      <c r="WQ35" s="2">
        <v>350</v>
      </c>
      <c r="WR35" s="2"/>
      <c r="WS35" s="2"/>
      <c r="WT35" s="2">
        <f>350+350</f>
        <v>700</v>
      </c>
      <c r="WU35" s="2"/>
      <c r="WV35" s="2">
        <f>700+175</f>
        <v>875</v>
      </c>
      <c r="WW35" s="2">
        <v>350</v>
      </c>
      <c r="WX35" s="2">
        <v>350</v>
      </c>
      <c r="WY35" s="2">
        <f>7+350</f>
        <v>357</v>
      </c>
      <c r="WZ35" s="2">
        <v>350</v>
      </c>
      <c r="XA35" s="2"/>
      <c r="XB35" s="2"/>
      <c r="XC35" s="2"/>
      <c r="XD35" s="2">
        <v>350</v>
      </c>
      <c r="XE35" s="2"/>
      <c r="XF35" s="2">
        <v>1</v>
      </c>
      <c r="XG35" s="2"/>
      <c r="XH35" s="2"/>
      <c r="XI35" s="2"/>
      <c r="XJ35" s="2"/>
      <c r="XK35" s="2"/>
      <c r="XL35" s="2"/>
      <c r="XM35" s="2">
        <v>118</v>
      </c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>
        <v>1</v>
      </c>
      <c r="YU35" s="2"/>
      <c r="YV35" s="2">
        <v>525</v>
      </c>
      <c r="YW35" s="2">
        <v>350</v>
      </c>
      <c r="YX35" s="2"/>
      <c r="YY35" s="2">
        <v>350</v>
      </c>
      <c r="YZ35" s="2">
        <f>525+33</f>
        <v>558</v>
      </c>
      <c r="ZA35" s="2">
        <f>350+700+350+175+175</f>
        <v>1750</v>
      </c>
      <c r="ZB35" s="2">
        <v>175</v>
      </c>
      <c r="ZC35" s="2">
        <f>24+525</f>
        <v>549</v>
      </c>
      <c r="ZD35" s="2"/>
      <c r="ZE35" s="2"/>
      <c r="ZF35" s="2"/>
      <c r="ZG35" s="2"/>
      <c r="ZH35" s="2">
        <f>525+8</f>
        <v>533</v>
      </c>
      <c r="ZI35" s="2"/>
      <c r="ZJ35" s="2">
        <f>350+175+525</f>
        <v>1050</v>
      </c>
      <c r="ZK35" s="2"/>
      <c r="ZL35" s="2">
        <v>175</v>
      </c>
      <c r="ZM35" s="2"/>
      <c r="ZN35" s="2">
        <v>1</v>
      </c>
      <c r="ZO35" s="2"/>
      <c r="ZP35" s="2"/>
      <c r="ZQ35" s="2">
        <v>350</v>
      </c>
      <c r="ZR35" s="2"/>
      <c r="ZS35" s="2">
        <v>9</v>
      </c>
      <c r="ZT35" s="2">
        <v>1</v>
      </c>
      <c r="ZU35" s="2"/>
      <c r="ZV35" s="2">
        <v>350</v>
      </c>
      <c r="ZW35" s="2">
        <f>175+175</f>
        <v>350</v>
      </c>
      <c r="ZX35" s="2">
        <v>13</v>
      </c>
      <c r="ZY35" s="2">
        <v>2</v>
      </c>
      <c r="ZZ35" s="2"/>
      <c r="AAA35" s="2"/>
      <c r="AAB35" s="2">
        <v>350</v>
      </c>
      <c r="AAC35" s="2"/>
      <c r="AAD35" s="2"/>
      <c r="AAE35" s="2"/>
      <c r="AAF35" s="2"/>
      <c r="AAG35" s="2">
        <v>1</v>
      </c>
      <c r="AAH35" s="2"/>
      <c r="AAI35" s="2">
        <f>24+175</f>
        <v>199</v>
      </c>
      <c r="AAJ35" s="2"/>
      <c r="AAK35" s="2"/>
      <c r="AAL35" s="2"/>
      <c r="AAM35" s="2"/>
      <c r="AAN35" s="2"/>
      <c r="AAO35" s="2">
        <v>1</v>
      </c>
      <c r="AAP35" s="2">
        <f>175+350+350</f>
        <v>875</v>
      </c>
      <c r="AAQ35" s="2">
        <v>175</v>
      </c>
      <c r="AAR35" s="2"/>
      <c r="AAS35" s="2"/>
      <c r="AAT35" s="2">
        <v>175</v>
      </c>
      <c r="AAU35" s="2">
        <f>18+350+700</f>
        <v>1068</v>
      </c>
      <c r="AAV35" s="2"/>
      <c r="AAW35" s="2"/>
      <c r="AAX35" s="2"/>
      <c r="AAY35" s="2">
        <v>30</v>
      </c>
      <c r="AAZ35" s="2">
        <f>525+175</f>
        <v>700</v>
      </c>
      <c r="ABA35" s="2">
        <v>175</v>
      </c>
      <c r="ABB35" s="2"/>
      <c r="ABC35" s="2"/>
      <c r="ABD35" s="2"/>
      <c r="ABE35" s="2">
        <v>14</v>
      </c>
      <c r="ABF35" s="2"/>
      <c r="ABG35" s="2"/>
      <c r="ABH35" s="2">
        <v>12</v>
      </c>
      <c r="ABI35" s="2">
        <f>525+1</f>
        <v>526</v>
      </c>
      <c r="ABJ35" s="2">
        <f>350+175</f>
        <v>525</v>
      </c>
      <c r="ABK35" s="2">
        <v>175</v>
      </c>
      <c r="ABL35" s="2">
        <v>350</v>
      </c>
      <c r="ABM35" s="2">
        <v>1</v>
      </c>
      <c r="ABN35" s="2">
        <v>11</v>
      </c>
      <c r="ABO35" s="2"/>
      <c r="ABP35" s="2"/>
      <c r="ABQ35" s="2"/>
      <c r="ABR35" s="2">
        <v>175</v>
      </c>
      <c r="ABS35" s="2">
        <v>700</v>
      </c>
      <c r="ABT35" s="2">
        <f>350+175</f>
        <v>525</v>
      </c>
      <c r="ABU35" s="2">
        <v>11</v>
      </c>
      <c r="ABV35" s="2"/>
      <c r="ABW35" s="2"/>
      <c r="ABX35" s="2"/>
      <c r="ABY35" s="2">
        <v>350</v>
      </c>
      <c r="ABZ35" s="2">
        <v>175</v>
      </c>
      <c r="ACA35" s="2"/>
      <c r="ACB35" s="2">
        <v>175</v>
      </c>
      <c r="ACC35" s="2"/>
      <c r="ACD35" s="2"/>
      <c r="ACE35" s="2">
        <f>175+350</f>
        <v>525</v>
      </c>
      <c r="ACF35" s="2"/>
      <c r="ACG35" s="2"/>
      <c r="ACH35" s="2"/>
      <c r="ACI35" s="2">
        <f>525+175+8</f>
        <v>708</v>
      </c>
      <c r="ACJ35" s="2"/>
      <c r="ACK35" s="2">
        <v>175</v>
      </c>
      <c r="ACL35" s="2"/>
      <c r="ACM35" s="2">
        <f>175+7</f>
        <v>182</v>
      </c>
      <c r="ACN35" s="2">
        <v>350</v>
      </c>
      <c r="ACO35" s="2"/>
      <c r="ACP35" s="2"/>
      <c r="ACQ35" s="2">
        <v>175</v>
      </c>
      <c r="ACR35" s="2">
        <v>175</v>
      </c>
      <c r="ACS35" s="2">
        <v>175</v>
      </c>
      <c r="ACT35" s="2">
        <v>16</v>
      </c>
      <c r="ACU35" s="2">
        <f>525+175+525</f>
        <v>1225</v>
      </c>
      <c r="ACV35" s="2"/>
      <c r="ACW35" s="2"/>
      <c r="ACX35" s="2">
        <f>175+1</f>
        <v>176</v>
      </c>
      <c r="ACY35" s="2">
        <v>525</v>
      </c>
      <c r="ACZ35" s="2">
        <f>175+350</f>
        <v>525</v>
      </c>
      <c r="ADA35" s="2">
        <v>175</v>
      </c>
      <c r="ADB35" s="2"/>
      <c r="ADC35" s="2">
        <f>8+175</f>
        <v>183</v>
      </c>
      <c r="ADD35" s="2">
        <v>175</v>
      </c>
      <c r="ADE35" s="2"/>
      <c r="ADF35" s="2">
        <f>350+350</f>
        <v>700</v>
      </c>
      <c r="ADG35" s="2">
        <v>350</v>
      </c>
      <c r="ADH35" s="2"/>
      <c r="ADI35" s="2">
        <f>2+2</f>
        <v>4</v>
      </c>
      <c r="ADJ35" s="2">
        <v>2</v>
      </c>
      <c r="ADK35" s="2">
        <f>175+175+175+350+350</f>
        <v>1225</v>
      </c>
      <c r="ADL35" s="2"/>
      <c r="ADM35" s="2"/>
      <c r="ADN35" s="2"/>
      <c r="ADO35" s="2"/>
      <c r="ADP35" s="2">
        <v>15</v>
      </c>
      <c r="ADQ35" s="2"/>
      <c r="ADR35" s="2"/>
      <c r="ADS35" s="2">
        <v>1</v>
      </c>
      <c r="ADT35" s="2">
        <v>350</v>
      </c>
      <c r="ADU35" s="2">
        <f>175+350</f>
        <v>525</v>
      </c>
      <c r="ADV35" s="2">
        <f>12+1</f>
        <v>13</v>
      </c>
      <c r="ADW35" s="2">
        <v>175</v>
      </c>
      <c r="ADX35" s="2"/>
      <c r="ADY35" s="2">
        <f>60+175</f>
        <v>235</v>
      </c>
      <c r="ADZ35" s="2"/>
      <c r="AEA35" s="2"/>
      <c r="AEB35" s="2"/>
      <c r="AEC35" s="2"/>
      <c r="AED35" s="2">
        <v>175</v>
      </c>
      <c r="AEE35" s="2">
        <f>1+9</f>
        <v>10</v>
      </c>
      <c r="AEF35" s="2">
        <v>175</v>
      </c>
      <c r="AEG35" s="2">
        <v>525</v>
      </c>
      <c r="AEH35" s="2">
        <f>350</f>
        <v>350</v>
      </c>
      <c r="AEI35" s="2">
        <f>2+175</f>
        <v>177</v>
      </c>
      <c r="AEJ35" s="2">
        <f>350+1</f>
        <v>351</v>
      </c>
      <c r="AEK35" s="2">
        <f>175+1</f>
        <v>176</v>
      </c>
      <c r="AEL35" s="2">
        <v>1</v>
      </c>
      <c r="AEM35" s="2">
        <v>350</v>
      </c>
      <c r="AEN35" s="2"/>
      <c r="AEO35" s="2">
        <v>12</v>
      </c>
      <c r="AEP35" s="2">
        <f>175+525</f>
        <v>700</v>
      </c>
      <c r="AEQ35" s="2">
        <v>525</v>
      </c>
      <c r="AER35" s="2"/>
      <c r="AES35" s="2"/>
      <c r="AET35" s="12">
        <v>1</v>
      </c>
      <c r="AEU35" s="2"/>
      <c r="AEV35" s="2"/>
      <c r="AEW35" s="2">
        <f>350+25</f>
        <v>375</v>
      </c>
      <c r="AEX35" s="2"/>
      <c r="AEY35" s="2"/>
      <c r="AEZ35" s="2"/>
      <c r="AFA35" s="2">
        <f>175+1+1+2+350</f>
        <v>529</v>
      </c>
      <c r="AFB35" s="2"/>
      <c r="AFC35" s="2"/>
      <c r="AFD35" s="2">
        <v>1</v>
      </c>
      <c r="AFE35" s="2">
        <v>175</v>
      </c>
      <c r="AFF35" s="2"/>
      <c r="AFG35" s="2"/>
      <c r="AFH35" s="2"/>
      <c r="AFI35" s="2"/>
      <c r="AFJ35" s="2"/>
      <c r="AFK35" s="2"/>
      <c r="AFL35" s="2">
        <f>SUM(E35:AFK35)</f>
        <v>38209</v>
      </c>
    </row>
    <row r="36" spans="1:844" x14ac:dyDescent="0.3">
      <c r="B36" s="91">
        <v>550057767</v>
      </c>
      <c r="C36" s="52" t="s">
        <v>97</v>
      </c>
      <c r="D36" s="35" t="s">
        <v>2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14">
        <v>1</v>
      </c>
      <c r="NI36" s="2"/>
      <c r="NJ36" s="2">
        <f>525+175+175+350</f>
        <v>1225</v>
      </c>
      <c r="NK36" s="2"/>
      <c r="NL36" s="2">
        <f>175+175+525</f>
        <v>875</v>
      </c>
      <c r="NM36" s="2">
        <f>1+350</f>
        <v>351</v>
      </c>
      <c r="NN36" s="2"/>
      <c r="NO36" s="2"/>
      <c r="NP36" s="2">
        <f>525+350</f>
        <v>875</v>
      </c>
      <c r="NQ36" s="2"/>
      <c r="NR36" s="2"/>
      <c r="NS36" s="2">
        <v>350</v>
      </c>
      <c r="NT36" s="2">
        <f>175+350</f>
        <v>525</v>
      </c>
      <c r="NU36" s="2">
        <v>350</v>
      </c>
      <c r="NV36" s="2"/>
      <c r="NW36" s="2">
        <f>175+175+175</f>
        <v>525</v>
      </c>
      <c r="NX36" s="2"/>
      <c r="NY36" s="2"/>
      <c r="NZ36" s="2">
        <f>6+350</f>
        <v>356</v>
      </c>
      <c r="OA36" s="2">
        <f>175</f>
        <v>175</v>
      </c>
      <c r="OB36" s="2">
        <v>175</v>
      </c>
      <c r="OC36" s="2"/>
      <c r="OD36" s="2">
        <f>175+3+175+1</f>
        <v>354</v>
      </c>
      <c r="OE36" s="2">
        <v>175</v>
      </c>
      <c r="OF36" s="2">
        <v>1</v>
      </c>
      <c r="OG36" s="2"/>
      <c r="OH36" s="2">
        <v>175</v>
      </c>
      <c r="OI36" s="2"/>
      <c r="OJ36" s="2"/>
      <c r="OK36" s="2">
        <v>175</v>
      </c>
      <c r="OL36" s="2">
        <f>2+1</f>
        <v>3</v>
      </c>
      <c r="OM36" s="2"/>
      <c r="ON36" s="2">
        <v>326</v>
      </c>
      <c r="OO36" s="2"/>
      <c r="OP36" s="2"/>
      <c r="OQ36" s="2">
        <v>1</v>
      </c>
      <c r="OR36" s="2">
        <v>6</v>
      </c>
      <c r="OS36" s="2"/>
      <c r="OT36" s="2"/>
      <c r="OU36" s="2"/>
      <c r="OV36" s="2"/>
      <c r="OW36" s="2"/>
      <c r="OX36" s="2">
        <v>2</v>
      </c>
      <c r="OY36" s="2">
        <v>1</v>
      </c>
      <c r="OZ36" s="2">
        <f>2+350+350+350+350+350</f>
        <v>1752</v>
      </c>
      <c r="PA36" s="2">
        <f>350+525+525+175</f>
        <v>1575</v>
      </c>
      <c r="PB36" s="2">
        <f>1+22</f>
        <v>23</v>
      </c>
      <c r="PC36" s="2"/>
      <c r="PD36" s="14">
        <f>3+350+175+350</f>
        <v>878</v>
      </c>
      <c r="PE36" s="2">
        <f>350+175+350</f>
        <v>875</v>
      </c>
      <c r="PF36" s="2">
        <f>175+350+175</f>
        <v>700</v>
      </c>
      <c r="PG36" s="2">
        <f>175+175</f>
        <v>350</v>
      </c>
      <c r="PH36" s="2">
        <v>1</v>
      </c>
      <c r="PI36" s="2">
        <v>175</v>
      </c>
      <c r="PJ36" s="2"/>
      <c r="PK36" s="2">
        <f>175+175</f>
        <v>350</v>
      </c>
      <c r="PL36" s="2"/>
      <c r="PM36" s="2">
        <f>1+175</f>
        <v>176</v>
      </c>
      <c r="PN36" s="2">
        <f>1</f>
        <v>1</v>
      </c>
      <c r="PO36" s="2"/>
      <c r="PP36" s="2">
        <v>2</v>
      </c>
      <c r="PQ36" s="2">
        <v>2</v>
      </c>
      <c r="PR36" s="2">
        <v>175</v>
      </c>
      <c r="PS36" s="2">
        <f>175+350</f>
        <v>525</v>
      </c>
      <c r="PT36" s="2">
        <v>175</v>
      </c>
      <c r="PU36" s="2"/>
      <c r="PV36" s="2">
        <f>175+350+38+1</f>
        <v>564</v>
      </c>
      <c r="PW36" s="2"/>
      <c r="PX36" s="2"/>
      <c r="PY36" s="2"/>
      <c r="PZ36" s="2"/>
      <c r="QA36" s="2">
        <f>700+1+175</f>
        <v>876</v>
      </c>
      <c r="QB36" s="2">
        <f>700+700+1</f>
        <v>1401</v>
      </c>
      <c r="QC36" s="2">
        <f>875+700+175+875+350</f>
        <v>2975</v>
      </c>
      <c r="QD36" s="2"/>
      <c r="QE36" s="2">
        <v>350</v>
      </c>
      <c r="QF36" s="2">
        <v>350</v>
      </c>
      <c r="QG36" s="2">
        <v>2</v>
      </c>
      <c r="QH36" s="2"/>
      <c r="QI36" s="2">
        <f>26+350+700+1</f>
        <v>1077</v>
      </c>
      <c r="QJ36" s="2">
        <v>3</v>
      </c>
      <c r="QK36" s="2">
        <f>350+700+525+175</f>
        <v>1750</v>
      </c>
      <c r="QL36" s="2">
        <f>875</f>
        <v>875</v>
      </c>
      <c r="QM36" s="2">
        <f>175+525</f>
        <v>700</v>
      </c>
      <c r="QN36" s="2"/>
      <c r="QO36" s="2"/>
      <c r="QP36" s="2">
        <f>175+350</f>
        <v>525</v>
      </c>
      <c r="QQ36" s="2">
        <f>525+6</f>
        <v>531</v>
      </c>
      <c r="QR36" s="2">
        <f>175</f>
        <v>175</v>
      </c>
      <c r="QS36" s="2">
        <f>1+175</f>
        <v>176</v>
      </c>
      <c r="QT36" s="2"/>
      <c r="QU36" s="2"/>
      <c r="QV36" s="2">
        <f>175+175</f>
        <v>350</v>
      </c>
      <c r="QW36" s="2">
        <f>175</f>
        <v>175</v>
      </c>
      <c r="QX36" s="2">
        <v>2</v>
      </c>
      <c r="QY36" s="2">
        <f>175</f>
        <v>175</v>
      </c>
      <c r="QZ36" s="2"/>
      <c r="RA36" s="2"/>
      <c r="RB36" s="2">
        <f>6</f>
        <v>6</v>
      </c>
      <c r="RC36" s="2"/>
      <c r="RD36" s="2">
        <v>1</v>
      </c>
      <c r="RE36" s="2">
        <f>350+175</f>
        <v>525</v>
      </c>
      <c r="RF36" s="12">
        <v>1</v>
      </c>
      <c r="RG36" s="2"/>
      <c r="RH36" s="2">
        <f>1+1</f>
        <v>2</v>
      </c>
      <c r="RI36" s="2"/>
      <c r="RJ36" s="2"/>
      <c r="RK36" s="2">
        <f>11+2</f>
        <v>13</v>
      </c>
      <c r="RL36" s="2"/>
      <c r="RM36" s="2"/>
      <c r="RN36" s="2">
        <f>175</f>
        <v>175</v>
      </c>
      <c r="RO36" s="2"/>
      <c r="RP36" s="2"/>
      <c r="RQ36" s="2"/>
      <c r="RR36" s="2">
        <f>1</f>
        <v>1</v>
      </c>
      <c r="RS36" s="2"/>
      <c r="RT36" s="2"/>
      <c r="RU36" s="2"/>
      <c r="RV36" s="2"/>
      <c r="RW36" s="2">
        <f>7</f>
        <v>7</v>
      </c>
      <c r="RX36" s="2">
        <f>175+175</f>
        <v>350</v>
      </c>
      <c r="RY36" s="2"/>
      <c r="RZ36" s="2">
        <f>350</f>
        <v>350</v>
      </c>
      <c r="SA36" s="2">
        <f>525</f>
        <v>525</v>
      </c>
      <c r="SB36" s="2">
        <f>1</f>
        <v>1</v>
      </c>
      <c r="SC36" s="2"/>
      <c r="SD36" s="2">
        <f>350+350</f>
        <v>700</v>
      </c>
      <c r="SE36" s="2"/>
      <c r="SF36" s="2">
        <f>175+175</f>
        <v>350</v>
      </c>
      <c r="SG36" s="2"/>
      <c r="SH36" s="2">
        <f>175+350</f>
        <v>525</v>
      </c>
      <c r="SI36" s="2">
        <f>175+175</f>
        <v>350</v>
      </c>
      <c r="SJ36" s="2">
        <f>7+2</f>
        <v>9</v>
      </c>
      <c r="SK36" s="2">
        <f>1</f>
        <v>1</v>
      </c>
      <c r="SL36" s="2"/>
      <c r="SM36" s="2"/>
      <c r="SN36" s="2"/>
      <c r="SO36" s="2">
        <f>1</f>
        <v>1</v>
      </c>
      <c r="SP36" s="2">
        <f>3+350</f>
        <v>353</v>
      </c>
      <c r="SQ36" s="2">
        <f>2</f>
        <v>2</v>
      </c>
      <c r="SR36" s="2">
        <f>1</f>
        <v>1</v>
      </c>
      <c r="SS36" s="2"/>
      <c r="ST36" s="2">
        <v>1</v>
      </c>
      <c r="SU36" s="2">
        <f>175+525</f>
        <v>700</v>
      </c>
      <c r="SV36" s="2"/>
      <c r="SW36" s="2">
        <f>175+525+9+1</f>
        <v>710</v>
      </c>
      <c r="SX36" s="2"/>
      <c r="SY36" s="2">
        <f>350</f>
        <v>350</v>
      </c>
      <c r="SZ36" s="2">
        <f>350</f>
        <v>350</v>
      </c>
      <c r="TA36" s="2"/>
      <c r="TB36" s="2">
        <f>350+350+175+175+350+175+3</f>
        <v>1578</v>
      </c>
      <c r="TC36" s="2"/>
      <c r="TD36" s="2"/>
      <c r="TE36" s="2">
        <f>1+350</f>
        <v>351</v>
      </c>
      <c r="TF36" s="2">
        <v>175</v>
      </c>
      <c r="TG36" s="12">
        <f>3+175</f>
        <v>178</v>
      </c>
      <c r="TH36" s="2">
        <v>175</v>
      </c>
      <c r="TI36" s="2">
        <f>1+1</f>
        <v>2</v>
      </c>
      <c r="TJ36" s="2">
        <f>350+350+175</f>
        <v>875</v>
      </c>
      <c r="TK36" s="2">
        <f>175+350+1+350+175</f>
        <v>1051</v>
      </c>
      <c r="TL36" s="2">
        <v>350</v>
      </c>
      <c r="TM36" s="2">
        <f>175+350+25</f>
        <v>550</v>
      </c>
      <c r="TN36" s="2">
        <f>350+525+350</f>
        <v>1225</v>
      </c>
      <c r="TO36" s="2">
        <f>175+525</f>
        <v>700</v>
      </c>
      <c r="TP36" s="2">
        <f>350+175</f>
        <v>525</v>
      </c>
      <c r="TQ36" s="2"/>
      <c r="TR36" s="2">
        <v>2</v>
      </c>
      <c r="TS36" s="2">
        <v>175</v>
      </c>
      <c r="TT36" s="2"/>
      <c r="TU36" s="2">
        <f>2+175</f>
        <v>177</v>
      </c>
      <c r="TV36" s="2"/>
      <c r="TW36" s="2">
        <f>350+2</f>
        <v>352</v>
      </c>
      <c r="TX36" s="2">
        <f>525+350</f>
        <v>875</v>
      </c>
      <c r="TY36" s="2">
        <v>1</v>
      </c>
      <c r="TZ36" s="2">
        <f>3+2</f>
        <v>5</v>
      </c>
      <c r="UA36" s="2"/>
      <c r="UB36" s="2">
        <v>175</v>
      </c>
      <c r="UC36" s="2">
        <f>525+350</f>
        <v>875</v>
      </c>
      <c r="UD36" s="2">
        <f>34+1050</f>
        <v>1084</v>
      </c>
      <c r="UE36" s="2">
        <v>1</v>
      </c>
      <c r="UF36" s="2"/>
      <c r="UG36" s="2"/>
      <c r="UH36" s="2"/>
      <c r="UI36" s="2">
        <v>1</v>
      </c>
      <c r="UJ36" s="2"/>
      <c r="UK36" s="2">
        <f>525+175+525</f>
        <v>1225</v>
      </c>
      <c r="UL36" s="2">
        <f>175+435+2+525+350+350</f>
        <v>1837</v>
      </c>
      <c r="UM36" s="2">
        <f>350+525+350</f>
        <v>1225</v>
      </c>
      <c r="UN36" s="2">
        <f>350+175+175</f>
        <v>700</v>
      </c>
      <c r="UO36" s="2">
        <f>11+1050+1050</f>
        <v>2111</v>
      </c>
      <c r="UP36" s="2"/>
      <c r="UQ36" s="2">
        <f>350+350+350+2</f>
        <v>1052</v>
      </c>
      <c r="UR36" s="2"/>
      <c r="US36" s="2"/>
      <c r="UT36" s="2">
        <v>7</v>
      </c>
      <c r="UU36" s="2">
        <v>4</v>
      </c>
      <c r="UV36" s="2">
        <v>700</v>
      </c>
      <c r="UW36" s="2"/>
      <c r="UX36" s="2"/>
      <c r="UY36" s="2">
        <f>350+560+2+1</f>
        <v>913</v>
      </c>
      <c r="UZ36" s="2">
        <f>7+700</f>
        <v>707</v>
      </c>
      <c r="VA36" s="2"/>
      <c r="VB36" s="2"/>
      <c r="VC36" s="2">
        <f>525+175+350+875+350</f>
        <v>2275</v>
      </c>
      <c r="VD36" s="2">
        <v>350</v>
      </c>
      <c r="VE36" s="2"/>
      <c r="VF36" s="2">
        <v>175</v>
      </c>
      <c r="VG36" s="2">
        <v>350</v>
      </c>
      <c r="VH36" s="2">
        <f>175+350+175</f>
        <v>700</v>
      </c>
      <c r="VI36" s="2">
        <v>350</v>
      </c>
      <c r="VJ36" s="2">
        <f>2+2+2+2</f>
        <v>8</v>
      </c>
      <c r="VK36" s="2">
        <f>525+73+1</f>
        <v>599</v>
      </c>
      <c r="VL36" s="2"/>
      <c r="VM36" s="2"/>
      <c r="VN36" s="2">
        <v>16</v>
      </c>
      <c r="VO36" s="2"/>
      <c r="VP36" s="2">
        <v>8</v>
      </c>
      <c r="VQ36" s="2">
        <f>350+1+1</f>
        <v>352</v>
      </c>
      <c r="VR36" s="2">
        <f>350+1+700</f>
        <v>1051</v>
      </c>
      <c r="VS36" s="2">
        <f>175+175</f>
        <v>350</v>
      </c>
      <c r="VT36" s="2">
        <f>1+350</f>
        <v>351</v>
      </c>
      <c r="VU36" s="2">
        <f>2+350+350</f>
        <v>702</v>
      </c>
      <c r="VV36" s="2">
        <f>2+350</f>
        <v>352</v>
      </c>
      <c r="VW36" s="2"/>
      <c r="VX36" s="2">
        <f>9+525+525</f>
        <v>1059</v>
      </c>
      <c r="VY36" s="2">
        <f>175+11</f>
        <v>186</v>
      </c>
      <c r="VZ36" s="2">
        <f>350+350</f>
        <v>700</v>
      </c>
      <c r="WA36" s="2">
        <v>175</v>
      </c>
      <c r="WB36" s="2">
        <f>875+875+175+350</f>
        <v>2275</v>
      </c>
      <c r="WC36" s="2">
        <f>350+350+350</f>
        <v>1050</v>
      </c>
      <c r="WD36" s="2">
        <f>525+350+700</f>
        <v>1575</v>
      </c>
      <c r="WE36" s="2">
        <f>350+175+875</f>
        <v>1400</v>
      </c>
      <c r="WF36" s="2">
        <f>525+1+2</f>
        <v>528</v>
      </c>
      <c r="WG36" s="2">
        <v>1750</v>
      </c>
      <c r="WH36" s="2"/>
      <c r="WI36" s="2">
        <v>175</v>
      </c>
      <c r="WJ36" s="2">
        <f>1+3</f>
        <v>4</v>
      </c>
      <c r="WK36" s="2">
        <f>1+6</f>
        <v>7</v>
      </c>
      <c r="WL36" s="2"/>
      <c r="WM36" s="2"/>
      <c r="WN36" s="2">
        <f>175+875</f>
        <v>1050</v>
      </c>
      <c r="WO36" s="2">
        <v>15</v>
      </c>
      <c r="WP36" s="2">
        <f>1+2+2</f>
        <v>5</v>
      </c>
      <c r="WQ36" s="2"/>
      <c r="WR36" s="2">
        <v>1</v>
      </c>
      <c r="WS36" s="2"/>
      <c r="WT36" s="2"/>
      <c r="WU36" s="2"/>
      <c r="WV36" s="2">
        <v>350</v>
      </c>
      <c r="WW36" s="2"/>
      <c r="WX36" s="2"/>
      <c r="WY36" s="2">
        <v>11</v>
      </c>
      <c r="WZ36" s="2"/>
      <c r="XA36" s="2">
        <v>1</v>
      </c>
      <c r="XB36" s="2">
        <f>1+1+1</f>
        <v>3</v>
      </c>
      <c r="XC36" s="2">
        <f>2+2</f>
        <v>4</v>
      </c>
      <c r="XD36" s="2">
        <v>2</v>
      </c>
      <c r="XE36" s="2"/>
      <c r="XF36" s="2"/>
      <c r="XG36" s="2"/>
      <c r="XH36" s="2">
        <v>350</v>
      </c>
      <c r="XI36" s="2"/>
      <c r="XJ36" s="2">
        <f>20+1</f>
        <v>21</v>
      </c>
      <c r="XK36" s="2">
        <v>1</v>
      </c>
      <c r="XL36" s="2"/>
      <c r="XM36" s="2">
        <f>582+350+2</f>
        <v>934</v>
      </c>
      <c r="XN36" s="2">
        <v>175</v>
      </c>
      <c r="XO36" s="2"/>
      <c r="XP36" s="2"/>
      <c r="XQ36" s="2">
        <v>18</v>
      </c>
      <c r="XR36" s="2"/>
      <c r="XS36" s="2">
        <f>525+525</f>
        <v>1050</v>
      </c>
      <c r="XT36" s="2">
        <v>2</v>
      </c>
      <c r="XU36" s="2">
        <f>2+1+2</f>
        <v>5</v>
      </c>
      <c r="XV36" s="2">
        <v>1</v>
      </c>
      <c r="XW36" s="2">
        <f>1+2+1</f>
        <v>4</v>
      </c>
      <c r="XX36" s="2"/>
      <c r="XY36" s="2">
        <f>350+350+700+350</f>
        <v>1750</v>
      </c>
      <c r="XZ36" s="2">
        <v>700</v>
      </c>
      <c r="YA36" s="2"/>
      <c r="YB36" s="2">
        <v>1</v>
      </c>
      <c r="YC36" s="2"/>
      <c r="YD36" s="2">
        <v>175</v>
      </c>
      <c r="YE36" s="2">
        <v>19</v>
      </c>
      <c r="YF36" s="2">
        <v>1</v>
      </c>
      <c r="YG36" s="2">
        <f>1+1</f>
        <v>2</v>
      </c>
      <c r="YH36" s="2">
        <f>175+525</f>
        <v>700</v>
      </c>
      <c r="YI36" s="2">
        <f>4+2+16</f>
        <v>22</v>
      </c>
      <c r="YJ36" s="2"/>
      <c r="YK36" s="2"/>
      <c r="YL36" s="2">
        <v>525</v>
      </c>
      <c r="YM36" s="2">
        <f>2+1</f>
        <v>3</v>
      </c>
      <c r="YN36" s="2">
        <f>1+2</f>
        <v>3</v>
      </c>
      <c r="YO36" s="2">
        <f>1+1+2</f>
        <v>4</v>
      </c>
      <c r="YP36" s="2">
        <v>175</v>
      </c>
      <c r="YQ36" s="2"/>
      <c r="YR36" s="2">
        <v>2</v>
      </c>
      <c r="YS36" s="2">
        <v>1</v>
      </c>
      <c r="YT36" s="2">
        <v>350</v>
      </c>
      <c r="YU36" s="2">
        <v>700</v>
      </c>
      <c r="YV36" s="2"/>
      <c r="YW36" s="2">
        <f>350+700</f>
        <v>1050</v>
      </c>
      <c r="YX36" s="2">
        <v>1</v>
      </c>
      <c r="YY36" s="2"/>
      <c r="YZ36" s="2">
        <f>15+2</f>
        <v>17</v>
      </c>
      <c r="ZA36" s="2">
        <f>875+175+175+2</f>
        <v>1227</v>
      </c>
      <c r="ZB36" s="2">
        <v>175</v>
      </c>
      <c r="ZC36" s="2">
        <f>39+525</f>
        <v>564</v>
      </c>
      <c r="ZD36" s="2"/>
      <c r="ZE36" s="2">
        <v>1</v>
      </c>
      <c r="ZF36" s="2">
        <f>1+2+1+1</f>
        <v>5</v>
      </c>
      <c r="ZG36" s="2">
        <v>2</v>
      </c>
      <c r="ZH36" s="2">
        <v>16</v>
      </c>
      <c r="ZI36" s="2">
        <f>1+2+1+1</f>
        <v>5</v>
      </c>
      <c r="ZJ36" s="2">
        <f>350+175+1050</f>
        <v>1575</v>
      </c>
      <c r="ZK36" s="2">
        <f>2+2</f>
        <v>4</v>
      </c>
      <c r="ZL36" s="2"/>
      <c r="ZM36" s="2">
        <f>1+2+3+2</f>
        <v>8</v>
      </c>
      <c r="ZN36" s="2">
        <v>1</v>
      </c>
      <c r="ZO36" s="2"/>
      <c r="ZP36" s="2"/>
      <c r="ZQ36" s="2">
        <v>525</v>
      </c>
      <c r="ZR36" s="2"/>
      <c r="ZS36" s="2">
        <f>16+175+1</f>
        <v>192</v>
      </c>
      <c r="ZT36" s="2"/>
      <c r="ZU36" s="2"/>
      <c r="ZV36" s="2">
        <f>525+1+2</f>
        <v>528</v>
      </c>
      <c r="ZW36" s="2">
        <f>525+525+175</f>
        <v>1225</v>
      </c>
      <c r="ZX36" s="2">
        <v>30</v>
      </c>
      <c r="ZY36" s="2">
        <f>2+2</f>
        <v>4</v>
      </c>
      <c r="ZZ36" s="2">
        <f>175+1+2</f>
        <v>178</v>
      </c>
      <c r="AAA36" s="2">
        <v>525</v>
      </c>
      <c r="AAB36" s="2">
        <v>525</v>
      </c>
      <c r="AAC36" s="2">
        <f>1+1+1</f>
        <v>3</v>
      </c>
      <c r="AAD36" s="2">
        <f>350+1+1</f>
        <v>352</v>
      </c>
      <c r="AAE36" s="2">
        <f>1+2</f>
        <v>3</v>
      </c>
      <c r="AAF36" s="2">
        <v>2</v>
      </c>
      <c r="AAG36" s="2">
        <v>3</v>
      </c>
      <c r="AAH36" s="2"/>
      <c r="AAI36" s="2">
        <f>48+1+175</f>
        <v>224</v>
      </c>
      <c r="AAJ36" s="2">
        <v>1</v>
      </c>
      <c r="AAK36" s="2"/>
      <c r="AAL36" s="2"/>
      <c r="AAM36" s="2"/>
      <c r="AAN36" s="2">
        <v>2</v>
      </c>
      <c r="AAO36" s="2"/>
      <c r="AAP36" s="2">
        <f>2+525+525</f>
        <v>1052</v>
      </c>
      <c r="AAQ36" s="2">
        <f>350+2+1+175</f>
        <v>528</v>
      </c>
      <c r="AAR36" s="2"/>
      <c r="AAS36" s="2">
        <f>1400+20</f>
        <v>1420</v>
      </c>
      <c r="AAT36" s="2">
        <f>350+1400+2</f>
        <v>1752</v>
      </c>
      <c r="AAU36" s="2">
        <f>15+350+350+1050+1</f>
        <v>1766</v>
      </c>
      <c r="AAV36" s="2">
        <v>1</v>
      </c>
      <c r="AAW36" s="2"/>
      <c r="AAX36" s="2"/>
      <c r="AAY36" s="2">
        <v>495</v>
      </c>
      <c r="AAZ36" s="2">
        <f>175+350</f>
        <v>525</v>
      </c>
      <c r="ABA36" s="2">
        <f>1+525</f>
        <v>526</v>
      </c>
      <c r="ABB36" s="2">
        <v>2</v>
      </c>
      <c r="ABC36" s="2"/>
      <c r="ABD36" s="2"/>
      <c r="ABE36" s="2">
        <v>12</v>
      </c>
      <c r="ABF36" s="2"/>
      <c r="ABG36" s="2">
        <v>2</v>
      </c>
      <c r="ABH36" s="2">
        <f>51+350</f>
        <v>401</v>
      </c>
      <c r="ABI36" s="2">
        <f>700+525+2+1+1</f>
        <v>1229</v>
      </c>
      <c r="ABJ36" s="2">
        <f>2+1+525+175</f>
        <v>703</v>
      </c>
      <c r="ABK36" s="2">
        <f>700+1</f>
        <v>701</v>
      </c>
      <c r="ABL36" s="2">
        <v>525</v>
      </c>
      <c r="ABM36" s="2"/>
      <c r="ABN36" s="2">
        <f>350+350+19+1+2</f>
        <v>722</v>
      </c>
      <c r="ABO36" s="2"/>
      <c r="ABP36" s="2">
        <v>525</v>
      </c>
      <c r="ABQ36" s="2">
        <v>350</v>
      </c>
      <c r="ABR36" s="2">
        <f>875+350</f>
        <v>1225</v>
      </c>
      <c r="ABS36" s="2">
        <f>525+2+1</f>
        <v>528</v>
      </c>
      <c r="ABT36" s="2">
        <f>175+525+525</f>
        <v>1225</v>
      </c>
      <c r="ABU36" s="2">
        <v>10</v>
      </c>
      <c r="ABV36" s="2">
        <f>350+4</f>
        <v>354</v>
      </c>
      <c r="ABW36" s="2">
        <v>2</v>
      </c>
      <c r="ABX36" s="2"/>
      <c r="ABY36" s="2">
        <v>350</v>
      </c>
      <c r="ABZ36" s="2">
        <v>175</v>
      </c>
      <c r="ACA36" s="2">
        <f>350+350+1+2+175+875</f>
        <v>1753</v>
      </c>
      <c r="ACB36" s="2">
        <v>525</v>
      </c>
      <c r="ACC36" s="2">
        <f>1+350</f>
        <v>351</v>
      </c>
      <c r="ACD36" s="2"/>
      <c r="ACE36" s="2">
        <f>175+350</f>
        <v>525</v>
      </c>
      <c r="ACF36" s="2">
        <f>2+525</f>
        <v>527</v>
      </c>
      <c r="ACG36" s="2"/>
      <c r="ACH36" s="2">
        <f>175+175</f>
        <v>350</v>
      </c>
      <c r="ACI36" s="2">
        <f>875+8</f>
        <v>883</v>
      </c>
      <c r="ACJ36" s="2">
        <v>525</v>
      </c>
      <c r="ACK36" s="2">
        <f>175+175</f>
        <v>350</v>
      </c>
      <c r="ACL36" s="2">
        <v>1</v>
      </c>
      <c r="ACM36" s="2">
        <v>19</v>
      </c>
      <c r="ACN36" s="2">
        <v>700</v>
      </c>
      <c r="ACO36" s="2"/>
      <c r="ACP36" s="2"/>
      <c r="ACQ36" s="2">
        <f>2+350</f>
        <v>352</v>
      </c>
      <c r="ACR36" s="2">
        <f>350+2+2+1+2+2</f>
        <v>359</v>
      </c>
      <c r="ACS36" s="2">
        <f>2+2+2</f>
        <v>6</v>
      </c>
      <c r="ACT36" s="2">
        <v>12</v>
      </c>
      <c r="ACU36" s="2">
        <f>700+350</f>
        <v>1050</v>
      </c>
      <c r="ACV36" s="2"/>
      <c r="ACW36" s="2"/>
      <c r="ACX36" s="2">
        <v>175</v>
      </c>
      <c r="ACY36" s="2">
        <v>525</v>
      </c>
      <c r="ACZ36" s="2">
        <f>875+700</f>
        <v>1575</v>
      </c>
      <c r="ADA36" s="2">
        <f>175+1</f>
        <v>176</v>
      </c>
      <c r="ADB36" s="2"/>
      <c r="ADC36" s="2">
        <f>12+175</f>
        <v>187</v>
      </c>
      <c r="ADD36" s="2">
        <v>350</v>
      </c>
      <c r="ADE36" s="2">
        <v>350</v>
      </c>
      <c r="ADF36" s="2">
        <f>525+525</f>
        <v>1050</v>
      </c>
      <c r="ADG36" s="2">
        <f>700+700</f>
        <v>1400</v>
      </c>
      <c r="ADH36" s="2"/>
      <c r="ADI36" s="2">
        <f>1+1</f>
        <v>2</v>
      </c>
      <c r="ADJ36" s="2">
        <v>2</v>
      </c>
      <c r="ADK36" s="2">
        <f>175+350+350+2+1+1+4+525+525</f>
        <v>1933</v>
      </c>
      <c r="ADL36" s="2">
        <f>2+1+2</f>
        <v>5</v>
      </c>
      <c r="ADM36" s="2">
        <v>525</v>
      </c>
      <c r="ADN36" s="2">
        <f>2+1+1</f>
        <v>4</v>
      </c>
      <c r="ADO36" s="2">
        <f>2+525</f>
        <v>527</v>
      </c>
      <c r="ADP36" s="2">
        <v>19</v>
      </c>
      <c r="ADQ36" s="2">
        <f>1+700</f>
        <v>701</v>
      </c>
      <c r="ADR36" s="2"/>
      <c r="ADS36" s="2">
        <v>1</v>
      </c>
      <c r="ADT36" s="2">
        <f>2+700</f>
        <v>702</v>
      </c>
      <c r="ADU36" s="2">
        <f>350+700</f>
        <v>1050</v>
      </c>
      <c r="ADV36" s="2">
        <v>18</v>
      </c>
      <c r="ADW36" s="2">
        <f>525+525</f>
        <v>1050</v>
      </c>
      <c r="ADX36" s="2">
        <v>75</v>
      </c>
      <c r="ADY36" s="2">
        <f>640+175</f>
        <v>815</v>
      </c>
      <c r="ADZ36" s="2">
        <v>2</v>
      </c>
      <c r="AEA36" s="12">
        <v>1</v>
      </c>
      <c r="AEB36" s="2"/>
      <c r="AEC36" s="2"/>
      <c r="AED36" s="2">
        <f>175+1+1</f>
        <v>177</v>
      </c>
      <c r="AEE36" s="2">
        <f>1+1+16</f>
        <v>18</v>
      </c>
      <c r="AEF36" s="2">
        <f>4+1+350</f>
        <v>355</v>
      </c>
      <c r="AEG36" s="2">
        <f>1+2+525</f>
        <v>528</v>
      </c>
      <c r="AEH36" s="2">
        <f>2+350</f>
        <v>352</v>
      </c>
      <c r="AEI36" s="2">
        <f>525+525+175</f>
        <v>1225</v>
      </c>
      <c r="AEJ36" s="2">
        <v>525</v>
      </c>
      <c r="AEK36" s="2">
        <v>175</v>
      </c>
      <c r="AEL36" s="2"/>
      <c r="AEM36" s="2">
        <v>350</v>
      </c>
      <c r="AEN36" s="2"/>
      <c r="AEO36" s="2">
        <v>17</v>
      </c>
      <c r="AEP36" s="2">
        <f>350+700+1</f>
        <v>1051</v>
      </c>
      <c r="AEQ36" s="2">
        <f>525+350+350</f>
        <v>1225</v>
      </c>
      <c r="AER36" s="2">
        <v>2</v>
      </c>
      <c r="AES36" s="2">
        <f>350+1</f>
        <v>351</v>
      </c>
      <c r="AET36" s="2"/>
      <c r="AEU36" s="2"/>
      <c r="AEV36" s="2"/>
      <c r="AEW36" s="2">
        <f>350+13</f>
        <v>363</v>
      </c>
      <c r="AEX36" s="2">
        <f>1+1+2+2</f>
        <v>6</v>
      </c>
      <c r="AEY36" s="2">
        <f>2+2+2+2+1+1+2</f>
        <v>12</v>
      </c>
      <c r="AEZ36" s="2">
        <v>2</v>
      </c>
      <c r="AFA36" s="2">
        <f>175+525+525</f>
        <v>1225</v>
      </c>
      <c r="AFB36" s="2">
        <v>2</v>
      </c>
      <c r="AFC36" s="2"/>
      <c r="AFD36" s="2">
        <f>2+1</f>
        <v>3</v>
      </c>
      <c r="AFE36" s="2">
        <f>350+175</f>
        <v>525</v>
      </c>
      <c r="AFF36" s="2"/>
      <c r="AFG36" s="2"/>
      <c r="AFH36" s="2"/>
      <c r="AFI36" s="2"/>
      <c r="AFJ36" s="2"/>
      <c r="AFK36" s="2"/>
      <c r="AFL36" s="2">
        <f t="shared" si="0"/>
        <v>140153</v>
      </c>
    </row>
    <row r="37" spans="1:844" s="11" customFormat="1" x14ac:dyDescent="0.3">
      <c r="B37" s="35">
        <v>41051905</v>
      </c>
      <c r="C37" s="52" t="s">
        <v>99</v>
      </c>
      <c r="D37" s="35" t="s">
        <v>3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>
        <v>77</v>
      </c>
      <c r="CN37" s="2"/>
      <c r="CO37" s="2"/>
      <c r="CP37" s="2"/>
      <c r="CQ37" s="2">
        <v>77</v>
      </c>
      <c r="CR37" s="2"/>
      <c r="CS37" s="2">
        <f>77+77+77</f>
        <v>231</v>
      </c>
      <c r="CT37" s="2"/>
      <c r="CU37" s="2"/>
      <c r="CV37" s="2"/>
      <c r="CW37" s="2"/>
      <c r="CX37" s="2"/>
      <c r="CY37" s="2"/>
      <c r="CZ37" s="2"/>
      <c r="DA37" s="2"/>
      <c r="DB37" s="2"/>
      <c r="DC37" s="2">
        <v>77</v>
      </c>
      <c r="DD37" s="2"/>
      <c r="DE37" s="2"/>
      <c r="DF37" s="2"/>
      <c r="DG37" s="2"/>
      <c r="DH37" s="2"/>
      <c r="DI37" s="2"/>
      <c r="DJ37" s="2"/>
      <c r="DK37" s="2"/>
      <c r="DL37" s="2">
        <v>77</v>
      </c>
      <c r="DM37" s="2"/>
      <c r="DN37" s="2"/>
      <c r="DO37" s="2"/>
      <c r="DP37" s="2"/>
      <c r="DQ37" s="2"/>
      <c r="DR37" s="2"/>
      <c r="DS37" s="2"/>
      <c r="DT37" s="2"/>
      <c r="DU37" s="2"/>
      <c r="DV37" s="2">
        <f>77+34</f>
        <v>111</v>
      </c>
      <c r="DW37" s="2"/>
      <c r="DX37" s="2"/>
      <c r="DY37" s="2"/>
      <c r="DZ37" s="2"/>
      <c r="EA37" s="2"/>
      <c r="EB37" s="2"/>
      <c r="EC37" s="2">
        <v>1</v>
      </c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>
        <v>77</v>
      </c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>
        <v>77</v>
      </c>
      <c r="FN37" s="2"/>
      <c r="FO37" s="2"/>
      <c r="FP37" s="2"/>
      <c r="FQ37" s="2"/>
      <c r="FR37" s="2"/>
      <c r="FS37" s="2">
        <v>77</v>
      </c>
      <c r="FT37" s="2">
        <v>77</v>
      </c>
      <c r="FU37" s="2"/>
      <c r="FV37" s="2"/>
      <c r="FW37" s="2"/>
      <c r="FX37" s="2"/>
      <c r="FY37" s="2"/>
      <c r="FZ37" s="2">
        <v>154</v>
      </c>
      <c r="GA37" s="2"/>
      <c r="GB37" s="2"/>
      <c r="GC37" s="2"/>
      <c r="GD37" s="2"/>
      <c r="GE37" s="2"/>
      <c r="GF37" s="2"/>
      <c r="GG37" s="2"/>
      <c r="GH37" s="2"/>
      <c r="GI37" s="2">
        <v>77</v>
      </c>
      <c r="GJ37" s="2"/>
      <c r="GK37" s="2">
        <f>77+77</f>
        <v>154</v>
      </c>
      <c r="GL37" s="2"/>
      <c r="GM37" s="2"/>
      <c r="GN37" s="2"/>
      <c r="GO37" s="2"/>
      <c r="GP37" s="2"/>
      <c r="GQ37" s="2"/>
      <c r="GR37" s="2"/>
      <c r="GS37" s="2">
        <f>77+77</f>
        <v>154</v>
      </c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>
        <v>77</v>
      </c>
      <c r="HN37" s="2"/>
      <c r="HO37" s="2"/>
      <c r="HP37" s="2">
        <v>77</v>
      </c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>
        <f>77+31</f>
        <v>108</v>
      </c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>
        <f>77+77</f>
        <v>154</v>
      </c>
      <c r="JJ37" s="2"/>
      <c r="JK37" s="2"/>
      <c r="JL37" s="2"/>
      <c r="JM37" s="2"/>
      <c r="JN37" s="2">
        <f>77+77+4</f>
        <v>158</v>
      </c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>
        <f>77+77</f>
        <v>154</v>
      </c>
      <c r="KA37" s="2"/>
      <c r="KB37" s="2"/>
      <c r="KC37" s="2"/>
      <c r="KD37" s="2"/>
      <c r="KE37" s="2">
        <v>77</v>
      </c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>
        <v>77</v>
      </c>
      <c r="KU37" s="2"/>
      <c r="KV37" s="2"/>
      <c r="KW37" s="2"/>
      <c r="KX37" s="2"/>
      <c r="KY37" s="2"/>
      <c r="KZ37" s="2">
        <v>77</v>
      </c>
      <c r="LA37" s="2">
        <v>38</v>
      </c>
      <c r="LB37" s="2"/>
      <c r="LC37" s="2"/>
      <c r="LD37" s="2"/>
      <c r="LE37" s="2"/>
      <c r="LF37" s="2"/>
      <c r="LG37" s="2"/>
      <c r="LH37" s="2"/>
      <c r="LI37" s="2">
        <v>154</v>
      </c>
      <c r="LJ37" s="2"/>
      <c r="LK37" s="2"/>
      <c r="LL37" s="2"/>
      <c r="LM37" s="2"/>
      <c r="LN37" s="2"/>
      <c r="LO37" s="2">
        <v>77</v>
      </c>
      <c r="LP37" s="2"/>
      <c r="LQ37" s="2">
        <v>77</v>
      </c>
      <c r="LR37" s="2"/>
      <c r="LS37" s="2"/>
      <c r="LT37" s="2">
        <v>77</v>
      </c>
      <c r="LU37" s="2"/>
      <c r="LV37" s="2"/>
      <c r="LW37" s="2"/>
      <c r="LX37" s="2"/>
      <c r="LY37" s="2"/>
      <c r="LZ37" s="2">
        <v>231</v>
      </c>
      <c r="MA37" s="2"/>
      <c r="MB37" s="2">
        <f>77+77</f>
        <v>154</v>
      </c>
      <c r="MC37" s="2"/>
      <c r="MD37" s="2"/>
      <c r="ME37" s="2">
        <f>77+77+77+77</f>
        <v>308</v>
      </c>
      <c r="MF37" s="2"/>
      <c r="MG37" s="2">
        <v>77</v>
      </c>
      <c r="MH37" s="2"/>
      <c r="MI37" s="2">
        <f>77+1</f>
        <v>78</v>
      </c>
      <c r="MJ37" s="2"/>
      <c r="MK37" s="2">
        <v>77</v>
      </c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>
        <f>77+1</f>
        <v>78</v>
      </c>
      <c r="NB37" s="2"/>
      <c r="NC37" s="2"/>
      <c r="ND37" s="2">
        <v>77</v>
      </c>
      <c r="NE37" s="2"/>
      <c r="NF37" s="2"/>
      <c r="NG37" s="2"/>
      <c r="NH37" s="2">
        <v>77</v>
      </c>
      <c r="NI37" s="2"/>
      <c r="NJ37" s="2"/>
      <c r="NK37" s="2"/>
      <c r="NL37" s="2"/>
      <c r="NM37" s="2">
        <v>77</v>
      </c>
      <c r="NN37" s="2"/>
      <c r="NO37" s="2"/>
      <c r="NP37" s="2"/>
      <c r="NQ37" s="2"/>
      <c r="NR37" s="2"/>
      <c r="NS37" s="2"/>
      <c r="NT37" s="2"/>
      <c r="NU37" s="2"/>
      <c r="NV37" s="2"/>
      <c r="NW37" s="2">
        <v>77</v>
      </c>
      <c r="NX37" s="2"/>
      <c r="NY37" s="2"/>
      <c r="NZ37" s="2"/>
      <c r="OA37" s="2"/>
      <c r="OB37" s="2"/>
      <c r="OC37" s="2"/>
      <c r="OD37" s="2">
        <v>3</v>
      </c>
      <c r="OE37" s="2"/>
      <c r="OF37" s="2"/>
      <c r="OG37" s="2"/>
      <c r="OH37" s="2"/>
      <c r="OI37" s="2">
        <v>16</v>
      </c>
      <c r="OJ37" s="2"/>
      <c r="OK37" s="2"/>
      <c r="OL37" s="2"/>
      <c r="OM37" s="2"/>
      <c r="ON37" s="2"/>
      <c r="OO37" s="2"/>
      <c r="OP37" s="2"/>
      <c r="OQ37" s="2">
        <f>77+77+77</f>
        <v>231</v>
      </c>
      <c r="OR37" s="2"/>
      <c r="OS37" s="2">
        <v>77</v>
      </c>
      <c r="OT37" s="2">
        <v>77</v>
      </c>
      <c r="OU37" s="2">
        <v>77</v>
      </c>
      <c r="OV37" s="2"/>
      <c r="OW37" s="2"/>
      <c r="OX37" s="2"/>
      <c r="OY37" s="2">
        <v>1</v>
      </c>
      <c r="OZ37" s="2">
        <v>77</v>
      </c>
      <c r="PA37" s="2"/>
      <c r="PB37" s="2"/>
      <c r="PC37" s="2"/>
      <c r="PD37" s="2">
        <v>77</v>
      </c>
      <c r="PE37" s="2">
        <v>77</v>
      </c>
      <c r="PF37" s="2">
        <v>77</v>
      </c>
      <c r="PG37" s="2">
        <v>77</v>
      </c>
      <c r="PH37" s="2"/>
      <c r="PI37" s="2"/>
      <c r="PJ37" s="2"/>
      <c r="PK37" s="2">
        <v>77</v>
      </c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>
        <v>77</v>
      </c>
      <c r="QB37" s="2"/>
      <c r="QC37" s="2"/>
      <c r="QD37" s="2"/>
      <c r="QE37" s="2"/>
      <c r="QF37" s="2"/>
      <c r="QG37" s="2"/>
      <c r="QH37" s="2"/>
      <c r="QI37" s="2">
        <f>5</f>
        <v>5</v>
      </c>
      <c r="QJ37" s="2"/>
      <c r="QK37" s="2">
        <f>77</f>
        <v>77</v>
      </c>
      <c r="QL37" s="2">
        <f>77</f>
        <v>77</v>
      </c>
      <c r="QM37" s="2"/>
      <c r="QN37" s="2"/>
      <c r="QO37" s="2">
        <v>1743</v>
      </c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>
        <v>13</v>
      </c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>
        <v>1</v>
      </c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>
        <f t="shared" si="0"/>
        <v>7128</v>
      </c>
    </row>
    <row r="38" spans="1:844" x14ac:dyDescent="0.3">
      <c r="B38" s="35">
        <v>40926905</v>
      </c>
      <c r="C38" s="52" t="s">
        <v>101</v>
      </c>
      <c r="D38" s="35" t="s">
        <v>3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>
        <f>77</f>
        <v>77</v>
      </c>
      <c r="QS38" s="2">
        <f>77</f>
        <v>77</v>
      </c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>
        <f>77+77+77</f>
        <v>231</v>
      </c>
      <c r="RF38" s="2"/>
      <c r="RG38" s="2"/>
      <c r="RH38" s="2">
        <f>77</f>
        <v>77</v>
      </c>
      <c r="RI38" s="2"/>
      <c r="RJ38" s="2"/>
      <c r="RK38" s="2"/>
      <c r="RL38" s="2"/>
      <c r="RM38" s="2"/>
      <c r="RN38" s="2"/>
      <c r="RO38" s="2"/>
      <c r="RP38" s="2"/>
      <c r="RQ38" s="2">
        <f>77</f>
        <v>77</v>
      </c>
      <c r="RR38" s="2"/>
      <c r="RS38" s="2"/>
      <c r="RT38" s="2"/>
      <c r="RU38" s="2"/>
      <c r="RV38" s="2"/>
      <c r="RW38" s="2"/>
      <c r="RX38" s="2"/>
      <c r="RY38" s="2"/>
      <c r="RZ38" s="2"/>
      <c r="SA38" s="2">
        <f>77</f>
        <v>77</v>
      </c>
      <c r="SB38" s="2"/>
      <c r="SC38" s="2">
        <f>77</f>
        <v>77</v>
      </c>
      <c r="SD38" s="2"/>
      <c r="SE38" s="2"/>
      <c r="SF38" s="2">
        <f>77</f>
        <v>77</v>
      </c>
      <c r="SG38" s="2"/>
      <c r="SH38" s="2"/>
      <c r="SI38" s="2"/>
      <c r="SJ38" s="2"/>
      <c r="SK38" s="2"/>
      <c r="SL38" s="2"/>
      <c r="SM38" s="2"/>
      <c r="SN38" s="2"/>
      <c r="SO38" s="2"/>
      <c r="SP38" s="2">
        <f>77+77</f>
        <v>154</v>
      </c>
      <c r="SQ38" s="2"/>
      <c r="SR38" s="2"/>
      <c r="SS38" s="2"/>
      <c r="ST38" s="2"/>
      <c r="SU38" s="2">
        <f>77</f>
        <v>77</v>
      </c>
      <c r="SV38" s="2"/>
      <c r="SW38" s="2">
        <f>77+77</f>
        <v>154</v>
      </c>
      <c r="SX38" s="2"/>
      <c r="SY38" s="2">
        <f>77</f>
        <v>77</v>
      </c>
      <c r="SZ38" s="2"/>
      <c r="TA38" s="2"/>
      <c r="TB38" s="2"/>
      <c r="TC38" s="2"/>
      <c r="TD38" s="2"/>
      <c r="TE38" s="2"/>
      <c r="TF38" s="2"/>
      <c r="TG38" s="2">
        <v>77</v>
      </c>
      <c r="TH38" s="2"/>
      <c r="TI38" s="2"/>
      <c r="TJ38" s="2"/>
      <c r="TK38" s="2"/>
      <c r="TL38" s="2"/>
      <c r="TM38" s="2">
        <v>5</v>
      </c>
      <c r="TN38" s="2">
        <v>77</v>
      </c>
      <c r="TO38" s="2">
        <f>77+77</f>
        <v>154</v>
      </c>
      <c r="TP38" s="2">
        <v>77</v>
      </c>
      <c r="TQ38" s="2">
        <v>77</v>
      </c>
      <c r="TR38" s="2"/>
      <c r="TS38" s="2"/>
      <c r="TT38" s="2"/>
      <c r="TU38" s="2"/>
      <c r="TV38" s="2">
        <v>77</v>
      </c>
      <c r="TW38" s="2">
        <v>77</v>
      </c>
      <c r="TX38" s="2"/>
      <c r="TY38" s="2"/>
      <c r="TZ38" s="2"/>
      <c r="UA38" s="2"/>
      <c r="UB38" s="2"/>
      <c r="UC38" s="2">
        <f>77+77</f>
        <v>154</v>
      </c>
      <c r="UD38" s="2"/>
      <c r="UE38" s="2"/>
      <c r="UF38" s="2"/>
      <c r="UG38" s="2"/>
      <c r="UH38" s="2"/>
      <c r="UI38" s="2">
        <v>77</v>
      </c>
      <c r="UJ38" s="2"/>
      <c r="UK38" s="2">
        <v>77</v>
      </c>
      <c r="UL38" s="2">
        <f>77+77</f>
        <v>154</v>
      </c>
      <c r="UM38" s="2">
        <v>77</v>
      </c>
      <c r="UN38" s="2">
        <v>154</v>
      </c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>
        <f>77+1</f>
        <v>78</v>
      </c>
      <c r="UZ38" s="2"/>
      <c r="VA38" s="2"/>
      <c r="VB38" s="2"/>
      <c r="VC38" s="2"/>
      <c r="VD38" s="2"/>
      <c r="VE38" s="2"/>
      <c r="VF38" s="2"/>
      <c r="VG38" s="2">
        <v>77</v>
      </c>
      <c r="VH38" s="2"/>
      <c r="VI38" s="2"/>
      <c r="VJ38" s="2"/>
      <c r="VK38" s="2">
        <v>12</v>
      </c>
      <c r="VL38" s="2"/>
      <c r="VM38" s="2"/>
      <c r="VN38" s="2"/>
      <c r="VO38" s="2"/>
      <c r="VP38" s="2"/>
      <c r="VQ38" s="2"/>
      <c r="VR38" s="2">
        <v>77</v>
      </c>
      <c r="VS38" s="2">
        <v>77</v>
      </c>
      <c r="VT38" s="2"/>
      <c r="VU38" s="2"/>
      <c r="VV38" s="2"/>
      <c r="VW38" s="2"/>
      <c r="VX38" s="2">
        <v>1</v>
      </c>
      <c r="VY38" s="2">
        <v>1</v>
      </c>
      <c r="VZ38" s="2">
        <v>77</v>
      </c>
      <c r="WA38" s="2"/>
      <c r="WB38" s="2"/>
      <c r="WC38" s="2">
        <v>77</v>
      </c>
      <c r="WD38" s="2"/>
      <c r="WE38" s="2">
        <v>77</v>
      </c>
      <c r="WF38" s="2"/>
      <c r="WG38" s="2"/>
      <c r="WH38" s="2"/>
      <c r="WI38" s="2"/>
      <c r="WJ38" s="2"/>
      <c r="WK38" s="2">
        <v>1</v>
      </c>
      <c r="WL38" s="2">
        <v>1</v>
      </c>
      <c r="WM38" s="2"/>
      <c r="WN38" s="2">
        <v>77</v>
      </c>
      <c r="WO38" s="2"/>
      <c r="WP38" s="2"/>
      <c r="WQ38" s="2"/>
      <c r="WR38" s="2"/>
      <c r="WS38" s="2">
        <v>1</v>
      </c>
      <c r="WT38" s="2"/>
      <c r="WU38" s="2"/>
      <c r="WV38" s="2">
        <v>154</v>
      </c>
      <c r="WW38" s="2"/>
      <c r="WX38" s="2"/>
      <c r="WY38" s="2">
        <v>1</v>
      </c>
      <c r="WZ38" s="2"/>
      <c r="XA38" s="2"/>
      <c r="XB38" s="2"/>
      <c r="XC38" s="2"/>
      <c r="XD38" s="2">
        <v>154</v>
      </c>
      <c r="XE38" s="2"/>
      <c r="XF38" s="2"/>
      <c r="XG38" s="2"/>
      <c r="XH38" s="2"/>
      <c r="XI38" s="2"/>
      <c r="XJ38" s="2"/>
      <c r="XK38" s="2"/>
      <c r="XL38" s="2"/>
      <c r="XM38" s="2">
        <f>77+231</f>
        <v>308</v>
      </c>
      <c r="XN38" s="2"/>
      <c r="XO38" s="2"/>
      <c r="XP38" s="2"/>
      <c r="XQ38" s="2">
        <f>1+231</f>
        <v>232</v>
      </c>
      <c r="XR38" s="2"/>
      <c r="XS38" s="2">
        <f>77+154</f>
        <v>231</v>
      </c>
      <c r="XT38" s="2"/>
      <c r="XU38" s="2">
        <v>1</v>
      </c>
      <c r="XV38" s="2"/>
      <c r="XW38" s="2">
        <v>1</v>
      </c>
      <c r="XX38" s="2"/>
      <c r="XY38" s="2"/>
      <c r="XZ38" s="2"/>
      <c r="YA38" s="2"/>
      <c r="YB38" s="2"/>
      <c r="YC38" s="2"/>
      <c r="YD38" s="2"/>
      <c r="YE38" s="2">
        <v>1</v>
      </c>
      <c r="YF38" s="2"/>
      <c r="YG38" s="2"/>
      <c r="YH38" s="2"/>
      <c r="YI38" s="2">
        <v>1</v>
      </c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>
        <v>77</v>
      </c>
      <c r="ZB38" s="2"/>
      <c r="ZC38" s="2">
        <v>1</v>
      </c>
      <c r="ZD38" s="2"/>
      <c r="ZE38" s="2"/>
      <c r="ZF38" s="2"/>
      <c r="ZG38" s="2"/>
      <c r="ZH38" s="2">
        <v>1</v>
      </c>
      <c r="ZI38" s="2">
        <v>3</v>
      </c>
      <c r="ZJ38" s="2"/>
      <c r="ZK38" s="2"/>
      <c r="ZL38" s="2">
        <v>1</v>
      </c>
      <c r="ZM38" s="2"/>
      <c r="ZN38" s="2"/>
      <c r="ZO38" s="2"/>
      <c r="ZP38" s="2"/>
      <c r="ZQ38" s="2"/>
      <c r="ZR38" s="2"/>
      <c r="ZS38" s="2">
        <f>1+77</f>
        <v>78</v>
      </c>
      <c r="ZT38" s="2"/>
      <c r="ZU38" s="2">
        <v>77</v>
      </c>
      <c r="ZV38" s="2"/>
      <c r="ZW38" s="2"/>
      <c r="ZX38" s="2">
        <v>1</v>
      </c>
      <c r="ZY38" s="2"/>
      <c r="ZZ38" s="2">
        <v>77</v>
      </c>
      <c r="AAA38" s="2">
        <v>77</v>
      </c>
      <c r="AAB38" s="2"/>
      <c r="AAC38" s="2"/>
      <c r="AAD38" s="2"/>
      <c r="AAE38" s="2"/>
      <c r="AAF38" s="2"/>
      <c r="AAG38" s="2"/>
      <c r="AAH38" s="2"/>
      <c r="AAI38" s="2">
        <v>5</v>
      </c>
      <c r="AAJ38" s="2"/>
      <c r="AAK38" s="2"/>
      <c r="AAL38" s="2">
        <v>1</v>
      </c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>
        <v>77</v>
      </c>
      <c r="ABB38" s="2"/>
      <c r="ABC38" s="2"/>
      <c r="ABD38" s="2"/>
      <c r="ABE38" s="2"/>
      <c r="ABF38" s="2"/>
      <c r="ABG38" s="2"/>
      <c r="ABH38" s="2">
        <v>20</v>
      </c>
      <c r="ABI38" s="2"/>
      <c r="ABJ38" s="2"/>
      <c r="ABK38" s="2">
        <v>1</v>
      </c>
      <c r="ABL38" s="2"/>
      <c r="ABM38" s="2"/>
      <c r="ABN38" s="2"/>
      <c r="ABO38" s="2">
        <v>77</v>
      </c>
      <c r="ABP38" s="2"/>
      <c r="ABQ38" s="2"/>
      <c r="ABR38" s="2"/>
      <c r="ABS38" s="2"/>
      <c r="ABT38" s="2">
        <v>77</v>
      </c>
      <c r="ABU38" s="2"/>
      <c r="ABV38" s="2">
        <v>77</v>
      </c>
      <c r="ABW38" s="2"/>
      <c r="ABX38" s="2"/>
      <c r="ABY38" s="2"/>
      <c r="ABZ38" s="2"/>
      <c r="ACA38" s="2"/>
      <c r="ACB38" s="2">
        <v>77</v>
      </c>
      <c r="ACC38" s="2">
        <v>1</v>
      </c>
      <c r="ACD38" s="2"/>
      <c r="ACE38" s="2">
        <v>77</v>
      </c>
      <c r="ACF38" s="2"/>
      <c r="ACG38" s="2"/>
      <c r="ACH38" s="2"/>
      <c r="ACI38" s="2"/>
      <c r="ACJ38" s="2">
        <f>1+77</f>
        <v>78</v>
      </c>
      <c r="ACK38" s="2">
        <v>77</v>
      </c>
      <c r="ACL38" s="2"/>
      <c r="ACM38" s="2"/>
      <c r="ACN38" s="2"/>
      <c r="ACO38" s="2"/>
      <c r="ACP38" s="2"/>
      <c r="ACQ38" s="2"/>
      <c r="ACR38" s="2"/>
      <c r="ACS38" s="2"/>
      <c r="ACT38" s="2"/>
      <c r="ACU38" s="2">
        <v>77</v>
      </c>
      <c r="ACV38" s="2"/>
      <c r="ACW38" s="2"/>
      <c r="ACX38" s="2">
        <v>77</v>
      </c>
      <c r="ACY38" s="2"/>
      <c r="ACZ38" s="2">
        <v>77</v>
      </c>
      <c r="ADA38" s="2"/>
      <c r="ADB38" s="2"/>
      <c r="ADC38" s="2">
        <v>2</v>
      </c>
      <c r="ADD38" s="2"/>
      <c r="ADE38" s="2"/>
      <c r="ADF38" s="2"/>
      <c r="ADG38" s="2"/>
      <c r="ADH38" s="2"/>
      <c r="ADI38" s="2"/>
      <c r="ADJ38" s="2"/>
      <c r="ADK38" s="2">
        <v>77</v>
      </c>
      <c r="ADL38" s="2"/>
      <c r="ADM38" s="2">
        <v>1</v>
      </c>
      <c r="ADN38" s="2"/>
      <c r="ADO38" s="2">
        <v>77</v>
      </c>
      <c r="ADP38" s="2">
        <v>1</v>
      </c>
      <c r="ADQ38" s="2"/>
      <c r="ADR38" s="2">
        <v>1</v>
      </c>
      <c r="ADS38" s="2"/>
      <c r="ADT38" s="2"/>
      <c r="ADU38" s="2"/>
      <c r="ADV38" s="2">
        <v>1</v>
      </c>
      <c r="ADW38" s="2">
        <v>77</v>
      </c>
      <c r="ADX38" s="2"/>
      <c r="ADY38" s="2"/>
      <c r="ADZ38" s="2"/>
      <c r="AEA38" s="2"/>
      <c r="AEB38" s="2"/>
      <c r="AEC38" s="2"/>
      <c r="AED38" s="2"/>
      <c r="AEE38" s="2">
        <v>1</v>
      </c>
      <c r="AEF38" s="2">
        <v>2</v>
      </c>
      <c r="AEG38" s="2">
        <v>77</v>
      </c>
      <c r="AEH38" s="2"/>
      <c r="AEI38" s="2">
        <f>77+77</f>
        <v>154</v>
      </c>
      <c r="AEJ38" s="2">
        <v>77</v>
      </c>
      <c r="AEK38" s="2">
        <v>77</v>
      </c>
      <c r="AEL38" s="2"/>
      <c r="AEM38" s="2">
        <v>77</v>
      </c>
      <c r="AEN38" s="2"/>
      <c r="AEO38" s="2"/>
      <c r="AEP38" s="2"/>
      <c r="AEQ38" s="2"/>
      <c r="AER38" s="2"/>
      <c r="AES38" s="2"/>
      <c r="AET38" s="12">
        <v>1</v>
      </c>
      <c r="AEU38" s="2"/>
      <c r="AEV38" s="2">
        <v>77</v>
      </c>
      <c r="AEW38" s="2">
        <f>77+2</f>
        <v>79</v>
      </c>
      <c r="AEX38" s="2"/>
      <c r="AEY38" s="2">
        <v>1</v>
      </c>
      <c r="AEZ38" s="2">
        <v>1</v>
      </c>
      <c r="AFA38" s="2">
        <f>77+77+77</f>
        <v>231</v>
      </c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>
        <f t="shared" si="0"/>
        <v>6625</v>
      </c>
    </row>
    <row r="39" spans="1:844" s="11" customFormat="1" x14ac:dyDescent="0.3">
      <c r="B39" s="91">
        <v>550049041</v>
      </c>
      <c r="C39" s="20" t="s">
        <v>103</v>
      </c>
      <c r="D39" s="35" t="s">
        <v>1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>
        <v>1</v>
      </c>
      <c r="P39" s="2"/>
      <c r="Q39" s="2"/>
      <c r="R39" s="2"/>
      <c r="S39" s="2"/>
      <c r="T39" s="2"/>
      <c r="U39" s="2"/>
      <c r="V39" s="2"/>
      <c r="W39" s="2">
        <f>80+80</f>
        <v>160</v>
      </c>
      <c r="X39" s="2">
        <v>80</v>
      </c>
      <c r="Y39" s="2">
        <v>80</v>
      </c>
      <c r="Z39" s="2">
        <v>160</v>
      </c>
      <c r="AA39" s="2">
        <v>160</v>
      </c>
      <c r="AB39" s="2">
        <f>160+80</f>
        <v>240</v>
      </c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>
        <v>41</v>
      </c>
      <c r="AP39" s="2"/>
      <c r="AQ39" s="2"/>
      <c r="AR39" s="2">
        <v>1</v>
      </c>
      <c r="AS39" s="2"/>
      <c r="AT39" s="2"/>
      <c r="AU39" s="2">
        <f>80+80+80+80</f>
        <v>320</v>
      </c>
      <c r="AV39" s="2">
        <v>80</v>
      </c>
      <c r="AW39" s="2"/>
      <c r="AX39" s="2"/>
      <c r="AY39" s="2">
        <v>80</v>
      </c>
      <c r="AZ39" s="2"/>
      <c r="BA39" s="2"/>
      <c r="BB39" s="2"/>
      <c r="BC39" s="2">
        <v>80</v>
      </c>
      <c r="BD39" s="2"/>
      <c r="BE39" s="2">
        <v>80</v>
      </c>
      <c r="BF39" s="2"/>
      <c r="BG39" s="2"/>
      <c r="BH39" s="2"/>
      <c r="BI39" s="2"/>
      <c r="BJ39" s="2"/>
      <c r="BK39" s="2"/>
      <c r="BL39" s="2">
        <v>2</v>
      </c>
      <c r="BM39" s="2">
        <v>1</v>
      </c>
      <c r="BN39" s="2"/>
      <c r="BO39" s="2"/>
      <c r="BP39" s="2"/>
      <c r="BQ39" s="2"/>
      <c r="BR39" s="2"/>
      <c r="BS39" s="2"/>
      <c r="BT39" s="2"/>
      <c r="BU39" s="2"/>
      <c r="BV39" s="2">
        <v>1</v>
      </c>
      <c r="BW39" s="2"/>
      <c r="BX39" s="2">
        <v>80</v>
      </c>
      <c r="BY39" s="2">
        <v>10</v>
      </c>
      <c r="BZ39" s="2"/>
      <c r="CA39" s="2">
        <v>80</v>
      </c>
      <c r="CB39" s="2"/>
      <c r="CC39" s="2"/>
      <c r="CD39" s="2"/>
      <c r="CE39" s="2"/>
      <c r="CF39" s="2">
        <v>80</v>
      </c>
      <c r="CG39" s="2"/>
      <c r="CH39" s="2">
        <v>80</v>
      </c>
      <c r="CI39" s="2">
        <f>80+80</f>
        <v>160</v>
      </c>
      <c r="CJ39" s="2"/>
      <c r="CK39" s="2">
        <v>80</v>
      </c>
      <c r="CL39" s="2"/>
      <c r="CM39" s="2">
        <v>80</v>
      </c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>
        <v>1</v>
      </c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>
        <v>1</v>
      </c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>
        <v>80</v>
      </c>
      <c r="FR39" s="2"/>
      <c r="FS39" s="2"/>
      <c r="FT39" s="2">
        <v>80</v>
      </c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>
        <v>80</v>
      </c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>
        <v>80</v>
      </c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>
        <v>80</v>
      </c>
      <c r="IE39" s="2"/>
      <c r="IF39" s="2"/>
      <c r="IG39" s="2"/>
      <c r="IH39" s="2"/>
      <c r="II39" s="2">
        <v>80</v>
      </c>
      <c r="IJ39" s="2"/>
      <c r="IK39" s="2">
        <v>80</v>
      </c>
      <c r="IL39" s="2"/>
      <c r="IM39" s="2"/>
      <c r="IN39" s="2">
        <v>80</v>
      </c>
      <c r="IO39" s="2">
        <v>160</v>
      </c>
      <c r="IP39" s="2"/>
      <c r="IQ39" s="2"/>
      <c r="IR39" s="2"/>
      <c r="IS39" s="2"/>
      <c r="IT39" s="2"/>
      <c r="IU39" s="2"/>
      <c r="IV39" s="2">
        <v>10</v>
      </c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>
        <v>80</v>
      </c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>
        <v>40</v>
      </c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>
        <v>80</v>
      </c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>
        <v>80</v>
      </c>
      <c r="MA39" s="2"/>
      <c r="MB39" s="2"/>
      <c r="MC39" s="2"/>
      <c r="MD39" s="2"/>
      <c r="ME39" s="2">
        <f>80+80</f>
        <v>160</v>
      </c>
      <c r="MF39" s="2"/>
      <c r="MG39" s="2">
        <v>80</v>
      </c>
      <c r="MH39" s="2"/>
      <c r="MI39" s="2">
        <v>80</v>
      </c>
      <c r="MJ39" s="2"/>
      <c r="MK39" s="2"/>
      <c r="ML39" s="2"/>
      <c r="MM39" s="2"/>
      <c r="MN39" s="2">
        <v>21</v>
      </c>
      <c r="MO39" s="2"/>
      <c r="MP39" s="2"/>
      <c r="MQ39" s="2"/>
      <c r="MR39" s="2"/>
      <c r="MS39" s="2">
        <v>1</v>
      </c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>
        <v>80</v>
      </c>
      <c r="NQ39" s="2"/>
      <c r="NR39" s="2"/>
      <c r="NS39" s="2"/>
      <c r="NT39" s="2"/>
      <c r="NU39" s="2"/>
      <c r="NV39" s="2"/>
      <c r="NW39" s="2"/>
      <c r="NX39" s="2"/>
      <c r="NY39" s="2"/>
      <c r="NZ39" s="2">
        <v>12</v>
      </c>
      <c r="OA39" s="2"/>
      <c r="OB39" s="2"/>
      <c r="OC39" s="2"/>
      <c r="OD39" s="2">
        <v>99</v>
      </c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>
        <f>80+80+80</f>
        <v>240</v>
      </c>
      <c r="OR39" s="2"/>
      <c r="OS39" s="2">
        <v>80</v>
      </c>
      <c r="OT39" s="2">
        <v>3</v>
      </c>
      <c r="OU39" s="2"/>
      <c r="OV39" s="2"/>
      <c r="OW39" s="2"/>
      <c r="OX39" s="2"/>
      <c r="OY39" s="2"/>
      <c r="OZ39" s="2"/>
      <c r="PA39" s="2"/>
      <c r="PB39" s="2">
        <v>6</v>
      </c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>
        <v>160</v>
      </c>
      <c r="PZ39" s="2">
        <v>80</v>
      </c>
      <c r="QA39" s="2">
        <f>240</f>
        <v>240</v>
      </c>
      <c r="QB39" s="2"/>
      <c r="QC39" s="2">
        <f>80+80</f>
        <v>160</v>
      </c>
      <c r="QD39" s="2"/>
      <c r="QE39" s="2"/>
      <c r="QF39" s="2"/>
      <c r="QG39" s="2"/>
      <c r="QH39" s="2"/>
      <c r="QI39" s="2">
        <f>26</f>
        <v>26</v>
      </c>
      <c r="QJ39" s="2"/>
      <c r="QK39" s="2">
        <f>80</f>
        <v>80</v>
      </c>
      <c r="QL39" s="2">
        <f>80</f>
        <v>80</v>
      </c>
      <c r="QM39" s="2"/>
      <c r="QN39" s="2"/>
      <c r="QO39" s="2"/>
      <c r="QP39" s="2"/>
      <c r="QQ39" s="2">
        <f>1</f>
        <v>1</v>
      </c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>
        <v>1</v>
      </c>
      <c r="RG39" s="2"/>
      <c r="RH39" s="2"/>
      <c r="RI39" s="2"/>
      <c r="RJ39" s="2"/>
      <c r="RK39" s="2">
        <f>2</f>
        <v>2</v>
      </c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>
        <f>80</f>
        <v>80</v>
      </c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>
        <f>2</f>
        <v>2</v>
      </c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>
        <v>80</v>
      </c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>
        <v>80</v>
      </c>
      <c r="TX39" s="2"/>
      <c r="TY39" s="2"/>
      <c r="TZ39" s="2"/>
      <c r="UA39" s="2"/>
      <c r="UB39" s="2"/>
      <c r="UC39" s="2">
        <f>80+80</f>
        <v>160</v>
      </c>
      <c r="UD39" s="2"/>
      <c r="UE39" s="2"/>
      <c r="UF39" s="2"/>
      <c r="UG39" s="2"/>
      <c r="UH39" s="2"/>
      <c r="UI39" s="2"/>
      <c r="UJ39" s="2"/>
      <c r="UK39" s="2">
        <v>80</v>
      </c>
      <c r="UL39" s="2"/>
      <c r="UM39" s="2"/>
      <c r="UN39" s="2"/>
      <c r="UO39" s="2"/>
      <c r="UP39" s="2">
        <v>1</v>
      </c>
      <c r="UQ39" s="2"/>
      <c r="UR39" s="2"/>
      <c r="US39" s="2"/>
      <c r="UT39" s="2"/>
      <c r="UU39" s="2"/>
      <c r="UV39" s="2"/>
      <c r="UW39" s="2"/>
      <c r="UX39" s="2"/>
      <c r="UY39" s="2">
        <v>80</v>
      </c>
      <c r="UZ39" s="2"/>
      <c r="VA39" s="2"/>
      <c r="VB39" s="2"/>
      <c r="VC39" s="2"/>
      <c r="VD39" s="2"/>
      <c r="VE39" s="2"/>
      <c r="VF39" s="2"/>
      <c r="VG39" s="2"/>
      <c r="VH39" s="2">
        <v>80</v>
      </c>
      <c r="VI39" s="2"/>
      <c r="VJ39" s="2"/>
      <c r="VK39" s="2">
        <v>68</v>
      </c>
      <c r="VL39" s="2"/>
      <c r="VM39" s="2"/>
      <c r="VN39" s="2"/>
      <c r="VO39" s="2"/>
      <c r="VP39" s="2"/>
      <c r="VQ39" s="2"/>
      <c r="VR39" s="2"/>
      <c r="VS39" s="2"/>
      <c r="VT39" s="2"/>
      <c r="VU39" s="2">
        <v>80</v>
      </c>
      <c r="VV39" s="2"/>
      <c r="VW39" s="2"/>
      <c r="VX39" s="2">
        <v>1</v>
      </c>
      <c r="VY39" s="2">
        <v>2</v>
      </c>
      <c r="VZ39" s="2"/>
      <c r="WA39" s="2"/>
      <c r="WB39" s="2">
        <v>80</v>
      </c>
      <c r="WC39" s="2"/>
      <c r="WD39" s="2">
        <v>80</v>
      </c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>
        <v>1</v>
      </c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>
        <v>1</v>
      </c>
      <c r="XK39" s="2"/>
      <c r="XL39" s="2"/>
      <c r="XM39" s="2">
        <f>80+80</f>
        <v>160</v>
      </c>
      <c r="XN39" s="2"/>
      <c r="XO39" s="2"/>
      <c r="XP39" s="2"/>
      <c r="XQ39" s="2">
        <v>3</v>
      </c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>
        <v>2</v>
      </c>
      <c r="ZA39" s="2"/>
      <c r="ZB39" s="2"/>
      <c r="ZC39" s="2">
        <v>3</v>
      </c>
      <c r="ZD39" s="2"/>
      <c r="ZE39" s="2"/>
      <c r="ZF39" s="2"/>
      <c r="ZG39" s="2"/>
      <c r="ZH39" s="2">
        <v>1</v>
      </c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>
        <v>2</v>
      </c>
      <c r="ZT39" s="2"/>
      <c r="ZU39" s="2"/>
      <c r="ZV39" s="2"/>
      <c r="ZW39" s="2"/>
      <c r="ZX39" s="2">
        <v>2</v>
      </c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>
        <v>1</v>
      </c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>
        <v>3</v>
      </c>
      <c r="AAV39" s="2"/>
      <c r="AAW39" s="2"/>
      <c r="AAX39" s="2"/>
      <c r="AAY39" s="2"/>
      <c r="AAZ39" s="2"/>
      <c r="ABA39" s="2"/>
      <c r="ABB39" s="2"/>
      <c r="ABC39" s="2"/>
      <c r="ABD39" s="2"/>
      <c r="ABE39" s="2">
        <v>1</v>
      </c>
      <c r="ABF39" s="2"/>
      <c r="ABG39" s="2"/>
      <c r="ABH39" s="2">
        <v>8</v>
      </c>
      <c r="ABI39" s="2"/>
      <c r="ABJ39" s="2"/>
      <c r="ABK39" s="2"/>
      <c r="ABL39" s="2"/>
      <c r="ABM39" s="2"/>
      <c r="ABN39" s="2">
        <v>1</v>
      </c>
      <c r="ABO39" s="2"/>
      <c r="ABP39" s="2"/>
      <c r="ABQ39" s="2">
        <v>80</v>
      </c>
      <c r="ABR39" s="2"/>
      <c r="ABS39" s="2"/>
      <c r="ABT39" s="2">
        <v>80</v>
      </c>
      <c r="ABU39" s="2">
        <v>1</v>
      </c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>
        <v>2</v>
      </c>
      <c r="ACJ39" s="2"/>
      <c r="ACK39" s="2"/>
      <c r="ACL39" s="2"/>
      <c r="ACM39" s="2"/>
      <c r="ACN39" s="2">
        <v>1</v>
      </c>
      <c r="ACO39" s="2"/>
      <c r="ACP39" s="2"/>
      <c r="ACQ39" s="2"/>
      <c r="ACR39" s="2"/>
      <c r="ACS39" s="2"/>
      <c r="ACT39" s="2">
        <v>4</v>
      </c>
      <c r="ACU39" s="2"/>
      <c r="ACV39" s="2"/>
      <c r="ACW39" s="2">
        <v>1</v>
      </c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>
        <v>1</v>
      </c>
      <c r="ADQ39" s="2"/>
      <c r="ADR39" s="2"/>
      <c r="ADS39" s="2">
        <v>80</v>
      </c>
      <c r="ADT39" s="2"/>
      <c r="ADU39" s="2"/>
      <c r="ADV39" s="2">
        <v>2</v>
      </c>
      <c r="ADW39" s="2">
        <v>80</v>
      </c>
      <c r="ADX39" s="2"/>
      <c r="ADY39" s="2"/>
      <c r="ADZ39" s="2"/>
      <c r="AEA39" s="2"/>
      <c r="AEB39" s="2">
        <v>18</v>
      </c>
      <c r="AEC39" s="2"/>
      <c r="AED39" s="2"/>
      <c r="AEE39" s="2"/>
      <c r="AEF39" s="2"/>
      <c r="AEG39" s="2"/>
      <c r="AEH39" s="2"/>
      <c r="AEI39" s="2"/>
      <c r="AEJ39" s="2">
        <v>80</v>
      </c>
      <c r="AEK39" s="2">
        <v>80</v>
      </c>
      <c r="AEL39" s="2"/>
      <c r="AEM39" s="2"/>
      <c r="AEN39" s="2"/>
      <c r="AEO39" s="2">
        <v>2</v>
      </c>
      <c r="AEP39" s="2">
        <v>80</v>
      </c>
      <c r="AEQ39" s="2"/>
      <c r="AER39" s="2"/>
      <c r="AES39" s="2"/>
      <c r="AET39" s="2"/>
      <c r="AEU39" s="2"/>
      <c r="AEV39" s="2">
        <v>80</v>
      </c>
      <c r="AEW39" s="2">
        <v>4</v>
      </c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>
        <f t="shared" si="0"/>
        <v>6820</v>
      </c>
    </row>
    <row r="40" spans="1:844" x14ac:dyDescent="0.3">
      <c r="B40" s="91">
        <v>550050102</v>
      </c>
      <c r="C40" s="53" t="s">
        <v>105</v>
      </c>
      <c r="D40" s="35" t="s">
        <v>2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>
        <f>175+175</f>
        <v>350</v>
      </c>
      <c r="PF40" s="2">
        <f>175+175+175+175+175</f>
        <v>875</v>
      </c>
      <c r="PG40" s="2">
        <v>175</v>
      </c>
      <c r="PH40" s="2"/>
      <c r="PI40" s="2"/>
      <c r="PJ40" s="2"/>
      <c r="PK40" s="2"/>
      <c r="PL40" s="2"/>
      <c r="PM40" s="2"/>
      <c r="PN40" s="2">
        <f>175</f>
        <v>175</v>
      </c>
      <c r="PO40" s="2"/>
      <c r="PP40" s="2"/>
      <c r="PQ40" s="2"/>
      <c r="PR40" s="2"/>
      <c r="PS40" s="2"/>
      <c r="PT40" s="2"/>
      <c r="PU40" s="2"/>
      <c r="PV40" s="2">
        <v>137</v>
      </c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>
        <f>175</f>
        <v>175</v>
      </c>
      <c r="QX40" s="2"/>
      <c r="QY40" s="2">
        <f>175</f>
        <v>175</v>
      </c>
      <c r="QZ40" s="2">
        <f>350</f>
        <v>350</v>
      </c>
      <c r="RA40" s="2"/>
      <c r="RB40" s="2">
        <f>175</f>
        <v>175</v>
      </c>
      <c r="RC40" s="2"/>
      <c r="RD40" s="2"/>
      <c r="RE40" s="2">
        <f>175+175</f>
        <v>350</v>
      </c>
      <c r="RF40" s="2"/>
      <c r="RG40" s="2"/>
      <c r="RH40" s="2">
        <f>175</f>
        <v>175</v>
      </c>
      <c r="RI40" s="2"/>
      <c r="RJ40" s="2">
        <f>175</f>
        <v>175</v>
      </c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>
        <f>175</f>
        <v>175</v>
      </c>
      <c r="SD40" s="2"/>
      <c r="SE40" s="2"/>
      <c r="SF40" s="2"/>
      <c r="SG40" s="2"/>
      <c r="SH40" s="2"/>
      <c r="SI40" s="2">
        <f>175+175</f>
        <v>350</v>
      </c>
      <c r="SJ40" s="2"/>
      <c r="SK40" s="2"/>
      <c r="SL40" s="2"/>
      <c r="SM40" s="2"/>
      <c r="SN40" s="2"/>
      <c r="SO40" s="2">
        <f>175</f>
        <v>175</v>
      </c>
      <c r="SP40" s="2">
        <f>350+350</f>
        <v>700</v>
      </c>
      <c r="SQ40" s="2"/>
      <c r="SR40" s="2"/>
      <c r="SS40" s="2"/>
      <c r="ST40" s="2"/>
      <c r="SU40" s="2"/>
      <c r="SV40" s="2">
        <f>175</f>
        <v>175</v>
      </c>
      <c r="SW40" s="2">
        <f>175+175</f>
        <v>350</v>
      </c>
      <c r="SX40" s="2"/>
      <c r="SY40" s="2">
        <f>175</f>
        <v>175</v>
      </c>
      <c r="SZ40" s="2"/>
      <c r="TA40" s="2"/>
      <c r="TB40" s="2"/>
      <c r="TC40" s="2"/>
      <c r="TD40" s="2"/>
      <c r="TE40" s="2"/>
      <c r="TF40" s="2"/>
      <c r="TG40" s="2">
        <v>175</v>
      </c>
      <c r="TH40" s="2"/>
      <c r="TI40" s="2"/>
      <c r="TJ40" s="2"/>
      <c r="TK40" s="2"/>
      <c r="TL40" s="2"/>
      <c r="TM40" s="2"/>
      <c r="TN40" s="2"/>
      <c r="TO40" s="2">
        <v>175</v>
      </c>
      <c r="TP40" s="2">
        <v>175</v>
      </c>
      <c r="TQ40" s="2">
        <f>175+175</f>
        <v>350</v>
      </c>
      <c r="TR40" s="2"/>
      <c r="TS40" s="2"/>
      <c r="TT40" s="2"/>
      <c r="TU40" s="2"/>
      <c r="TV40" s="2">
        <v>175</v>
      </c>
      <c r="TW40" s="2"/>
      <c r="TX40" s="2">
        <v>175</v>
      </c>
      <c r="TY40" s="2"/>
      <c r="TZ40" s="2">
        <v>1</v>
      </c>
      <c r="UA40" s="2"/>
      <c r="UB40" s="2">
        <v>156</v>
      </c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>
        <v>56</v>
      </c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>
        <v>350</v>
      </c>
      <c r="WJ40" s="2"/>
      <c r="WK40" s="2"/>
      <c r="WL40" s="2"/>
      <c r="WM40" s="2"/>
      <c r="WN40" s="2">
        <f>175+525</f>
        <v>700</v>
      </c>
      <c r="WO40" s="2">
        <v>350</v>
      </c>
      <c r="WP40" s="2">
        <v>350</v>
      </c>
      <c r="WQ40" s="2"/>
      <c r="WR40" s="2"/>
      <c r="WS40" s="2"/>
      <c r="WT40" s="2">
        <v>350</v>
      </c>
      <c r="WU40" s="2"/>
      <c r="WV40" s="2">
        <v>175</v>
      </c>
      <c r="WW40" s="2">
        <v>350</v>
      </c>
      <c r="WX40" s="2">
        <v>175</v>
      </c>
      <c r="WY40" s="2">
        <v>350</v>
      </c>
      <c r="WZ40" s="2"/>
      <c r="XA40" s="2"/>
      <c r="XB40" s="2"/>
      <c r="XC40" s="2"/>
      <c r="XD40" s="2">
        <v>350</v>
      </c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>
        <v>6</v>
      </c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>
        <v>350</v>
      </c>
      <c r="YU40" s="2"/>
      <c r="YV40" s="2">
        <v>175</v>
      </c>
      <c r="YW40" s="2">
        <v>175</v>
      </c>
      <c r="YX40" s="2"/>
      <c r="YY40" s="2">
        <v>175</v>
      </c>
      <c r="YZ40" s="2">
        <v>175</v>
      </c>
      <c r="ZA40" s="2">
        <f>175+175</f>
        <v>350</v>
      </c>
      <c r="ZB40" s="2"/>
      <c r="ZC40" s="2"/>
      <c r="ZD40" s="2"/>
      <c r="ZE40" s="2"/>
      <c r="ZF40" s="2"/>
      <c r="ZG40" s="2"/>
      <c r="ZH40" s="2">
        <v>175</v>
      </c>
      <c r="ZI40" s="2">
        <v>1</v>
      </c>
      <c r="ZJ40" s="2">
        <v>175</v>
      </c>
      <c r="ZK40" s="2"/>
      <c r="ZL40" s="2"/>
      <c r="ZM40" s="2">
        <v>350</v>
      </c>
      <c r="ZN40" s="2"/>
      <c r="ZO40" s="2"/>
      <c r="ZP40" s="2"/>
      <c r="ZQ40" s="2"/>
      <c r="ZR40" s="2"/>
      <c r="ZS40" s="2"/>
      <c r="ZT40" s="2"/>
      <c r="ZU40" s="2">
        <v>175</v>
      </c>
      <c r="ZV40" s="2"/>
      <c r="ZW40" s="2"/>
      <c r="ZX40" s="2"/>
      <c r="ZY40" s="2"/>
      <c r="ZZ40" s="2">
        <v>175</v>
      </c>
      <c r="AAA40" s="2">
        <v>175</v>
      </c>
      <c r="AAB40" s="2">
        <v>175</v>
      </c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>
        <v>350</v>
      </c>
      <c r="AAQ40" s="2"/>
      <c r="AAR40" s="2"/>
      <c r="AAS40" s="2"/>
      <c r="AAT40" s="2"/>
      <c r="AAU40" s="2"/>
      <c r="AAV40" s="2"/>
      <c r="AAW40" s="2"/>
      <c r="AAX40" s="2"/>
      <c r="AAY40" s="2">
        <v>175</v>
      </c>
      <c r="AAZ40" s="2"/>
      <c r="ABA40" s="2"/>
      <c r="ABB40" s="2"/>
      <c r="ABC40" s="2"/>
      <c r="ABD40" s="2"/>
      <c r="ABE40" s="2"/>
      <c r="ABF40" s="2"/>
      <c r="ABG40" s="2">
        <v>1</v>
      </c>
      <c r="ABH40" s="2">
        <v>6</v>
      </c>
      <c r="ABI40" s="2">
        <v>350</v>
      </c>
      <c r="ABJ40" s="2">
        <f>175+175</f>
        <v>350</v>
      </c>
      <c r="ABK40" s="2"/>
      <c r="ABL40" s="2">
        <v>175</v>
      </c>
      <c r="ABM40" s="2"/>
      <c r="ABN40" s="2"/>
      <c r="ABO40" s="2">
        <v>175</v>
      </c>
      <c r="ABP40" s="2">
        <v>175</v>
      </c>
      <c r="ABQ40" s="2">
        <v>175</v>
      </c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>
        <v>175</v>
      </c>
      <c r="ACD40" s="2"/>
      <c r="ACE40" s="2">
        <v>175</v>
      </c>
      <c r="ACF40" s="2">
        <v>175</v>
      </c>
      <c r="ACG40" s="2"/>
      <c r="ACH40" s="2"/>
      <c r="ACI40" s="2"/>
      <c r="ACJ40" s="2">
        <f>175+175</f>
        <v>350</v>
      </c>
      <c r="ACK40" s="2"/>
      <c r="ACL40" s="2"/>
      <c r="ACM40" s="2"/>
      <c r="ACN40" s="2"/>
      <c r="ACO40" s="2">
        <v>15</v>
      </c>
      <c r="ACP40" s="2"/>
      <c r="ACQ40" s="2"/>
      <c r="ACR40" s="2">
        <v>2</v>
      </c>
      <c r="ACS40" s="2"/>
      <c r="ACT40" s="2"/>
      <c r="ACU40" s="2">
        <v>175</v>
      </c>
      <c r="ACV40" s="2"/>
      <c r="ACW40" s="2"/>
      <c r="ACX40" s="2"/>
      <c r="ACY40" s="2"/>
      <c r="ACZ40" s="2">
        <v>350</v>
      </c>
      <c r="ADA40" s="2"/>
      <c r="ADB40" s="2"/>
      <c r="ADC40" s="2"/>
      <c r="ADD40" s="2">
        <v>175</v>
      </c>
      <c r="ADE40" s="2">
        <v>350</v>
      </c>
      <c r="ADF40" s="2">
        <v>175</v>
      </c>
      <c r="ADG40" s="2"/>
      <c r="ADH40" s="2"/>
      <c r="ADI40" s="2"/>
      <c r="ADJ40" s="2"/>
      <c r="ADK40" s="2">
        <f>175+175</f>
        <v>350</v>
      </c>
      <c r="ADL40" s="2"/>
      <c r="ADM40" s="2"/>
      <c r="ADN40" s="2"/>
      <c r="ADO40" s="2">
        <v>175</v>
      </c>
      <c r="ADP40" s="2"/>
      <c r="ADQ40" s="2"/>
      <c r="ADR40" s="2"/>
      <c r="ADS40" s="2"/>
      <c r="ADT40" s="2"/>
      <c r="ADU40" s="2"/>
      <c r="ADV40" s="2"/>
      <c r="ADW40" s="2">
        <v>175</v>
      </c>
      <c r="ADX40" s="2"/>
      <c r="ADY40" s="2"/>
      <c r="ADZ40" s="2"/>
      <c r="AEA40" s="2"/>
      <c r="AEB40" s="2"/>
      <c r="AEC40" s="2"/>
      <c r="AED40" s="2">
        <v>1</v>
      </c>
      <c r="AEE40" s="2"/>
      <c r="AEF40" s="2">
        <v>175</v>
      </c>
      <c r="AEG40" s="2">
        <v>175</v>
      </c>
      <c r="AEH40" s="2">
        <f>1+350</f>
        <v>351</v>
      </c>
      <c r="AEI40" s="2"/>
      <c r="AEJ40" s="2">
        <v>350</v>
      </c>
      <c r="AEK40" s="2"/>
      <c r="AEL40" s="2"/>
      <c r="AEM40" s="2">
        <v>175</v>
      </c>
      <c r="AEN40" s="2"/>
      <c r="AEO40" s="2"/>
      <c r="AEP40" s="2"/>
      <c r="AEQ40" s="2">
        <f>175+175</f>
        <v>350</v>
      </c>
      <c r="AER40" s="2"/>
      <c r="AES40" s="2">
        <v>175</v>
      </c>
      <c r="AET40" s="2"/>
      <c r="AEU40" s="2"/>
      <c r="AEV40" s="2"/>
      <c r="AEW40" s="2"/>
      <c r="AEX40" s="2"/>
      <c r="AEY40" s="2"/>
      <c r="AEZ40" s="2">
        <v>2</v>
      </c>
      <c r="AFA40" s="2">
        <v>175</v>
      </c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>
        <f t="shared" si="0"/>
        <v>19810</v>
      </c>
    </row>
    <row r="41" spans="1:844" s="11" customFormat="1" ht="15" thickBot="1" x14ac:dyDescent="0.35">
      <c r="B41" s="91">
        <v>550057742</v>
      </c>
      <c r="C41" s="52" t="s">
        <v>107</v>
      </c>
      <c r="D41" s="35" t="s">
        <v>2</v>
      </c>
      <c r="E41" s="2"/>
      <c r="F41" s="2"/>
      <c r="G41" s="2"/>
      <c r="H41" s="2"/>
      <c r="I41" s="2"/>
      <c r="J41" s="2">
        <v>175</v>
      </c>
      <c r="K41" s="2"/>
      <c r="L41" s="2">
        <f>175+350+175</f>
        <v>700</v>
      </c>
      <c r="M41" s="2">
        <f>175+175+175</f>
        <v>525</v>
      </c>
      <c r="N41" s="2">
        <v>175</v>
      </c>
      <c r="O41" s="2">
        <f>175+2</f>
        <v>177</v>
      </c>
      <c r="P41" s="2">
        <f>175+175</f>
        <v>350</v>
      </c>
      <c r="Q41" s="2">
        <v>175</v>
      </c>
      <c r="R41" s="2"/>
      <c r="S41" s="2"/>
      <c r="T41" s="2"/>
      <c r="U41" s="2">
        <v>175</v>
      </c>
      <c r="V41" s="2"/>
      <c r="W41" s="2"/>
      <c r="X41" s="2"/>
      <c r="Y41" s="2">
        <v>175</v>
      </c>
      <c r="Z41" s="2"/>
      <c r="AA41" s="2">
        <v>350</v>
      </c>
      <c r="AB41" s="2"/>
      <c r="AC41" s="2">
        <v>1</v>
      </c>
      <c r="AD41" s="2"/>
      <c r="AE41" s="2">
        <v>175</v>
      </c>
      <c r="AF41" s="2">
        <f>121+175</f>
        <v>296</v>
      </c>
      <c r="AG41" s="2"/>
      <c r="AH41" s="2"/>
      <c r="AI41" s="2"/>
      <c r="AJ41" s="2"/>
      <c r="AK41" s="2"/>
      <c r="AL41" s="2"/>
      <c r="AM41" s="2"/>
      <c r="AN41" s="2"/>
      <c r="AO41" s="2"/>
      <c r="AP41" s="2">
        <f>2+1</f>
        <v>3</v>
      </c>
      <c r="AQ41" s="2"/>
      <c r="AR41" s="2"/>
      <c r="AS41" s="2"/>
      <c r="AT41" s="2"/>
      <c r="AU41" s="2">
        <f>175+175+175</f>
        <v>525</v>
      </c>
      <c r="AV41" s="2">
        <f>175+175</f>
        <v>350</v>
      </c>
      <c r="AW41" s="2">
        <v>175</v>
      </c>
      <c r="AX41" s="2"/>
      <c r="AY41" s="2"/>
      <c r="AZ41" s="2"/>
      <c r="BA41" s="2"/>
      <c r="BB41" s="2"/>
      <c r="BC41" s="2">
        <f>175+20</f>
        <v>195</v>
      </c>
      <c r="BD41" s="2"/>
      <c r="BE41" s="2">
        <v>175</v>
      </c>
      <c r="BF41" s="2">
        <v>175</v>
      </c>
      <c r="BG41" s="2"/>
      <c r="BH41" s="2">
        <v>1</v>
      </c>
      <c r="BI41" s="2"/>
      <c r="BJ41" s="2"/>
      <c r="BK41" s="2">
        <v>2</v>
      </c>
      <c r="BL41" s="2"/>
      <c r="BM41" s="2"/>
      <c r="BN41" s="2"/>
      <c r="BO41" s="2"/>
      <c r="BP41" s="2"/>
      <c r="BQ41" s="2"/>
      <c r="BR41" s="2"/>
      <c r="BS41" s="2">
        <v>175</v>
      </c>
      <c r="BT41" s="2">
        <v>175</v>
      </c>
      <c r="BU41" s="2">
        <v>2</v>
      </c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>
        <f>175+175</f>
        <v>350</v>
      </c>
      <c r="CG41" s="2">
        <v>1</v>
      </c>
      <c r="CH41" s="2"/>
      <c r="CI41" s="2">
        <f>175+175</f>
        <v>350</v>
      </c>
      <c r="CJ41" s="2">
        <v>175</v>
      </c>
      <c r="CK41" s="2"/>
      <c r="CL41" s="2"/>
      <c r="CM41" s="2">
        <v>175</v>
      </c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>
        <f>175+1</f>
        <v>176</v>
      </c>
      <c r="DA41" s="2">
        <v>175</v>
      </c>
      <c r="DB41" s="2"/>
      <c r="DC41" s="2"/>
      <c r="DD41" s="2"/>
      <c r="DE41" s="2"/>
      <c r="DF41" s="2"/>
      <c r="DG41" s="2"/>
      <c r="DH41" s="2">
        <v>1</v>
      </c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>
        <v>22</v>
      </c>
      <c r="DW41" s="2"/>
      <c r="DX41" s="2"/>
      <c r="DY41" s="2"/>
      <c r="DZ41" s="2"/>
      <c r="EA41" s="2"/>
      <c r="EB41" s="2"/>
      <c r="EC41" s="2"/>
      <c r="ED41" s="2"/>
      <c r="EE41" s="2">
        <v>1</v>
      </c>
      <c r="EF41" s="2"/>
      <c r="EG41" s="2"/>
      <c r="EH41" s="2"/>
      <c r="EI41" s="2"/>
      <c r="EJ41" s="2"/>
      <c r="EK41" s="2"/>
      <c r="EL41" s="2"/>
      <c r="EM41" s="2">
        <v>2</v>
      </c>
      <c r="EN41" s="2">
        <v>10</v>
      </c>
      <c r="EO41" s="2"/>
      <c r="EP41" s="2"/>
      <c r="EQ41" s="2"/>
      <c r="ER41" s="2"/>
      <c r="ES41" s="2"/>
      <c r="ET41" s="2"/>
      <c r="EU41" s="2">
        <f>175+1</f>
        <v>176</v>
      </c>
      <c r="EV41" s="2"/>
      <c r="EW41" s="2">
        <v>175</v>
      </c>
      <c r="EX41" s="2"/>
      <c r="EY41" s="2"/>
      <c r="EZ41" s="2"/>
      <c r="FA41" s="2">
        <v>175</v>
      </c>
      <c r="FB41" s="2"/>
      <c r="FC41" s="2"/>
      <c r="FD41" s="2">
        <v>175</v>
      </c>
      <c r="FE41" s="2"/>
      <c r="FF41" s="2"/>
      <c r="FG41" s="2"/>
      <c r="FH41" s="2"/>
      <c r="FI41" s="2"/>
      <c r="FJ41" s="2">
        <v>175</v>
      </c>
      <c r="FK41" s="2"/>
      <c r="FL41" s="2"/>
      <c r="FM41" s="2"/>
      <c r="FN41" s="2"/>
      <c r="FO41" s="2"/>
      <c r="FP41" s="2"/>
      <c r="FQ41" s="2"/>
      <c r="FR41" s="2"/>
      <c r="FS41" s="2">
        <v>175</v>
      </c>
      <c r="FT41" s="2"/>
      <c r="FU41" s="2"/>
      <c r="FV41" s="2"/>
      <c r="FW41" s="2">
        <v>10</v>
      </c>
      <c r="FX41" s="2"/>
      <c r="FY41" s="2"/>
      <c r="FZ41" s="2"/>
      <c r="GA41" s="2"/>
      <c r="GB41" s="2"/>
      <c r="GC41" s="2"/>
      <c r="GD41" s="2"/>
      <c r="GE41" s="2"/>
      <c r="GF41" s="2"/>
      <c r="GG41" s="2">
        <v>175</v>
      </c>
      <c r="GH41" s="2"/>
      <c r="GI41" s="2">
        <f>162+13</f>
        <v>175</v>
      </c>
      <c r="GJ41" s="2"/>
      <c r="GK41" s="2"/>
      <c r="GL41" s="2"/>
      <c r="GM41" s="2"/>
      <c r="GN41" s="2">
        <v>175</v>
      </c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>
        <v>175</v>
      </c>
      <c r="HJ41" s="2"/>
      <c r="HK41" s="2"/>
      <c r="HL41" s="2"/>
      <c r="HM41" s="2">
        <v>175</v>
      </c>
      <c r="HN41" s="2"/>
      <c r="HO41" s="2"/>
      <c r="HP41" s="2"/>
      <c r="HQ41" s="2"/>
      <c r="HR41" s="2">
        <v>175</v>
      </c>
      <c r="HS41" s="2">
        <v>175</v>
      </c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>
        <v>175</v>
      </c>
      <c r="IE41" s="2"/>
      <c r="IF41" s="2">
        <v>350</v>
      </c>
      <c r="IG41" s="2"/>
      <c r="IH41" s="2"/>
      <c r="II41" s="2"/>
      <c r="IJ41" s="2"/>
      <c r="IK41" s="2">
        <v>10</v>
      </c>
      <c r="IL41" s="2"/>
      <c r="IM41" s="2"/>
      <c r="IN41" s="2">
        <f>2+175</f>
        <v>177</v>
      </c>
      <c r="IO41" s="2">
        <v>175</v>
      </c>
      <c r="IP41" s="2"/>
      <c r="IQ41" s="2"/>
      <c r="IR41" s="2"/>
      <c r="IS41" s="2"/>
      <c r="IT41" s="2"/>
      <c r="IU41" s="2"/>
      <c r="IV41" s="2">
        <v>10</v>
      </c>
      <c r="IW41" s="2"/>
      <c r="IX41" s="2"/>
      <c r="IY41" s="2"/>
      <c r="IZ41" s="2"/>
      <c r="JA41" s="2"/>
      <c r="JB41" s="2"/>
      <c r="JC41" s="2"/>
      <c r="JD41" s="2"/>
      <c r="JE41" s="2"/>
      <c r="JF41" s="2">
        <v>1</v>
      </c>
      <c r="JG41" s="2"/>
      <c r="JH41" s="2"/>
      <c r="JI41" s="2">
        <v>175</v>
      </c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>
        <v>1</v>
      </c>
      <c r="JZ41" s="2">
        <f>175+175</f>
        <v>350</v>
      </c>
      <c r="KA41" s="2">
        <f>175+175</f>
        <v>350</v>
      </c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>
        <f>2+1</f>
        <v>3</v>
      </c>
      <c r="KO41" s="2"/>
      <c r="KP41" s="2"/>
      <c r="KQ41" s="2"/>
      <c r="KR41" s="2"/>
      <c r="KS41" s="2">
        <v>175</v>
      </c>
      <c r="KT41" s="2">
        <f>175+175</f>
        <v>350</v>
      </c>
      <c r="KU41" s="2"/>
      <c r="KV41" s="2"/>
      <c r="KW41" s="2"/>
      <c r="KX41" s="2"/>
      <c r="KY41" s="2">
        <v>175</v>
      </c>
      <c r="KZ41" s="2"/>
      <c r="LA41" s="2">
        <v>87</v>
      </c>
      <c r="LB41" s="2"/>
      <c r="LC41" s="2">
        <v>175</v>
      </c>
      <c r="LD41" s="2"/>
      <c r="LE41" s="2"/>
      <c r="LF41" s="2"/>
      <c r="LG41" s="2"/>
      <c r="LH41" s="2"/>
      <c r="LI41" s="2"/>
      <c r="LJ41" s="2">
        <v>175</v>
      </c>
      <c r="LK41" s="2"/>
      <c r="LL41" s="2">
        <v>175</v>
      </c>
      <c r="LM41" s="2"/>
      <c r="LN41" s="2">
        <f>350+25</f>
        <v>375</v>
      </c>
      <c r="LO41" s="2"/>
      <c r="LP41" s="2"/>
      <c r="LQ41" s="2">
        <v>175</v>
      </c>
      <c r="LR41" s="2"/>
      <c r="LS41" s="2"/>
      <c r="LT41" s="2">
        <v>175</v>
      </c>
      <c r="LU41" s="2"/>
      <c r="LV41" s="2">
        <f>175+1</f>
        <v>176</v>
      </c>
      <c r="LW41" s="2"/>
      <c r="LX41" s="2"/>
      <c r="LY41" s="2"/>
      <c r="LZ41" s="2">
        <v>700</v>
      </c>
      <c r="MA41" s="2"/>
      <c r="MB41" s="2"/>
      <c r="MC41" s="2">
        <v>1</v>
      </c>
      <c r="MD41" s="2"/>
      <c r="ME41" s="2">
        <f>175+175+175</f>
        <v>525</v>
      </c>
      <c r="MF41" s="2"/>
      <c r="MG41" s="2"/>
      <c r="MH41" s="2">
        <v>2</v>
      </c>
      <c r="MI41" s="2"/>
      <c r="MJ41" s="2"/>
      <c r="MK41" s="2"/>
      <c r="ML41" s="2"/>
      <c r="MM41" s="2"/>
      <c r="MN41" s="2">
        <v>5</v>
      </c>
      <c r="MO41" s="2"/>
      <c r="MP41" s="2"/>
      <c r="MQ41" s="2"/>
      <c r="MR41" s="2">
        <v>175</v>
      </c>
      <c r="MS41" s="2"/>
      <c r="MT41" s="2"/>
      <c r="MU41" s="2">
        <v>175</v>
      </c>
      <c r="MV41" s="2">
        <v>2</v>
      </c>
      <c r="MW41" s="2"/>
      <c r="MX41" s="2"/>
      <c r="MY41" s="2">
        <v>1</v>
      </c>
      <c r="MZ41" s="2"/>
      <c r="NA41" s="2"/>
      <c r="NB41" s="2"/>
      <c r="NC41" s="2"/>
      <c r="ND41" s="2">
        <v>175</v>
      </c>
      <c r="NE41" s="2"/>
      <c r="NF41" s="2">
        <v>175</v>
      </c>
      <c r="NG41" s="2"/>
      <c r="NH41" s="2">
        <v>175</v>
      </c>
      <c r="NI41" s="2"/>
      <c r="NJ41" s="2"/>
      <c r="NK41" s="2"/>
      <c r="NL41" s="2"/>
      <c r="NM41" s="2">
        <f>175+175</f>
        <v>350</v>
      </c>
      <c r="NN41" s="2"/>
      <c r="NO41" s="2">
        <v>175</v>
      </c>
      <c r="NP41" s="2">
        <v>175</v>
      </c>
      <c r="NQ41" s="2"/>
      <c r="NR41" s="2"/>
      <c r="NS41" s="2"/>
      <c r="NT41" s="2"/>
      <c r="NU41" s="2"/>
      <c r="NV41" s="2"/>
      <c r="NW41" s="2">
        <f>175+175+175</f>
        <v>525</v>
      </c>
      <c r="NX41" s="2"/>
      <c r="NY41" s="2"/>
      <c r="NZ41" s="2">
        <f>1+2</f>
        <v>3</v>
      </c>
      <c r="OA41" s="2"/>
      <c r="OB41" s="2"/>
      <c r="OC41" s="2"/>
      <c r="OD41" s="2">
        <v>18</v>
      </c>
      <c r="OE41" s="2"/>
      <c r="OF41" s="2"/>
      <c r="OG41" s="2"/>
      <c r="OH41" s="2"/>
      <c r="OI41" s="2">
        <f>175+4</f>
        <v>179</v>
      </c>
      <c r="OJ41" s="2">
        <v>175</v>
      </c>
      <c r="OK41" s="2"/>
      <c r="OL41" s="2"/>
      <c r="OM41" s="2"/>
      <c r="ON41" s="2"/>
      <c r="OO41" s="2"/>
      <c r="OP41" s="2"/>
      <c r="OQ41" s="2">
        <f>1+525+175</f>
        <v>701</v>
      </c>
      <c r="OR41" s="2">
        <v>8</v>
      </c>
      <c r="OS41" s="2">
        <v>175</v>
      </c>
      <c r="OT41" s="2">
        <f>175+1</f>
        <v>176</v>
      </c>
      <c r="OU41" s="2">
        <f>8+175</f>
        <v>183</v>
      </c>
      <c r="OV41" s="2"/>
      <c r="OW41" s="2"/>
      <c r="OX41" s="2"/>
      <c r="OY41" s="2"/>
      <c r="OZ41" s="2">
        <v>175</v>
      </c>
      <c r="PA41" s="2">
        <v>175</v>
      </c>
      <c r="PB41" s="2">
        <v>10</v>
      </c>
      <c r="PC41" s="2"/>
      <c r="PD41" s="2"/>
      <c r="PE41" s="2"/>
      <c r="PF41" s="2">
        <v>175</v>
      </c>
      <c r="PG41" s="2">
        <v>175</v>
      </c>
      <c r="PH41" s="2">
        <v>1</v>
      </c>
      <c r="PI41" s="2">
        <v>175</v>
      </c>
      <c r="PJ41" s="2"/>
      <c r="PK41" s="2">
        <v>175</v>
      </c>
      <c r="PL41" s="2"/>
      <c r="PM41" s="2"/>
      <c r="PN41" s="2"/>
      <c r="PO41" s="2"/>
      <c r="PP41" s="2"/>
      <c r="PQ41" s="2"/>
      <c r="PR41" s="2"/>
      <c r="PS41" s="2">
        <f>175+350</f>
        <v>525</v>
      </c>
      <c r="PT41" s="2"/>
      <c r="PU41" s="2"/>
      <c r="PV41" s="2"/>
      <c r="PW41" s="2"/>
      <c r="PX41" s="2"/>
      <c r="PY41" s="2"/>
      <c r="PZ41" s="2"/>
      <c r="QA41" s="2">
        <f>2+175</f>
        <v>177</v>
      </c>
      <c r="QB41" s="2">
        <f>175+1</f>
        <v>176</v>
      </c>
      <c r="QC41" s="2">
        <f>175</f>
        <v>175</v>
      </c>
      <c r="QD41" s="2"/>
      <c r="QE41" s="2"/>
      <c r="QF41" s="2">
        <v>175</v>
      </c>
      <c r="QG41" s="2"/>
      <c r="QH41" s="2"/>
      <c r="QI41" s="2">
        <f>17</f>
        <v>17</v>
      </c>
      <c r="QJ41" s="2"/>
      <c r="QK41" s="2">
        <f>175+175</f>
        <v>350</v>
      </c>
      <c r="QL41" s="2">
        <f>175</f>
        <v>175</v>
      </c>
      <c r="QM41" s="2"/>
      <c r="QN41" s="2"/>
      <c r="QO41" s="2"/>
      <c r="QP41" s="2"/>
      <c r="QQ41" s="2">
        <f>8</f>
        <v>8</v>
      </c>
      <c r="QR41" s="2">
        <f>175</f>
        <v>175</v>
      </c>
      <c r="QS41" s="2"/>
      <c r="QT41" s="2"/>
      <c r="QU41" s="2"/>
      <c r="QV41" s="2"/>
      <c r="QW41" s="2"/>
      <c r="QX41" s="2">
        <v>2</v>
      </c>
      <c r="QY41" s="2"/>
      <c r="QZ41" s="2"/>
      <c r="RA41" s="2"/>
      <c r="RB41" s="2"/>
      <c r="RC41" s="2"/>
      <c r="RD41" s="2"/>
      <c r="RE41" s="2">
        <v>175</v>
      </c>
      <c r="RF41" s="2">
        <f>2</f>
        <v>2</v>
      </c>
      <c r="RG41" s="2"/>
      <c r="RH41" s="2"/>
      <c r="RI41" s="2">
        <f>175</f>
        <v>175</v>
      </c>
      <c r="RJ41" s="2">
        <f>175</f>
        <v>175</v>
      </c>
      <c r="RK41" s="2">
        <f>12</f>
        <v>12</v>
      </c>
      <c r="RL41" s="2"/>
      <c r="RM41" s="2"/>
      <c r="RN41" s="2">
        <f>175</f>
        <v>175</v>
      </c>
      <c r="RO41" s="2"/>
      <c r="RP41" s="2"/>
      <c r="RQ41" s="2"/>
      <c r="RR41" s="2"/>
      <c r="RS41" s="2"/>
      <c r="RT41" s="2"/>
      <c r="RU41" s="2"/>
      <c r="RV41" s="2"/>
      <c r="RW41" s="2">
        <f>3</f>
        <v>3</v>
      </c>
      <c r="RX41" s="2">
        <f>175</f>
        <v>175</v>
      </c>
      <c r="RY41" s="2"/>
      <c r="RZ41" s="2">
        <f>175</f>
        <v>175</v>
      </c>
      <c r="SA41" s="2">
        <f>175</f>
        <v>175</v>
      </c>
      <c r="SB41" s="2"/>
      <c r="SC41" s="2">
        <f>175+1</f>
        <v>176</v>
      </c>
      <c r="SD41" s="2"/>
      <c r="SE41" s="2"/>
      <c r="SF41" s="2"/>
      <c r="SG41" s="2"/>
      <c r="SH41" s="2">
        <f>22</f>
        <v>22</v>
      </c>
      <c r="SI41" s="2">
        <f>175</f>
        <v>175</v>
      </c>
      <c r="SJ41" s="2">
        <f>1+1+1</f>
        <v>3</v>
      </c>
      <c r="SK41" s="2"/>
      <c r="SL41" s="2"/>
      <c r="SM41" s="2"/>
      <c r="SN41" s="2"/>
      <c r="SO41" s="2"/>
      <c r="SP41" s="2"/>
      <c r="SQ41" s="2">
        <f>2</f>
        <v>2</v>
      </c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>
        <v>1050</v>
      </c>
      <c r="TC41" s="2"/>
      <c r="TD41" s="2">
        <v>1</v>
      </c>
      <c r="TE41" s="2">
        <v>175</v>
      </c>
      <c r="TF41" s="2"/>
      <c r="TG41" s="2"/>
      <c r="TH41" s="2"/>
      <c r="TI41" s="2"/>
      <c r="TJ41" s="2"/>
      <c r="TK41" s="2"/>
      <c r="TL41" s="2">
        <v>175</v>
      </c>
      <c r="TM41" s="2">
        <v>350</v>
      </c>
      <c r="TN41" s="2"/>
      <c r="TO41" s="2">
        <f>350+175</f>
        <v>525</v>
      </c>
      <c r="TP41" s="2"/>
      <c r="TQ41" s="2">
        <v>175</v>
      </c>
      <c r="TR41" s="2"/>
      <c r="TS41" s="2"/>
      <c r="TT41" s="2"/>
      <c r="TU41" s="2">
        <v>8</v>
      </c>
      <c r="TV41" s="2">
        <v>175</v>
      </c>
      <c r="TW41" s="2">
        <v>175</v>
      </c>
      <c r="TX41" s="2">
        <v>350</v>
      </c>
      <c r="TY41" s="2"/>
      <c r="TZ41" s="2"/>
      <c r="UA41" s="2"/>
      <c r="UB41" s="2"/>
      <c r="UC41" s="2"/>
      <c r="UD41" s="2">
        <v>1</v>
      </c>
      <c r="UE41" s="2"/>
      <c r="UF41" s="2"/>
      <c r="UG41" s="2"/>
      <c r="UH41" s="2"/>
      <c r="UI41" s="2">
        <f>175+2</f>
        <v>177</v>
      </c>
      <c r="UJ41" s="2">
        <v>10</v>
      </c>
      <c r="UK41" s="2"/>
      <c r="UL41" s="2">
        <f>175+175+175</f>
        <v>525</v>
      </c>
      <c r="UM41" s="2">
        <v>175</v>
      </c>
      <c r="UN41" s="2"/>
      <c r="UO41" s="2">
        <v>4</v>
      </c>
      <c r="UP41" s="2"/>
      <c r="UQ41" s="2">
        <f>175+175</f>
        <v>350</v>
      </c>
      <c r="UR41" s="2"/>
      <c r="US41" s="2"/>
      <c r="UT41" s="2">
        <v>175</v>
      </c>
      <c r="UU41" s="2">
        <v>175</v>
      </c>
      <c r="UV41" s="2"/>
      <c r="UW41" s="2"/>
      <c r="UX41" s="2"/>
      <c r="UY41" s="2">
        <v>140</v>
      </c>
      <c r="UZ41" s="2">
        <v>9</v>
      </c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>
        <v>69</v>
      </c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>
        <f>14+525+350</f>
        <v>889</v>
      </c>
      <c r="VY41" s="2">
        <f>175+9+175</f>
        <v>359</v>
      </c>
      <c r="VZ41" s="2">
        <f>4+1+350+175</f>
        <v>530</v>
      </c>
      <c r="WA41" s="2">
        <v>175</v>
      </c>
      <c r="WB41" s="2">
        <v>175</v>
      </c>
      <c r="WC41" s="2">
        <v>175</v>
      </c>
      <c r="WD41" s="2">
        <v>20</v>
      </c>
      <c r="WE41" s="2"/>
      <c r="WF41" s="2"/>
      <c r="WG41" s="2">
        <v>1</v>
      </c>
      <c r="WH41" s="2">
        <v>3</v>
      </c>
      <c r="WI41" s="2"/>
      <c r="WJ41" s="2"/>
      <c r="WK41" s="2">
        <v>1</v>
      </c>
      <c r="WL41" s="2"/>
      <c r="WM41" s="2"/>
      <c r="WN41" s="2">
        <f>175+525+2</f>
        <v>702</v>
      </c>
      <c r="WO41" s="2">
        <v>1</v>
      </c>
      <c r="WP41" s="2"/>
      <c r="WQ41" s="2">
        <v>6</v>
      </c>
      <c r="WR41" s="2">
        <v>1</v>
      </c>
      <c r="WS41" s="2"/>
      <c r="WT41" s="2"/>
      <c r="WU41" s="2"/>
      <c r="WV41" s="2"/>
      <c r="WW41" s="2">
        <v>2</v>
      </c>
      <c r="WX41" s="2"/>
      <c r="WY41" s="2">
        <v>7</v>
      </c>
      <c r="WZ41" s="2"/>
      <c r="XA41" s="2"/>
      <c r="XB41" s="2"/>
      <c r="XC41" s="2"/>
      <c r="XD41" s="2">
        <v>350</v>
      </c>
      <c r="XE41" s="2"/>
      <c r="XF41" s="2">
        <v>350</v>
      </c>
      <c r="XG41" s="2"/>
      <c r="XH41" s="2"/>
      <c r="XI41" s="2"/>
      <c r="XJ41" s="2">
        <v>7</v>
      </c>
      <c r="XK41" s="2"/>
      <c r="XL41" s="2"/>
      <c r="XM41" s="2">
        <v>175</v>
      </c>
      <c r="XN41" s="2"/>
      <c r="XO41" s="2"/>
      <c r="XP41" s="2">
        <v>20</v>
      </c>
      <c r="XQ41" s="2">
        <v>5</v>
      </c>
      <c r="XR41" s="2"/>
      <c r="XS41" s="2">
        <v>175</v>
      </c>
      <c r="XT41" s="2"/>
      <c r="XU41" s="2"/>
      <c r="XV41" s="2"/>
      <c r="XW41" s="2"/>
      <c r="XX41" s="2"/>
      <c r="XY41" s="2">
        <v>350</v>
      </c>
      <c r="XZ41" s="2">
        <v>10</v>
      </c>
      <c r="YA41" s="2"/>
      <c r="YB41" s="2">
        <v>350</v>
      </c>
      <c r="YC41" s="2"/>
      <c r="YD41" s="2"/>
      <c r="YE41" s="2">
        <v>6</v>
      </c>
      <c r="YF41" s="2"/>
      <c r="YG41" s="2"/>
      <c r="YH41" s="2"/>
      <c r="YI41" s="2">
        <v>9</v>
      </c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>
        <v>350</v>
      </c>
      <c r="YU41" s="2">
        <v>175</v>
      </c>
      <c r="YV41" s="2"/>
      <c r="YW41" s="2">
        <v>175</v>
      </c>
      <c r="YX41" s="2"/>
      <c r="YY41" s="2"/>
      <c r="YZ41" s="2">
        <v>10</v>
      </c>
      <c r="ZA41" s="2">
        <f>175+175</f>
        <v>350</v>
      </c>
      <c r="ZB41" s="2"/>
      <c r="ZC41" s="2">
        <v>14</v>
      </c>
      <c r="ZD41" s="2"/>
      <c r="ZE41" s="2"/>
      <c r="ZF41" s="2"/>
      <c r="ZG41" s="2"/>
      <c r="ZH41" s="2">
        <v>1</v>
      </c>
      <c r="ZI41" s="2"/>
      <c r="ZJ41" s="2"/>
      <c r="ZK41" s="2"/>
      <c r="ZL41" s="2"/>
      <c r="ZM41" s="2">
        <v>350</v>
      </c>
      <c r="ZN41" s="2"/>
      <c r="ZO41" s="2"/>
      <c r="ZP41" s="2"/>
      <c r="ZQ41" s="2"/>
      <c r="ZR41" s="2"/>
      <c r="ZS41" s="2">
        <v>7</v>
      </c>
      <c r="ZT41" s="2"/>
      <c r="ZU41" s="2"/>
      <c r="ZV41" s="2"/>
      <c r="ZW41" s="2">
        <v>175</v>
      </c>
      <c r="ZX41" s="2">
        <v>11</v>
      </c>
      <c r="ZY41" s="2"/>
      <c r="ZZ41" s="2"/>
      <c r="AAA41" s="2"/>
      <c r="AAB41" s="2">
        <v>175</v>
      </c>
      <c r="AAC41" s="2">
        <v>1</v>
      </c>
      <c r="AAD41" s="2">
        <v>175</v>
      </c>
      <c r="AAE41" s="2">
        <v>1</v>
      </c>
      <c r="AAF41" s="2"/>
      <c r="AAG41" s="2"/>
      <c r="AAH41" s="2"/>
      <c r="AAI41" s="2">
        <v>39</v>
      </c>
      <c r="AAJ41" s="2"/>
      <c r="AAK41" s="2"/>
      <c r="AAL41" s="2"/>
      <c r="AAM41" s="2"/>
      <c r="AAN41" s="2"/>
      <c r="AAO41" s="2"/>
      <c r="AAP41" s="2">
        <v>350</v>
      </c>
      <c r="AAQ41" s="2"/>
      <c r="AAR41" s="2"/>
      <c r="AAS41" s="2"/>
      <c r="AAT41" s="2"/>
      <c r="AAU41" s="2">
        <v>3</v>
      </c>
      <c r="AAV41" s="2"/>
      <c r="AAW41" s="2"/>
      <c r="AAX41" s="2"/>
      <c r="AAY41" s="2">
        <v>175</v>
      </c>
      <c r="AAZ41" s="2"/>
      <c r="ABA41" s="2"/>
      <c r="ABB41" s="2">
        <v>2</v>
      </c>
      <c r="ABC41" s="2"/>
      <c r="ABD41" s="2"/>
      <c r="ABE41" s="2">
        <v>1</v>
      </c>
      <c r="ABF41" s="2"/>
      <c r="ABG41" s="2">
        <v>2</v>
      </c>
      <c r="ABH41" s="2">
        <f>1+36</f>
        <v>37</v>
      </c>
      <c r="ABI41" s="2">
        <f>350+350</f>
        <v>700</v>
      </c>
      <c r="ABJ41" s="2">
        <f>175+175</f>
        <v>350</v>
      </c>
      <c r="ABK41" s="2"/>
      <c r="ABL41" s="2">
        <v>175</v>
      </c>
      <c r="ABM41" s="2"/>
      <c r="ABN41" s="2">
        <v>9</v>
      </c>
      <c r="ABO41" s="2">
        <v>175</v>
      </c>
      <c r="ABP41" s="2"/>
      <c r="ABQ41" s="2">
        <v>175</v>
      </c>
      <c r="ABR41" s="2"/>
      <c r="ABS41" s="2">
        <v>175</v>
      </c>
      <c r="ABT41" s="2"/>
      <c r="ABU41" s="2">
        <v>17</v>
      </c>
      <c r="ABV41" s="2">
        <v>175</v>
      </c>
      <c r="ABW41" s="2">
        <v>1</v>
      </c>
      <c r="ABX41" s="2"/>
      <c r="ABY41" s="2"/>
      <c r="ABZ41" s="2"/>
      <c r="ACA41" s="2">
        <f>2+175</f>
        <v>177</v>
      </c>
      <c r="ACB41" s="2"/>
      <c r="ACC41" s="2"/>
      <c r="ACD41" s="2"/>
      <c r="ACE41" s="2">
        <v>175</v>
      </c>
      <c r="ACF41" s="2"/>
      <c r="ACG41" s="2"/>
      <c r="ACH41" s="2"/>
      <c r="ACI41" s="2">
        <f>350+175+5</f>
        <v>530</v>
      </c>
      <c r="ACJ41" s="2"/>
      <c r="ACK41" s="2"/>
      <c r="ACL41" s="2">
        <v>1</v>
      </c>
      <c r="ACM41" s="2">
        <v>7</v>
      </c>
      <c r="ACN41" s="2"/>
      <c r="ACO41" s="2"/>
      <c r="ACP41" s="2"/>
      <c r="ACQ41" s="2">
        <v>1</v>
      </c>
      <c r="ACR41" s="2"/>
      <c r="ACS41" s="2"/>
      <c r="ACT41" s="2">
        <v>10</v>
      </c>
      <c r="ACU41" s="2">
        <f>175+350</f>
        <v>525</v>
      </c>
      <c r="ACV41" s="2"/>
      <c r="ACW41" s="2"/>
      <c r="ACX41" s="2"/>
      <c r="ACY41" s="2"/>
      <c r="ACZ41" s="2"/>
      <c r="ADA41" s="2"/>
      <c r="ADB41" s="2"/>
      <c r="ADC41" s="2">
        <f>1+175</f>
        <v>176</v>
      </c>
      <c r="ADD41" s="2"/>
      <c r="ADE41" s="2"/>
      <c r="ADF41" s="2">
        <v>175</v>
      </c>
      <c r="ADG41" s="2">
        <v>350</v>
      </c>
      <c r="ADH41" s="2"/>
      <c r="ADI41" s="2">
        <v>3</v>
      </c>
      <c r="ADJ41" s="2"/>
      <c r="ADK41" s="2">
        <v>175</v>
      </c>
      <c r="ADL41" s="2">
        <v>1</v>
      </c>
      <c r="ADM41" s="2"/>
      <c r="ADN41" s="2"/>
      <c r="ADO41" s="2">
        <v>175</v>
      </c>
      <c r="ADP41" s="2">
        <f>7+175</f>
        <v>182</v>
      </c>
      <c r="ADQ41" s="2">
        <v>175</v>
      </c>
      <c r="ADR41" s="2"/>
      <c r="ADS41" s="2"/>
      <c r="ADT41" s="2">
        <v>175</v>
      </c>
      <c r="ADU41" s="2">
        <v>350</v>
      </c>
      <c r="ADV41" s="2">
        <v>8</v>
      </c>
      <c r="ADW41" s="2">
        <v>175</v>
      </c>
      <c r="ADX41" s="2"/>
      <c r="ADY41" s="2">
        <v>350</v>
      </c>
      <c r="ADZ41" s="2"/>
      <c r="AEA41" s="2"/>
      <c r="AEB41" s="2"/>
      <c r="AEC41" s="2"/>
      <c r="AED41" s="2"/>
      <c r="AEE41" s="2">
        <v>11</v>
      </c>
      <c r="AEF41" s="2"/>
      <c r="AEG41" s="2">
        <v>175</v>
      </c>
      <c r="AEH41" s="2">
        <f>2+175</f>
        <v>177</v>
      </c>
      <c r="AEI41" s="2"/>
      <c r="AEJ41" s="2">
        <v>350</v>
      </c>
      <c r="AEK41" s="2"/>
      <c r="AEL41" s="2"/>
      <c r="AEM41" s="2"/>
      <c r="AEN41" s="2"/>
      <c r="AEO41" s="2">
        <v>7</v>
      </c>
      <c r="AEP41" s="2">
        <v>175</v>
      </c>
      <c r="AEQ41" s="2"/>
      <c r="AER41" s="2">
        <v>30</v>
      </c>
      <c r="AES41" s="2"/>
      <c r="AET41" s="2"/>
      <c r="AEU41" s="2"/>
      <c r="AEV41" s="2">
        <v>175</v>
      </c>
      <c r="AEW41" s="2">
        <v>13</v>
      </c>
      <c r="AEX41" s="2">
        <v>1</v>
      </c>
      <c r="AEY41" s="2"/>
      <c r="AEZ41" s="2">
        <v>2</v>
      </c>
      <c r="AFA41" s="2">
        <v>175</v>
      </c>
      <c r="AFB41" s="2"/>
      <c r="AFC41" s="2"/>
      <c r="AFD41" s="2"/>
      <c r="AFE41" s="2">
        <v>175</v>
      </c>
      <c r="AFF41" s="2"/>
      <c r="AFG41" s="2"/>
      <c r="AFH41" s="2"/>
      <c r="AFI41" s="2"/>
      <c r="AFJ41" s="2"/>
      <c r="AFK41" s="2"/>
      <c r="AFL41" s="2">
        <f t="shared" si="0"/>
        <v>42422</v>
      </c>
    </row>
    <row r="42" spans="1:844" s="4" customFormat="1" x14ac:dyDescent="0.3">
      <c r="A42" s="11"/>
      <c r="B42" s="91">
        <v>550026710</v>
      </c>
      <c r="C42" s="37" t="s">
        <v>109</v>
      </c>
      <c r="D42" s="35" t="s">
        <v>18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>
        <v>4</v>
      </c>
      <c r="HA42" s="2"/>
      <c r="HB42" s="2"/>
      <c r="HC42" s="2"/>
      <c r="HD42" s="2">
        <v>8</v>
      </c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>
        <v>4</v>
      </c>
      <c r="JF42" s="2"/>
      <c r="JG42" s="2"/>
      <c r="JH42" s="2"/>
      <c r="JI42" s="2"/>
      <c r="JJ42" s="2"/>
      <c r="JK42" s="2"/>
      <c r="JL42" s="2"/>
      <c r="JM42" s="2">
        <v>4</v>
      </c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>
        <v>8</v>
      </c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>
        <v>4</v>
      </c>
      <c r="LZ42" s="2"/>
      <c r="MA42" s="2"/>
      <c r="MB42" s="2"/>
      <c r="MC42" s="2"/>
      <c r="MD42" s="2">
        <v>8</v>
      </c>
      <c r="ME42" s="2"/>
      <c r="MF42" s="2"/>
      <c r="MG42" s="2"/>
      <c r="MH42" s="2"/>
      <c r="MI42" s="2"/>
      <c r="MJ42" s="2">
        <v>4</v>
      </c>
      <c r="MK42" s="2"/>
      <c r="ML42" s="2"/>
      <c r="MM42" s="2">
        <v>4</v>
      </c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>
        <v>8</v>
      </c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>
        <f>2</f>
        <v>2</v>
      </c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>
        <f>8</f>
        <v>8</v>
      </c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>
        <v>8</v>
      </c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>
        <v>8</v>
      </c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>
        <v>14</v>
      </c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>
        <v>5</v>
      </c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>
        <v>6</v>
      </c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>
        <v>4</v>
      </c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>
        <v>3</v>
      </c>
      <c r="ACF42" s="2"/>
      <c r="ACG42" s="2"/>
      <c r="ACH42" s="2"/>
      <c r="ACI42" s="2">
        <v>4</v>
      </c>
      <c r="ACJ42" s="2"/>
      <c r="ACK42" s="2"/>
      <c r="ACL42" s="2"/>
      <c r="ACM42" s="2"/>
      <c r="ACN42" s="2"/>
      <c r="ACO42" s="2"/>
      <c r="ACP42" s="2">
        <v>2</v>
      </c>
      <c r="ACQ42" s="2"/>
      <c r="ACR42" s="2"/>
      <c r="ACS42" s="2">
        <v>2</v>
      </c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>
        <f t="shared" si="0"/>
        <v>122</v>
      </c>
    </row>
    <row r="43" spans="1:844" s="11" customFormat="1" x14ac:dyDescent="0.3">
      <c r="B43" s="91">
        <v>550026700</v>
      </c>
      <c r="C43" s="52" t="s">
        <v>111</v>
      </c>
      <c r="D43" s="35" t="s">
        <v>5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>
        <v>42</v>
      </c>
      <c r="GT43" s="2"/>
      <c r="GU43" s="2"/>
      <c r="GV43" s="2"/>
      <c r="GW43" s="2"/>
      <c r="GX43" s="2"/>
      <c r="GY43" s="2"/>
      <c r="GZ43" s="2">
        <v>42</v>
      </c>
      <c r="HA43" s="2"/>
      <c r="HB43" s="2">
        <v>42</v>
      </c>
      <c r="HC43" s="2">
        <v>42</v>
      </c>
      <c r="HD43" s="2">
        <v>42</v>
      </c>
      <c r="HE43" s="2"/>
      <c r="HF43" s="2"/>
      <c r="HG43" s="2">
        <v>42</v>
      </c>
      <c r="HH43" s="2"/>
      <c r="HI43" s="2"/>
      <c r="HJ43" s="2"/>
      <c r="HK43" s="2">
        <v>42</v>
      </c>
      <c r="HL43" s="2"/>
      <c r="HM43" s="2"/>
      <c r="HN43" s="2"/>
      <c r="HO43" s="2">
        <v>42</v>
      </c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>
        <v>42</v>
      </c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>
        <v>42</v>
      </c>
      <c r="KT43" s="2"/>
      <c r="KU43" s="2">
        <v>21</v>
      </c>
      <c r="KV43" s="2"/>
      <c r="KW43" s="2"/>
      <c r="KX43" s="2"/>
      <c r="KY43" s="2">
        <v>21</v>
      </c>
      <c r="KZ43" s="2"/>
      <c r="LA43" s="2"/>
      <c r="LB43" s="2"/>
      <c r="LC43" s="2">
        <v>42</v>
      </c>
      <c r="LD43" s="2"/>
      <c r="LE43" s="2"/>
      <c r="LF43" s="2"/>
      <c r="LG43" s="2">
        <f>84+84</f>
        <v>168</v>
      </c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>
        <v>84</v>
      </c>
      <c r="OQ43" s="2"/>
      <c r="OR43" s="2"/>
      <c r="OS43" s="2"/>
      <c r="OT43" s="2">
        <v>42</v>
      </c>
      <c r="OU43" s="2">
        <v>42</v>
      </c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>
        <v>42</v>
      </c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>
        <f>42</f>
        <v>42</v>
      </c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>
        <v>126</v>
      </c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>
        <v>42</v>
      </c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>
        <v>58</v>
      </c>
      <c r="VN43" s="2"/>
      <c r="VO43" s="2"/>
      <c r="VP43" s="2"/>
      <c r="VQ43" s="2">
        <v>42</v>
      </c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>
        <v>6</v>
      </c>
      <c r="WO43" s="2"/>
      <c r="WP43" s="2"/>
      <c r="WQ43" s="2"/>
      <c r="WR43" s="2"/>
      <c r="WS43" s="2"/>
      <c r="WT43" s="2"/>
      <c r="WU43" s="2">
        <v>3</v>
      </c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>
        <v>42</v>
      </c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>
        <v>17</v>
      </c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>
        <f t="shared" si="0"/>
        <v>1260</v>
      </c>
    </row>
    <row r="44" spans="1:844" x14ac:dyDescent="0.3">
      <c r="B44" s="91">
        <v>550026699</v>
      </c>
      <c r="C44" s="52" t="s">
        <v>113</v>
      </c>
      <c r="D44" s="35" t="s">
        <v>18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>
        <v>16</v>
      </c>
      <c r="FR44" s="2"/>
      <c r="FS44" s="2">
        <f>16+8</f>
        <v>24</v>
      </c>
      <c r="FT44" s="2">
        <v>4</v>
      </c>
      <c r="FU44" s="2">
        <v>4</v>
      </c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>
        <v>16</v>
      </c>
      <c r="GG44" s="2"/>
      <c r="GH44" s="2"/>
      <c r="GI44" s="2">
        <v>24</v>
      </c>
      <c r="GJ44" s="2">
        <v>8</v>
      </c>
      <c r="GK44" s="2"/>
      <c r="GL44" s="2"/>
      <c r="GM44" s="2"/>
      <c r="GN44" s="2"/>
      <c r="GO44" s="2"/>
      <c r="GP44" s="2">
        <v>8</v>
      </c>
      <c r="GQ44" s="2"/>
      <c r="GR44" s="2"/>
      <c r="GS44" s="2"/>
      <c r="GT44" s="2"/>
      <c r="GU44" s="2"/>
      <c r="GV44" s="2"/>
      <c r="GW44" s="2">
        <v>4</v>
      </c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>
        <v>16</v>
      </c>
      <c r="HO44" s="2"/>
      <c r="HP44" s="2"/>
      <c r="HQ44" s="2"/>
      <c r="HR44" s="2"/>
      <c r="HS44" s="2"/>
      <c r="HT44" s="2"/>
      <c r="HU44" s="2">
        <v>16</v>
      </c>
      <c r="HV44" s="2">
        <v>8</v>
      </c>
      <c r="HW44" s="2"/>
      <c r="HX44" s="2">
        <v>12</v>
      </c>
      <c r="HY44" s="2"/>
      <c r="HZ44" s="2">
        <v>8</v>
      </c>
      <c r="IA44" s="2"/>
      <c r="IB44" s="2"/>
      <c r="IC44" s="2"/>
      <c r="ID44" s="2"/>
      <c r="IE44" s="2">
        <f>20+20</f>
        <v>40</v>
      </c>
      <c r="IF44" s="2"/>
      <c r="IG44" s="2"/>
      <c r="IH44" s="2"/>
      <c r="II44" s="2">
        <f>16+12</f>
        <v>28</v>
      </c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>
        <v>42</v>
      </c>
      <c r="JJ44" s="2"/>
      <c r="JK44" s="2"/>
      <c r="JL44" s="2"/>
      <c r="JM44" s="2"/>
      <c r="JN44" s="2"/>
      <c r="JO44" s="2">
        <v>8</v>
      </c>
      <c r="JP44" s="2"/>
      <c r="JQ44" s="2"/>
      <c r="JR44" s="2"/>
      <c r="JS44" s="2"/>
      <c r="JT44" s="2">
        <v>8</v>
      </c>
      <c r="JU44" s="2"/>
      <c r="JV44" s="2"/>
      <c r="JW44" s="2"/>
      <c r="JX44" s="2"/>
      <c r="JY44" s="2">
        <v>16</v>
      </c>
      <c r="JZ44" s="2"/>
      <c r="KA44" s="2"/>
      <c r="KB44" s="2"/>
      <c r="KC44" s="2"/>
      <c r="KD44" s="2"/>
      <c r="KE44" s="2"/>
      <c r="KF44" s="2"/>
      <c r="KG44" s="2"/>
      <c r="KH44" s="2">
        <f>24+8</f>
        <v>32</v>
      </c>
      <c r="KI44" s="2"/>
      <c r="KJ44" s="2">
        <v>20</v>
      </c>
      <c r="KK44" s="2"/>
      <c r="KL44" s="2"/>
      <c r="KM44" s="2"/>
      <c r="KN44" s="2"/>
      <c r="KO44" s="2"/>
      <c r="KP44" s="2"/>
      <c r="KQ44" s="2"/>
      <c r="KR44" s="2"/>
      <c r="KS44" s="2">
        <v>8</v>
      </c>
      <c r="KT44" s="2"/>
      <c r="KU44" s="2">
        <v>8</v>
      </c>
      <c r="KV44" s="2"/>
      <c r="KW44" s="2">
        <v>48</v>
      </c>
      <c r="KX44" s="2"/>
      <c r="KY44" s="2">
        <v>16</v>
      </c>
      <c r="KZ44" s="2">
        <v>8</v>
      </c>
      <c r="LA44" s="2"/>
      <c r="LB44" s="2"/>
      <c r="LC44" s="2">
        <v>16</v>
      </c>
      <c r="LD44" s="2"/>
      <c r="LE44" s="2"/>
      <c r="LF44" s="2"/>
      <c r="LG44" s="2">
        <f>16+16</f>
        <v>32</v>
      </c>
      <c r="LH44" s="2"/>
      <c r="LI44" s="2">
        <f>8+8</f>
        <v>16</v>
      </c>
      <c r="LJ44" s="2">
        <v>8</v>
      </c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>
        <v>12</v>
      </c>
      <c r="LV44" s="2"/>
      <c r="LW44" s="2"/>
      <c r="LX44" s="2"/>
      <c r="LY44" s="2">
        <v>4</v>
      </c>
      <c r="LZ44" s="2"/>
      <c r="MA44" s="2"/>
      <c r="MB44" s="2">
        <v>16</v>
      </c>
      <c r="MC44" s="2"/>
      <c r="MD44" s="2">
        <f>16+16</f>
        <v>32</v>
      </c>
      <c r="ME44" s="2">
        <v>2</v>
      </c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>
        <f>1+20</f>
        <v>21</v>
      </c>
      <c r="MS44" s="2"/>
      <c r="MT44" s="2">
        <f>8+8</f>
        <v>16</v>
      </c>
      <c r="MU44" s="2">
        <v>8</v>
      </c>
      <c r="MV44" s="2"/>
      <c r="MW44" s="2"/>
      <c r="MX44" s="2">
        <v>24</v>
      </c>
      <c r="MY44" s="2">
        <v>1</v>
      </c>
      <c r="MZ44" s="2"/>
      <c r="NA44" s="2"/>
      <c r="NB44" s="2">
        <v>12</v>
      </c>
      <c r="NC44" s="2"/>
      <c r="ND44" s="2"/>
      <c r="NE44" s="2"/>
      <c r="NF44" s="2">
        <f>8+52</f>
        <v>60</v>
      </c>
      <c r="NG44" s="2"/>
      <c r="NH44" s="2">
        <v>24</v>
      </c>
      <c r="NI44" s="2">
        <v>4</v>
      </c>
      <c r="NJ44" s="2">
        <v>8</v>
      </c>
      <c r="NK44" s="2"/>
      <c r="NL44" s="2">
        <f>8+8</f>
        <v>16</v>
      </c>
      <c r="NM44" s="2"/>
      <c r="NN44" s="2">
        <v>36</v>
      </c>
      <c r="NO44" s="2"/>
      <c r="NP44" s="2"/>
      <c r="NQ44" s="2"/>
      <c r="NR44" s="2"/>
      <c r="NS44" s="2"/>
      <c r="NT44" s="2">
        <v>16</v>
      </c>
      <c r="NU44" s="2">
        <f>8+38</f>
        <v>46</v>
      </c>
      <c r="NV44" s="2"/>
      <c r="NW44" s="2">
        <v>8</v>
      </c>
      <c r="NX44" s="2"/>
      <c r="NY44" s="2"/>
      <c r="NZ44" s="2"/>
      <c r="OA44" s="2"/>
      <c r="OB44" s="2"/>
      <c r="OC44" s="2"/>
      <c r="OD44" s="2">
        <v>8</v>
      </c>
      <c r="OE44" s="2"/>
      <c r="OF44" s="2"/>
      <c r="OG44" s="2"/>
      <c r="OH44" s="2">
        <v>48</v>
      </c>
      <c r="OI44" s="2">
        <v>1</v>
      </c>
      <c r="OJ44" s="2">
        <v>8</v>
      </c>
      <c r="OK44" s="2"/>
      <c r="OL44" s="2"/>
      <c r="OM44" s="2">
        <v>31</v>
      </c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>
        <v>16</v>
      </c>
      <c r="PA44" s="2">
        <v>20</v>
      </c>
      <c r="PB44" s="2"/>
      <c r="PC44" s="2"/>
      <c r="PD44" s="2"/>
      <c r="PE44" s="2">
        <v>8</v>
      </c>
      <c r="PF44" s="2">
        <f>8+8</f>
        <v>16</v>
      </c>
      <c r="PG44" s="2">
        <v>8</v>
      </c>
      <c r="PH44" s="2"/>
      <c r="PI44" s="2"/>
      <c r="PJ44" s="2">
        <v>20</v>
      </c>
      <c r="PK44" s="2">
        <v>8</v>
      </c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>
        <v>16</v>
      </c>
      <c r="QO44" s="2"/>
      <c r="QP44" s="2">
        <f>48</f>
        <v>48</v>
      </c>
      <c r="QQ44" s="2">
        <f>8</f>
        <v>8</v>
      </c>
      <c r="QR44" s="2"/>
      <c r="QS44" s="2">
        <f>16+8</f>
        <v>24</v>
      </c>
      <c r="QT44" s="2"/>
      <c r="QU44" s="2"/>
      <c r="QV44" s="2">
        <f>16+16</f>
        <v>32</v>
      </c>
      <c r="QW44" s="2"/>
      <c r="QX44" s="2">
        <f>16</f>
        <v>16</v>
      </c>
      <c r="QY44" s="2">
        <f>8</f>
        <v>8</v>
      </c>
      <c r="QZ44" s="2">
        <f>16+16</f>
        <v>32</v>
      </c>
      <c r="RA44" s="2">
        <f>4</f>
        <v>4</v>
      </c>
      <c r="RB44" s="2"/>
      <c r="RC44" s="2"/>
      <c r="RD44" s="2"/>
      <c r="RE44" s="2">
        <f>8+8</f>
        <v>16</v>
      </c>
      <c r="RF44" s="2"/>
      <c r="RG44" s="2"/>
      <c r="RH44" s="2"/>
      <c r="RI44" s="2"/>
      <c r="RJ44" s="2"/>
      <c r="RK44" s="2"/>
      <c r="RL44" s="2"/>
      <c r="RM44" s="2">
        <f>4</f>
        <v>4</v>
      </c>
      <c r="RN44" s="2"/>
      <c r="RO44" s="2"/>
      <c r="RP44" s="2"/>
      <c r="RQ44" s="2"/>
      <c r="RR44" s="2"/>
      <c r="RS44" s="2"/>
      <c r="RT44" s="2"/>
      <c r="RU44" s="2"/>
      <c r="RV44" s="2">
        <f>16</f>
        <v>16</v>
      </c>
      <c r="RW44" s="2"/>
      <c r="RX44" s="2"/>
      <c r="RY44" s="2"/>
      <c r="RZ44" s="2"/>
      <c r="SA44" s="2">
        <f>32+16</f>
        <v>48</v>
      </c>
      <c r="SB44" s="2"/>
      <c r="SC44" s="2"/>
      <c r="SD44" s="2"/>
      <c r="SE44" s="2"/>
      <c r="SF44" s="2">
        <f>32</f>
        <v>32</v>
      </c>
      <c r="SG44" s="2"/>
      <c r="SH44" s="2">
        <f>16</f>
        <v>16</v>
      </c>
      <c r="SI44" s="2">
        <f>16+8+16</f>
        <v>40</v>
      </c>
      <c r="SJ44" s="2">
        <f>8</f>
        <v>8</v>
      </c>
      <c r="SK44" s="2"/>
      <c r="SL44" s="2"/>
      <c r="SM44" s="2">
        <f>8</f>
        <v>8</v>
      </c>
      <c r="SN44" s="2"/>
      <c r="SO44" s="2"/>
      <c r="SP44" s="2">
        <f>24</f>
        <v>24</v>
      </c>
      <c r="SQ44" s="2"/>
      <c r="SR44" s="2"/>
      <c r="SS44" s="2"/>
      <c r="ST44" s="2"/>
      <c r="SU44" s="2">
        <f>16</f>
        <v>16</v>
      </c>
      <c r="SV44" s="2"/>
      <c r="SW44" s="2"/>
      <c r="SX44" s="2"/>
      <c r="SY44" s="2"/>
      <c r="SZ44" s="2"/>
      <c r="TA44" s="2">
        <f>32+4</f>
        <v>36</v>
      </c>
      <c r="TB44" s="2">
        <v>8</v>
      </c>
      <c r="TC44" s="2"/>
      <c r="TD44" s="2"/>
      <c r="TE44" s="2">
        <v>20</v>
      </c>
      <c r="TF44" s="2"/>
      <c r="TG44" s="2">
        <f>12+16</f>
        <v>28</v>
      </c>
      <c r="TH44" s="2">
        <f>10+4</f>
        <v>14</v>
      </c>
      <c r="TI44" s="2"/>
      <c r="TJ44" s="2"/>
      <c r="TK44" s="2"/>
      <c r="TL44" s="2"/>
      <c r="TM44" s="2">
        <v>3</v>
      </c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>
        <v>3</v>
      </c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>
        <v>56</v>
      </c>
      <c r="VU44" s="2">
        <f>4+32</f>
        <v>36</v>
      </c>
      <c r="VV44" s="2">
        <v>16</v>
      </c>
      <c r="VW44" s="2"/>
      <c r="VX44" s="2">
        <f>16+16+16</f>
        <v>48</v>
      </c>
      <c r="VY44" s="2">
        <v>24</v>
      </c>
      <c r="VZ44" s="2"/>
      <c r="WA44" s="2"/>
      <c r="WB44" s="2"/>
      <c r="WC44" s="2"/>
      <c r="WD44" s="2">
        <v>44</v>
      </c>
      <c r="WE44" s="2">
        <v>16</v>
      </c>
      <c r="WF44" s="2"/>
      <c r="WG44" s="2"/>
      <c r="WH44" s="2"/>
      <c r="WI44" s="2">
        <v>24</v>
      </c>
      <c r="WJ44" s="2"/>
      <c r="WK44" s="2"/>
      <c r="WL44" s="2"/>
      <c r="WM44" s="2"/>
      <c r="WN44" s="2"/>
      <c r="WO44" s="2"/>
      <c r="WP44" s="2"/>
      <c r="WQ44" s="2">
        <v>4</v>
      </c>
      <c r="WR44" s="2"/>
      <c r="WS44" s="2"/>
      <c r="WT44" s="2">
        <v>4</v>
      </c>
      <c r="WU44" s="2"/>
      <c r="WV44" s="2">
        <v>8</v>
      </c>
      <c r="WW44" s="2"/>
      <c r="WX44" s="2">
        <v>20</v>
      </c>
      <c r="WY44" s="2">
        <v>24</v>
      </c>
      <c r="WZ44" s="2">
        <v>16</v>
      </c>
      <c r="XA44" s="2"/>
      <c r="XB44" s="2"/>
      <c r="XC44" s="2"/>
      <c r="XD44" s="2"/>
      <c r="XE44" s="2"/>
      <c r="XF44" s="2"/>
      <c r="XG44" s="2"/>
      <c r="XH44" s="2">
        <v>8</v>
      </c>
      <c r="XI44" s="2"/>
      <c r="XJ44" s="2"/>
      <c r="XK44" s="2"/>
      <c r="XL44" s="2"/>
      <c r="XM44" s="2">
        <f>8+24+16</f>
        <v>48</v>
      </c>
      <c r="XN44" s="2">
        <f>8+16</f>
        <v>24</v>
      </c>
      <c r="XO44" s="2"/>
      <c r="XP44" s="2">
        <v>6</v>
      </c>
      <c r="XQ44" s="2">
        <v>24</v>
      </c>
      <c r="XR44" s="2">
        <f>8+44</f>
        <v>52</v>
      </c>
      <c r="XS44" s="2">
        <f>2+24</f>
        <v>26</v>
      </c>
      <c r="XT44" s="2"/>
      <c r="XU44" s="2"/>
      <c r="XV44" s="2"/>
      <c r="XW44" s="2"/>
      <c r="XX44" s="2">
        <v>2</v>
      </c>
      <c r="XY44" s="2"/>
      <c r="XZ44" s="2"/>
      <c r="YA44" s="2">
        <v>24</v>
      </c>
      <c r="YB44" s="2"/>
      <c r="YC44" s="2"/>
      <c r="YD44" s="2">
        <v>32</v>
      </c>
      <c r="YE44" s="2"/>
      <c r="YF44" s="2"/>
      <c r="YG44" s="2"/>
      <c r="YH44" s="2"/>
      <c r="YI44" s="2"/>
      <c r="YJ44" s="2"/>
      <c r="YK44" s="2"/>
      <c r="YL44" s="2">
        <v>16</v>
      </c>
      <c r="YM44" s="2">
        <v>12</v>
      </c>
      <c r="YN44" s="2">
        <v>16</v>
      </c>
      <c r="YO44" s="2"/>
      <c r="YP44" s="2"/>
      <c r="YQ44" s="2"/>
      <c r="YR44" s="2"/>
      <c r="YS44" s="2"/>
      <c r="YT44" s="2">
        <v>16</v>
      </c>
      <c r="YU44" s="2">
        <f>8+16</f>
        <v>24</v>
      </c>
      <c r="YV44" s="2">
        <v>4</v>
      </c>
      <c r="YW44" s="2">
        <v>24</v>
      </c>
      <c r="YX44" s="2"/>
      <c r="YY44" s="2"/>
      <c r="YZ44" s="2"/>
      <c r="ZA44" s="2">
        <v>24</v>
      </c>
      <c r="ZB44" s="2"/>
      <c r="ZC44" s="2"/>
      <c r="ZD44" s="2"/>
      <c r="ZE44" s="2"/>
      <c r="ZF44" s="2"/>
      <c r="ZG44" s="2"/>
      <c r="ZH44" s="2">
        <v>4</v>
      </c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>
        <v>5</v>
      </c>
      <c r="ZX44" s="2"/>
      <c r="ZY44" s="2"/>
      <c r="ZZ44" s="2">
        <v>16</v>
      </c>
      <c r="AAA44" s="2">
        <v>8</v>
      </c>
      <c r="AAB44" s="2"/>
      <c r="AAC44" s="2"/>
      <c r="AAD44" s="2"/>
      <c r="AAE44" s="2">
        <v>5</v>
      </c>
      <c r="AAF44" s="2"/>
      <c r="AAG44" s="2"/>
      <c r="AAH44" s="2"/>
      <c r="AAI44" s="2"/>
      <c r="AAJ44" s="2"/>
      <c r="AAK44" s="2"/>
      <c r="AAL44" s="2"/>
      <c r="AAM44" s="2"/>
      <c r="AAN44" s="2"/>
      <c r="AAO44" s="2"/>
      <c r="AAP44" s="2">
        <v>8</v>
      </c>
      <c r="AAQ44" s="2"/>
      <c r="AAR44" s="2"/>
      <c r="AAS44" s="2"/>
      <c r="AAT44" s="2"/>
      <c r="AAU44" s="2"/>
      <c r="AAV44" s="2"/>
      <c r="AAW44" s="2"/>
      <c r="AAX44" s="2"/>
      <c r="AAY44" s="2"/>
      <c r="AAZ44" s="2"/>
      <c r="ABA44" s="2"/>
      <c r="ABB44" s="2"/>
      <c r="ABC44" s="2"/>
      <c r="ABD44" s="2"/>
      <c r="ABE44" s="2"/>
      <c r="ABF44" s="2">
        <v>44</v>
      </c>
      <c r="ABG44" s="2"/>
      <c r="ABH44" s="2"/>
      <c r="ABI44" s="2"/>
      <c r="ABJ44" s="2">
        <v>8</v>
      </c>
      <c r="ABK44" s="2">
        <v>28</v>
      </c>
      <c r="ABL44" s="2"/>
      <c r="ABM44" s="2"/>
      <c r="ABN44" s="2">
        <v>8</v>
      </c>
      <c r="ABO44" s="2"/>
      <c r="ABP44" s="2"/>
      <c r="ABQ44" s="2"/>
      <c r="ABR44" s="2">
        <v>8</v>
      </c>
      <c r="ABS44" s="2">
        <v>16</v>
      </c>
      <c r="ABT44" s="2"/>
      <c r="ABU44" s="2"/>
      <c r="ABV44" s="2"/>
      <c r="ABW44" s="2"/>
      <c r="ABX44" s="2"/>
      <c r="ABY44" s="2"/>
      <c r="ABZ44" s="2">
        <f>8+20</f>
        <v>28</v>
      </c>
      <c r="ACA44" s="2"/>
      <c r="ACB44" s="2">
        <v>23</v>
      </c>
      <c r="ACC44" s="2">
        <v>4</v>
      </c>
      <c r="ACD44" s="2">
        <v>4</v>
      </c>
      <c r="ACE44" s="2">
        <v>32</v>
      </c>
      <c r="ACF44" s="2">
        <v>16</v>
      </c>
      <c r="ACG44" s="2"/>
      <c r="ACH44" s="2"/>
      <c r="ACI44" s="2"/>
      <c r="ACJ44" s="2"/>
      <c r="ACK44" s="2"/>
      <c r="ACL44" s="2"/>
      <c r="ACM44" s="2">
        <v>16</v>
      </c>
      <c r="ACN44" s="2"/>
      <c r="ACO44" s="2"/>
      <c r="ACP44" s="2"/>
      <c r="ACQ44" s="2"/>
      <c r="ACR44" s="2">
        <v>4</v>
      </c>
      <c r="ACS44" s="2">
        <f>13+8</f>
        <v>21</v>
      </c>
      <c r="ACT44" s="2"/>
      <c r="ACU44" s="2"/>
      <c r="ACV44" s="2">
        <f>17+3</f>
        <v>20</v>
      </c>
      <c r="ACW44" s="2"/>
      <c r="ACX44" s="2"/>
      <c r="ACY44" s="2"/>
      <c r="ACZ44" s="2">
        <v>4</v>
      </c>
      <c r="ADA44" s="2"/>
      <c r="ADB44" s="2"/>
      <c r="ADC44" s="2"/>
      <c r="ADD44" s="2">
        <v>56</v>
      </c>
      <c r="ADE44" s="2"/>
      <c r="ADF44" s="2">
        <v>4</v>
      </c>
      <c r="ADG44" s="2"/>
      <c r="ADH44" s="2"/>
      <c r="ADI44" s="2"/>
      <c r="ADJ44" s="2"/>
      <c r="ADK44" s="2"/>
      <c r="ADL44" s="2"/>
      <c r="ADM44" s="2"/>
      <c r="ADN44" s="2">
        <v>4</v>
      </c>
      <c r="ADO44" s="2"/>
      <c r="ADP44" s="2"/>
      <c r="ADQ44" s="2">
        <v>24</v>
      </c>
      <c r="ADR44" s="2"/>
      <c r="ADS44" s="2">
        <v>4</v>
      </c>
      <c r="ADT44" s="2"/>
      <c r="ADU44" s="2">
        <v>20</v>
      </c>
      <c r="ADV44" s="2"/>
      <c r="ADW44" s="2"/>
      <c r="ADX44" s="2"/>
      <c r="ADY44" s="2">
        <v>7</v>
      </c>
      <c r="ADZ44" s="2"/>
      <c r="AEA44" s="2">
        <v>16</v>
      </c>
      <c r="AEB44" s="2">
        <v>17</v>
      </c>
      <c r="AEC44" s="2">
        <v>8</v>
      </c>
      <c r="AED44" s="2"/>
      <c r="AEE44" s="2"/>
      <c r="AEF44" s="2">
        <v>4</v>
      </c>
      <c r="AEG44" s="2"/>
      <c r="AEH44" s="2">
        <v>16</v>
      </c>
      <c r="AEI44" s="2">
        <v>8</v>
      </c>
      <c r="AEJ44" s="2"/>
      <c r="AEK44" s="2">
        <v>16</v>
      </c>
      <c r="AEL44" s="2"/>
      <c r="AEM44" s="2"/>
      <c r="AEN44" s="2"/>
      <c r="AEO44" s="2"/>
      <c r="AEP44" s="2">
        <v>4</v>
      </c>
      <c r="AEQ44" s="2">
        <v>16</v>
      </c>
      <c r="AER44" s="2">
        <v>36</v>
      </c>
      <c r="AES44" s="2">
        <f>4+12</f>
        <v>16</v>
      </c>
      <c r="AET44" s="2"/>
      <c r="AEU44" s="2"/>
      <c r="AEV44" s="2"/>
      <c r="AEW44" s="2">
        <v>8</v>
      </c>
      <c r="AEX44" s="2">
        <v>15</v>
      </c>
      <c r="AEY44" s="2"/>
      <c r="AEZ44" s="2"/>
      <c r="AFA44" s="2">
        <f>12+8</f>
        <v>20</v>
      </c>
      <c r="AFB44" s="2"/>
      <c r="AFC44" s="2"/>
      <c r="AFD44" s="2"/>
      <c r="AFE44" s="2"/>
      <c r="AFF44" s="2"/>
      <c r="AFG44" s="2"/>
      <c r="AFH44" s="2"/>
      <c r="AFI44" s="2"/>
      <c r="AFJ44" s="2"/>
      <c r="AFK44" s="2"/>
      <c r="AFL44" s="2">
        <f t="shared" si="0"/>
        <v>2979</v>
      </c>
    </row>
    <row r="45" spans="1:844" s="11" customFormat="1" x14ac:dyDescent="0.3">
      <c r="B45" s="91">
        <v>550026697</v>
      </c>
      <c r="C45" s="52" t="s">
        <v>115</v>
      </c>
      <c r="D45" s="35" t="s">
        <v>5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>
        <v>420</v>
      </c>
      <c r="FR45" s="2"/>
      <c r="FS45" s="2">
        <f>252+168</f>
        <v>420</v>
      </c>
      <c r="FT45" s="2">
        <v>84</v>
      </c>
      <c r="FU45" s="2">
        <f>84+42+42</f>
        <v>168</v>
      </c>
      <c r="FV45" s="2"/>
      <c r="FW45" s="2">
        <v>126</v>
      </c>
      <c r="FX45" s="2"/>
      <c r="FY45" s="2"/>
      <c r="FZ45" s="2"/>
      <c r="GA45" s="2"/>
      <c r="GB45" s="2">
        <v>1</v>
      </c>
      <c r="GC45" s="2">
        <v>84</v>
      </c>
      <c r="GD45" s="2">
        <v>42</v>
      </c>
      <c r="GE45" s="2"/>
      <c r="GF45" s="2">
        <f>42+63+84</f>
        <v>189</v>
      </c>
      <c r="GG45" s="2"/>
      <c r="GH45" s="2"/>
      <c r="GI45" s="2"/>
      <c r="GJ45" s="2"/>
      <c r="GK45" s="2">
        <v>84</v>
      </c>
      <c r="GL45" s="2"/>
      <c r="GM45" s="2"/>
      <c r="GN45" s="2"/>
      <c r="GO45" s="2"/>
      <c r="GP45" s="2">
        <v>62</v>
      </c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>
        <v>15</v>
      </c>
      <c r="HN45" s="2"/>
      <c r="HO45" s="2">
        <v>84</v>
      </c>
      <c r="HP45" s="2"/>
      <c r="HQ45" s="2"/>
      <c r="HR45" s="2">
        <v>42</v>
      </c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>
        <v>84</v>
      </c>
      <c r="IF45" s="2"/>
      <c r="IG45" s="2"/>
      <c r="IH45" s="2"/>
      <c r="II45" s="2">
        <f>42</f>
        <v>42</v>
      </c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>
        <f>42+42</f>
        <v>84</v>
      </c>
      <c r="IU45" s="2"/>
      <c r="IV45" s="2">
        <v>252</v>
      </c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>
        <v>84</v>
      </c>
      <c r="JU45" s="2"/>
      <c r="JV45" s="2"/>
      <c r="JW45" s="2"/>
      <c r="JX45" s="2"/>
      <c r="JY45" s="2"/>
      <c r="JZ45" s="2"/>
      <c r="KA45" s="2">
        <v>84</v>
      </c>
      <c r="KB45" s="2">
        <v>42</v>
      </c>
      <c r="KC45" s="2"/>
      <c r="KD45" s="2"/>
      <c r="KE45" s="2"/>
      <c r="KF45" s="2"/>
      <c r="KG45" s="2"/>
      <c r="KH45" s="2">
        <f>42</f>
        <v>42</v>
      </c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>
        <v>42</v>
      </c>
      <c r="KU45" s="2"/>
      <c r="KV45" s="2"/>
      <c r="KW45" s="2"/>
      <c r="KX45" s="2"/>
      <c r="KY45" s="2">
        <f>126+42</f>
        <v>168</v>
      </c>
      <c r="KZ45" s="2"/>
      <c r="LA45" s="2"/>
      <c r="LB45" s="2">
        <v>2</v>
      </c>
      <c r="LC45" s="2">
        <f>84+42</f>
        <v>126</v>
      </c>
      <c r="LD45" s="2"/>
      <c r="LE45" s="2"/>
      <c r="LF45" s="2"/>
      <c r="LG45" s="2">
        <f>84+84</f>
        <v>168</v>
      </c>
      <c r="LH45" s="2"/>
      <c r="LI45" s="2">
        <v>42</v>
      </c>
      <c r="LJ45" s="2">
        <v>42</v>
      </c>
      <c r="LK45" s="2"/>
      <c r="LL45" s="2">
        <v>84</v>
      </c>
      <c r="LM45" s="2"/>
      <c r="LN45" s="2"/>
      <c r="LO45" s="2"/>
      <c r="LP45" s="2"/>
      <c r="LQ45" s="2"/>
      <c r="LR45" s="2">
        <v>84</v>
      </c>
      <c r="LS45" s="2"/>
      <c r="LT45" s="2"/>
      <c r="LU45" s="12">
        <f>42+5</f>
        <v>47</v>
      </c>
      <c r="LV45" s="2"/>
      <c r="LW45" s="2"/>
      <c r="LX45" s="2"/>
      <c r="LY45" s="2"/>
      <c r="LZ45" s="2"/>
      <c r="MA45" s="2"/>
      <c r="MB45" s="2"/>
      <c r="MC45" s="2"/>
      <c r="MD45" s="2"/>
      <c r="ME45" s="2">
        <v>42</v>
      </c>
      <c r="MF45" s="2"/>
      <c r="MG45" s="2">
        <v>84</v>
      </c>
      <c r="MH45" s="2"/>
      <c r="MI45" s="2">
        <f>42+126+1</f>
        <v>169</v>
      </c>
      <c r="MJ45" s="2">
        <v>42</v>
      </c>
      <c r="MK45" s="2"/>
      <c r="ML45" s="2"/>
      <c r="MM45" s="2"/>
      <c r="MN45" s="2"/>
      <c r="MO45" s="2"/>
      <c r="MP45" s="2"/>
      <c r="MQ45" s="2"/>
      <c r="MR45" s="2"/>
      <c r="MS45" s="2"/>
      <c r="MT45" s="2">
        <v>42</v>
      </c>
      <c r="MU45" s="2"/>
      <c r="MV45" s="2"/>
      <c r="MW45" s="2"/>
      <c r="MX45" s="2"/>
      <c r="MY45" s="2"/>
      <c r="MZ45" s="2"/>
      <c r="NA45" s="2"/>
      <c r="NB45" s="2"/>
      <c r="NC45" s="2"/>
      <c r="ND45" s="2">
        <v>3</v>
      </c>
      <c r="NE45" s="2">
        <v>84</v>
      </c>
      <c r="NF45" s="2"/>
      <c r="NG45" s="2">
        <v>84</v>
      </c>
      <c r="NH45" s="2"/>
      <c r="NI45" s="2"/>
      <c r="NJ45" s="2">
        <v>126</v>
      </c>
      <c r="NK45" s="2"/>
      <c r="NL45" s="2"/>
      <c r="NM45" s="2">
        <v>42</v>
      </c>
      <c r="NN45" s="2">
        <v>84</v>
      </c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>
        <v>42</v>
      </c>
      <c r="OE45" s="2"/>
      <c r="OF45" s="2"/>
      <c r="OG45" s="2"/>
      <c r="OH45" s="2">
        <f>42+84+2</f>
        <v>128</v>
      </c>
      <c r="OI45" s="2">
        <v>42</v>
      </c>
      <c r="OJ45" s="2">
        <v>42</v>
      </c>
      <c r="OK45" s="2"/>
      <c r="OL45" s="2"/>
      <c r="OM45" s="2"/>
      <c r="ON45" s="2">
        <v>84</v>
      </c>
      <c r="OO45" s="2"/>
      <c r="OP45" s="2"/>
      <c r="OQ45" s="2">
        <f>42+42+42+42</f>
        <v>168</v>
      </c>
      <c r="OR45" s="2"/>
      <c r="OS45" s="2">
        <v>42</v>
      </c>
      <c r="OT45" s="2"/>
      <c r="OU45" s="2"/>
      <c r="OV45" s="2"/>
      <c r="OW45" s="2">
        <v>42</v>
      </c>
      <c r="OX45" s="2"/>
      <c r="OY45" s="2"/>
      <c r="OZ45" s="2"/>
      <c r="PA45" s="2">
        <f>126</f>
        <v>126</v>
      </c>
      <c r="PB45" s="2"/>
      <c r="PC45" s="2"/>
      <c r="PD45" s="2"/>
      <c r="PE45" s="2">
        <f>84+210</f>
        <v>294</v>
      </c>
      <c r="PF45" s="2">
        <f>42+42+42</f>
        <v>126</v>
      </c>
      <c r="PG45" s="2"/>
      <c r="PH45" s="2"/>
      <c r="PI45" s="2"/>
      <c r="PJ45" s="2">
        <v>168</v>
      </c>
      <c r="PK45" s="2">
        <v>42</v>
      </c>
      <c r="PL45" s="2"/>
      <c r="PM45" s="2"/>
      <c r="PN45" s="2">
        <f>42</f>
        <v>42</v>
      </c>
      <c r="PO45" s="2">
        <f>126</f>
        <v>126</v>
      </c>
      <c r="PP45" s="2"/>
      <c r="PQ45" s="2"/>
      <c r="PR45" s="2">
        <v>42</v>
      </c>
      <c r="PS45" s="2">
        <v>84</v>
      </c>
      <c r="PT45" s="2">
        <v>42</v>
      </c>
      <c r="PU45" s="2"/>
      <c r="PV45" s="2">
        <f>84+84+42</f>
        <v>210</v>
      </c>
      <c r="PW45" s="2"/>
      <c r="PX45" s="2">
        <v>336</v>
      </c>
      <c r="PY45" s="2"/>
      <c r="PZ45" s="2"/>
      <c r="QA45" s="2">
        <v>42</v>
      </c>
      <c r="QB45" s="2">
        <v>42</v>
      </c>
      <c r="QC45" s="2">
        <f>168+84</f>
        <v>252</v>
      </c>
      <c r="QD45" s="2"/>
      <c r="QE45" s="2">
        <v>126</v>
      </c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>
        <f>42</f>
        <v>42</v>
      </c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>
        <f>2</f>
        <v>2</v>
      </c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>
        <f>126+42</f>
        <v>168</v>
      </c>
      <c r="SB45" s="2"/>
      <c r="SC45" s="2">
        <f>126</f>
        <v>126</v>
      </c>
      <c r="SD45" s="2"/>
      <c r="SE45" s="2"/>
      <c r="SF45" s="2">
        <f>42</f>
        <v>42</v>
      </c>
      <c r="SG45" s="2"/>
      <c r="SH45" s="2">
        <f>42+42</f>
        <v>84</v>
      </c>
      <c r="SI45" s="2">
        <f>42+42+42+42</f>
        <v>168</v>
      </c>
      <c r="SJ45" s="2">
        <f>84</f>
        <v>84</v>
      </c>
      <c r="SK45" s="2"/>
      <c r="SL45" s="2"/>
      <c r="SM45" s="2"/>
      <c r="SN45" s="2"/>
      <c r="SO45" s="2">
        <f>42</f>
        <v>42</v>
      </c>
      <c r="SP45" s="2">
        <f>42</f>
        <v>42</v>
      </c>
      <c r="SQ45" s="2"/>
      <c r="SR45" s="2"/>
      <c r="SS45" s="2"/>
      <c r="ST45" s="2"/>
      <c r="SU45" s="2">
        <f>42</f>
        <v>42</v>
      </c>
      <c r="SV45" s="2">
        <v>42</v>
      </c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>
        <v>10</v>
      </c>
      <c r="UL45" s="2"/>
      <c r="UM45" s="2"/>
      <c r="UN45" s="2"/>
      <c r="UO45" s="2">
        <v>2</v>
      </c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>
        <v>84</v>
      </c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>
        <v>84</v>
      </c>
      <c r="WW45" s="2"/>
      <c r="WX45" s="2"/>
      <c r="WY45" s="2">
        <v>84</v>
      </c>
      <c r="WZ45" s="2">
        <v>84</v>
      </c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>
        <f>84+42+84</f>
        <v>210</v>
      </c>
      <c r="XN45" s="2">
        <f>168+42</f>
        <v>210</v>
      </c>
      <c r="XO45" s="2">
        <v>168</v>
      </c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>
        <v>109</v>
      </c>
      <c r="YW45" s="2"/>
      <c r="YX45" s="2"/>
      <c r="YY45" s="2"/>
      <c r="YZ45" s="2"/>
      <c r="ZA45" s="2">
        <v>42</v>
      </c>
      <c r="ZB45" s="2"/>
      <c r="ZC45" s="2"/>
      <c r="ZD45" s="2"/>
      <c r="ZE45" s="2"/>
      <c r="ZF45" s="2">
        <v>126</v>
      </c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>
        <f>42+42</f>
        <v>84</v>
      </c>
      <c r="ZV45" s="2"/>
      <c r="ZW45" s="2"/>
      <c r="ZX45" s="2"/>
      <c r="ZY45" s="2"/>
      <c r="ZZ45" s="2">
        <f>26+42</f>
        <v>68</v>
      </c>
      <c r="AAA45" s="2"/>
      <c r="AAB45" s="2"/>
      <c r="AAC45" s="2"/>
      <c r="AAD45" s="2"/>
      <c r="AAE45" s="2"/>
      <c r="AAF45" s="2">
        <v>42</v>
      </c>
      <c r="AAG45" s="2"/>
      <c r="AAH45" s="2"/>
      <c r="AAI45" s="2"/>
      <c r="AAJ45" s="2"/>
      <c r="AAK45" s="2"/>
      <c r="AAL45" s="2"/>
      <c r="AAM45" s="2"/>
      <c r="AAN45" s="2"/>
      <c r="AAO45" s="2"/>
      <c r="AAP45" s="2"/>
      <c r="AAQ45" s="2"/>
      <c r="AAR45" s="2"/>
      <c r="AAS45" s="2"/>
      <c r="AAT45" s="2"/>
      <c r="AAU45" s="2"/>
      <c r="AAV45" s="2"/>
      <c r="AAW45" s="2"/>
      <c r="AAX45" s="2"/>
      <c r="AAY45" s="2"/>
      <c r="AAZ45" s="2">
        <f>84+84</f>
        <v>168</v>
      </c>
      <c r="ABA45" s="2"/>
      <c r="ABB45" s="2"/>
      <c r="ABC45" s="2"/>
      <c r="ABD45" s="2"/>
      <c r="ABE45" s="2"/>
      <c r="ABF45" s="2">
        <v>42</v>
      </c>
      <c r="ABG45" s="2"/>
      <c r="ABH45" s="2"/>
      <c r="ABI45" s="2"/>
      <c r="ABJ45" s="2"/>
      <c r="ABK45" s="2"/>
      <c r="ABL45" s="2">
        <v>42</v>
      </c>
      <c r="ABM45" s="2"/>
      <c r="ABN45" s="2"/>
      <c r="ABO45" s="2"/>
      <c r="ABP45" s="2"/>
      <c r="ABQ45" s="2"/>
      <c r="ABR45" s="2"/>
      <c r="ABS45" s="2"/>
      <c r="ABT45" s="2"/>
      <c r="ABU45" s="2"/>
      <c r="ABV45" s="2"/>
      <c r="ABW45" s="2"/>
      <c r="ABX45" s="2"/>
      <c r="ABY45" s="2"/>
      <c r="ABZ45" s="2">
        <v>42</v>
      </c>
      <c r="ACA45" s="2">
        <f>42+42+42</f>
        <v>126</v>
      </c>
      <c r="ACB45" s="2"/>
      <c r="ACC45" s="2"/>
      <c r="ACD45" s="2"/>
      <c r="ACE45" s="2">
        <v>42</v>
      </c>
      <c r="ACF45" s="2"/>
      <c r="ACG45" s="2"/>
      <c r="ACH45" s="2"/>
      <c r="ACI45" s="2"/>
      <c r="ACJ45" s="2"/>
      <c r="ACK45" s="2">
        <v>3</v>
      </c>
      <c r="ACL45" s="2">
        <v>4</v>
      </c>
      <c r="ACM45" s="2">
        <v>42</v>
      </c>
      <c r="ACN45" s="2"/>
      <c r="ACO45" s="2"/>
      <c r="ACP45" s="2"/>
      <c r="ACQ45" s="2"/>
      <c r="ACR45" s="2"/>
      <c r="ACS45" s="2"/>
      <c r="ACT45" s="2"/>
      <c r="ACU45" s="2"/>
      <c r="ACV45" s="2"/>
      <c r="ACW45" s="2"/>
      <c r="ACX45" s="2">
        <v>42</v>
      </c>
      <c r="ACY45" s="2"/>
      <c r="ACZ45" s="2"/>
      <c r="ADA45" s="2"/>
      <c r="ADB45" s="2"/>
      <c r="ADC45" s="2"/>
      <c r="ADD45" s="2"/>
      <c r="ADE45" s="2"/>
      <c r="ADF45" s="2">
        <f>42+84</f>
        <v>126</v>
      </c>
      <c r="ADG45" s="2"/>
      <c r="ADH45" s="2"/>
      <c r="ADI45" s="2"/>
      <c r="ADJ45" s="2"/>
      <c r="ADK45" s="2"/>
      <c r="ADL45" s="2"/>
      <c r="ADM45" s="2"/>
      <c r="ADN45" s="2"/>
      <c r="ADO45" s="2"/>
      <c r="ADP45" s="2"/>
      <c r="ADQ45" s="2"/>
      <c r="ADR45" s="2"/>
      <c r="ADS45" s="2"/>
      <c r="ADT45" s="2"/>
      <c r="ADU45" s="2">
        <v>42</v>
      </c>
      <c r="ADV45" s="2"/>
      <c r="ADW45" s="2">
        <v>3</v>
      </c>
      <c r="ADX45" s="2"/>
      <c r="ADY45" s="2"/>
      <c r="ADZ45" s="2"/>
      <c r="AEA45" s="2"/>
      <c r="AEB45" s="2"/>
      <c r="AEC45" s="2"/>
      <c r="AED45" s="2">
        <v>42</v>
      </c>
      <c r="AEE45" s="2"/>
      <c r="AEF45" s="2"/>
      <c r="AEG45" s="2"/>
      <c r="AEH45" s="2"/>
      <c r="AEI45" s="2">
        <v>42</v>
      </c>
      <c r="AEJ45" s="2"/>
      <c r="AEK45" s="2">
        <v>42</v>
      </c>
      <c r="AEL45" s="2"/>
      <c r="AEM45" s="2">
        <v>84</v>
      </c>
      <c r="AEN45" s="2"/>
      <c r="AEO45" s="2"/>
      <c r="AEP45" s="2"/>
      <c r="AEQ45" s="2"/>
      <c r="AER45" s="2">
        <f>42+6</f>
        <v>48</v>
      </c>
      <c r="AES45" s="2"/>
      <c r="AET45" s="2"/>
      <c r="AEU45" s="2"/>
      <c r="AEV45" s="2">
        <v>42</v>
      </c>
      <c r="AEW45" s="2">
        <v>42</v>
      </c>
      <c r="AEX45" s="2"/>
      <c r="AEY45" s="2"/>
      <c r="AEZ45" s="2"/>
      <c r="AFA45" s="2">
        <v>42</v>
      </c>
      <c r="AFB45" s="2"/>
      <c r="AFC45" s="2"/>
      <c r="AFD45" s="2"/>
      <c r="AFE45" s="2"/>
      <c r="AFF45" s="2"/>
      <c r="AFG45" s="2"/>
      <c r="AFH45" s="2"/>
      <c r="AFI45" s="2"/>
      <c r="AFJ45" s="2"/>
      <c r="AFK45" s="2"/>
      <c r="AFL45" s="2">
        <f t="shared" si="0"/>
        <v>10231</v>
      </c>
    </row>
    <row r="46" spans="1:844" ht="14.25" customHeight="1" x14ac:dyDescent="0.3">
      <c r="B46" s="91">
        <v>550022488</v>
      </c>
      <c r="C46" s="52" t="s">
        <v>117</v>
      </c>
      <c r="D46" s="35" t="s">
        <v>18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>
        <v>20</v>
      </c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>
        <v>10</v>
      </c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  <c r="AAA46" s="2"/>
      <c r="AAB46" s="2"/>
      <c r="AAC46" s="2"/>
      <c r="AAD46" s="2"/>
      <c r="AAE46" s="2"/>
      <c r="AAF46" s="2"/>
      <c r="AAG46" s="2">
        <v>10</v>
      </c>
      <c r="AAH46" s="2"/>
      <c r="AAI46" s="2"/>
      <c r="AAJ46" s="2"/>
      <c r="AAK46" s="2"/>
      <c r="AAL46" s="2"/>
      <c r="AAM46" s="2"/>
      <c r="AAN46" s="2"/>
      <c r="AAO46" s="2"/>
      <c r="AAP46" s="2"/>
      <c r="AAQ46" s="2"/>
      <c r="AAR46" s="2"/>
      <c r="AAS46" s="2"/>
      <c r="AAT46" s="2"/>
      <c r="AAU46" s="2"/>
      <c r="AAV46" s="2"/>
      <c r="AAW46" s="2"/>
      <c r="AAX46" s="2"/>
      <c r="AAY46" s="2"/>
      <c r="AAZ46" s="2"/>
      <c r="ABA46" s="2"/>
      <c r="ABB46" s="2"/>
      <c r="ABC46" s="2"/>
      <c r="ABD46" s="2"/>
      <c r="ABE46" s="2"/>
      <c r="ABF46" s="2"/>
      <c r="ABG46" s="2"/>
      <c r="ABH46" s="2"/>
      <c r="ABI46" s="2"/>
      <c r="ABJ46" s="2"/>
      <c r="ABK46" s="2"/>
      <c r="ABL46" s="2"/>
      <c r="ABM46" s="2"/>
      <c r="ABN46" s="2"/>
      <c r="ABO46" s="2"/>
      <c r="ABP46" s="2"/>
      <c r="ABQ46" s="2"/>
      <c r="ABR46" s="2"/>
      <c r="ABS46" s="2"/>
      <c r="ABT46" s="2"/>
      <c r="ABU46" s="2"/>
      <c r="ABV46" s="2"/>
      <c r="ABW46" s="2"/>
      <c r="ABX46" s="2"/>
      <c r="ABY46" s="2"/>
      <c r="ABZ46" s="2"/>
      <c r="ACA46" s="2"/>
      <c r="ACB46" s="2"/>
      <c r="ACC46" s="2"/>
      <c r="ACD46" s="2"/>
      <c r="ACE46" s="2"/>
      <c r="ACF46" s="2"/>
      <c r="ACG46" s="2"/>
      <c r="ACH46" s="2"/>
      <c r="ACI46" s="2"/>
      <c r="ACJ46" s="2"/>
      <c r="ACK46" s="2"/>
      <c r="ACL46" s="2"/>
      <c r="ACM46" s="2"/>
      <c r="ACN46" s="2"/>
      <c r="ACO46" s="2"/>
      <c r="ACP46" s="2"/>
      <c r="ACQ46" s="2"/>
      <c r="ACR46" s="2"/>
      <c r="ACS46" s="2"/>
      <c r="ACT46" s="2"/>
      <c r="ACU46" s="2"/>
      <c r="ACV46" s="2"/>
      <c r="ACW46" s="2"/>
      <c r="ACX46" s="2"/>
      <c r="ACY46" s="2"/>
      <c r="ACZ46" s="2"/>
      <c r="ADA46" s="2"/>
      <c r="ADB46" s="2"/>
      <c r="ADC46" s="2"/>
      <c r="ADD46" s="2"/>
      <c r="ADE46" s="2"/>
      <c r="ADF46" s="2"/>
      <c r="ADG46" s="2"/>
      <c r="ADH46" s="2"/>
      <c r="ADI46" s="2"/>
      <c r="ADJ46" s="2"/>
      <c r="ADK46" s="2">
        <v>5</v>
      </c>
      <c r="ADL46" s="2"/>
      <c r="ADM46" s="2"/>
      <c r="ADN46" s="2"/>
      <c r="ADO46" s="2"/>
      <c r="ADP46" s="2"/>
      <c r="ADQ46" s="2"/>
      <c r="ADR46" s="2"/>
      <c r="ADS46" s="2"/>
      <c r="ADT46" s="2"/>
      <c r="ADU46" s="2"/>
      <c r="ADV46" s="2"/>
      <c r="ADW46" s="2"/>
      <c r="ADX46" s="2"/>
      <c r="ADY46" s="2"/>
      <c r="ADZ46" s="2"/>
      <c r="AEA46" s="2"/>
      <c r="AEB46" s="2"/>
      <c r="AEC46" s="2">
        <v>2</v>
      </c>
      <c r="AED46" s="2"/>
      <c r="AEE46" s="2"/>
      <c r="AEF46" s="2"/>
      <c r="AEG46" s="2"/>
      <c r="AEH46" s="2"/>
      <c r="AEI46" s="2"/>
      <c r="AEJ46" s="2"/>
      <c r="AEK46" s="2"/>
      <c r="AEL46" s="2"/>
      <c r="AEM46" s="2"/>
      <c r="AEN46" s="2"/>
      <c r="AEO46" s="2"/>
      <c r="AEP46" s="2"/>
      <c r="AEQ46" s="2"/>
      <c r="AER46" s="2"/>
      <c r="AES46" s="2"/>
      <c r="AET46" s="2"/>
      <c r="AEU46" s="2"/>
      <c r="AEV46" s="2"/>
      <c r="AEW46" s="2"/>
      <c r="AEX46" s="2"/>
      <c r="AEY46" s="2"/>
      <c r="AEZ46" s="2"/>
      <c r="AFA46" s="2"/>
      <c r="AFB46" s="2"/>
      <c r="AFC46" s="2"/>
      <c r="AFD46" s="2"/>
      <c r="AFE46" s="2"/>
      <c r="AFF46" s="2"/>
      <c r="AFG46" s="2"/>
      <c r="AFH46" s="2"/>
      <c r="AFI46" s="2"/>
      <c r="AFJ46" s="2"/>
      <c r="AFK46" s="2"/>
      <c r="AFL46" s="2">
        <f t="shared" si="0"/>
        <v>47</v>
      </c>
    </row>
    <row r="47" spans="1:844" s="11" customFormat="1" x14ac:dyDescent="0.3">
      <c r="B47" s="91">
        <v>550036571</v>
      </c>
      <c r="C47" s="52" t="s">
        <v>119</v>
      </c>
      <c r="D47" s="35" t="s">
        <v>18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>
        <v>20</v>
      </c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>
        <v>4</v>
      </c>
      <c r="ER47" s="2"/>
      <c r="ES47" s="2"/>
      <c r="ET47" s="2"/>
      <c r="EU47" s="2"/>
      <c r="EV47" s="2"/>
      <c r="EW47" s="2">
        <v>8</v>
      </c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>
        <v>4</v>
      </c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  <c r="AAA47" s="2"/>
      <c r="AAB47" s="2"/>
      <c r="AAC47" s="2"/>
      <c r="AAD47" s="2"/>
      <c r="AAE47" s="2"/>
      <c r="AAF47" s="2"/>
      <c r="AAG47" s="2"/>
      <c r="AAH47" s="2"/>
      <c r="AAI47" s="2"/>
      <c r="AAJ47" s="2"/>
      <c r="AAK47" s="2"/>
      <c r="AAL47" s="2"/>
      <c r="AAM47" s="2"/>
      <c r="AAN47" s="2"/>
      <c r="AAO47" s="2"/>
      <c r="AAP47" s="2"/>
      <c r="AAQ47" s="2"/>
      <c r="AAR47" s="2"/>
      <c r="AAS47" s="2"/>
      <c r="AAT47" s="2"/>
      <c r="AAU47" s="2"/>
      <c r="AAV47" s="2"/>
      <c r="AAW47" s="2"/>
      <c r="AAX47" s="2"/>
      <c r="AAY47" s="2"/>
      <c r="AAZ47" s="2"/>
      <c r="ABA47" s="2"/>
      <c r="ABB47" s="2"/>
      <c r="ABC47" s="2"/>
      <c r="ABD47" s="2"/>
      <c r="ABE47" s="2"/>
      <c r="ABF47" s="2"/>
      <c r="ABG47" s="2"/>
      <c r="ABH47" s="2"/>
      <c r="ABI47" s="2"/>
      <c r="ABJ47" s="2"/>
      <c r="ABK47" s="2"/>
      <c r="ABL47" s="2"/>
      <c r="ABM47" s="2"/>
      <c r="ABN47" s="2"/>
      <c r="ABO47" s="2"/>
      <c r="ABP47" s="2"/>
      <c r="ABQ47" s="2"/>
      <c r="ABR47" s="2"/>
      <c r="ABS47" s="2"/>
      <c r="ABT47" s="2"/>
      <c r="ABU47" s="2"/>
      <c r="ABV47" s="2"/>
      <c r="ABW47" s="2"/>
      <c r="ABX47" s="2"/>
      <c r="ABY47" s="2"/>
      <c r="ABZ47" s="2"/>
      <c r="ACA47" s="2"/>
      <c r="ACB47" s="2"/>
      <c r="ACC47" s="2"/>
      <c r="ACD47" s="2"/>
      <c r="ACE47" s="2"/>
      <c r="ACF47" s="2"/>
      <c r="ACG47" s="2"/>
      <c r="ACH47" s="2"/>
      <c r="ACI47" s="2"/>
      <c r="ACJ47" s="2"/>
      <c r="ACK47" s="2"/>
      <c r="ACL47" s="2"/>
      <c r="ACM47" s="2"/>
      <c r="ACN47" s="2"/>
      <c r="ACO47" s="2"/>
      <c r="ACP47" s="2"/>
      <c r="ACQ47" s="2"/>
      <c r="ACR47" s="2"/>
      <c r="ACS47" s="2"/>
      <c r="ACT47" s="2"/>
      <c r="ACU47" s="2"/>
      <c r="ACV47" s="2"/>
      <c r="ACW47" s="2"/>
      <c r="ACX47" s="2"/>
      <c r="ACY47" s="2"/>
      <c r="ACZ47" s="2"/>
      <c r="ADA47" s="2"/>
      <c r="ADB47" s="2"/>
      <c r="ADC47" s="2"/>
      <c r="ADD47" s="2"/>
      <c r="ADE47" s="2"/>
      <c r="ADF47" s="2"/>
      <c r="ADG47" s="2"/>
      <c r="ADH47" s="2"/>
      <c r="ADI47" s="2"/>
      <c r="ADJ47" s="2"/>
      <c r="ADK47" s="2"/>
      <c r="ADL47" s="2"/>
      <c r="ADM47" s="2"/>
      <c r="ADN47" s="2"/>
      <c r="ADO47" s="2"/>
      <c r="ADP47" s="2"/>
      <c r="ADQ47" s="2"/>
      <c r="ADR47" s="2"/>
      <c r="ADS47" s="2"/>
      <c r="ADT47" s="2"/>
      <c r="ADU47" s="2"/>
      <c r="ADV47" s="2"/>
      <c r="ADW47" s="2"/>
      <c r="ADX47" s="2"/>
      <c r="ADY47" s="2"/>
      <c r="ADZ47" s="2"/>
      <c r="AEA47" s="2"/>
      <c r="AEB47" s="2"/>
      <c r="AEC47" s="2"/>
      <c r="AED47" s="2"/>
      <c r="AEE47" s="2"/>
      <c r="AEF47" s="2"/>
      <c r="AEG47" s="2"/>
      <c r="AEH47" s="2"/>
      <c r="AEI47" s="2"/>
      <c r="AEJ47" s="2"/>
      <c r="AEK47" s="2"/>
      <c r="AEL47" s="2"/>
      <c r="AEM47" s="2"/>
      <c r="AEN47" s="2"/>
      <c r="AEO47" s="2"/>
      <c r="AEP47" s="2"/>
      <c r="AEQ47" s="2"/>
      <c r="AER47" s="2"/>
      <c r="AES47" s="2"/>
      <c r="AET47" s="2"/>
      <c r="AEU47" s="2"/>
      <c r="AEV47" s="2"/>
      <c r="AEW47" s="2"/>
      <c r="AEX47" s="2"/>
      <c r="AEY47" s="2"/>
      <c r="AEZ47" s="2"/>
      <c r="AFA47" s="2"/>
      <c r="AFB47" s="2"/>
      <c r="AFC47" s="2"/>
      <c r="AFD47" s="2"/>
      <c r="AFE47" s="2"/>
      <c r="AFF47" s="2"/>
      <c r="AFG47" s="2"/>
      <c r="AFH47" s="2"/>
      <c r="AFI47" s="2"/>
      <c r="AFJ47" s="2"/>
      <c r="AFK47" s="2"/>
      <c r="AFL47" s="2">
        <f t="shared" si="0"/>
        <v>36</v>
      </c>
    </row>
    <row r="48" spans="1:844" s="11" customFormat="1" x14ac:dyDescent="0.3">
      <c r="B48" s="91">
        <v>550036183</v>
      </c>
      <c r="C48" s="52" t="s">
        <v>121</v>
      </c>
      <c r="D48" s="35" t="s">
        <v>18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>
        <v>30</v>
      </c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>
        <v>1</v>
      </c>
      <c r="ZR48" s="2"/>
      <c r="ZS48" s="2"/>
      <c r="ZT48" s="2"/>
      <c r="ZU48" s="2"/>
      <c r="ZV48" s="2"/>
      <c r="ZW48" s="2"/>
      <c r="ZX48" s="2"/>
      <c r="ZY48" s="2"/>
      <c r="ZZ48" s="2"/>
      <c r="AAA48" s="2"/>
      <c r="AAB48" s="2"/>
      <c r="AAC48" s="2"/>
      <c r="AAD48" s="2"/>
      <c r="AAE48" s="2"/>
      <c r="AAF48" s="2"/>
      <c r="AAG48" s="2"/>
      <c r="AAH48" s="2"/>
      <c r="AAI48" s="2"/>
      <c r="AAJ48" s="2"/>
      <c r="AAK48" s="2"/>
      <c r="AAL48" s="2"/>
      <c r="AAM48" s="2"/>
      <c r="AAN48" s="2"/>
      <c r="AAO48" s="2"/>
      <c r="AAP48" s="2"/>
      <c r="AAQ48" s="2"/>
      <c r="AAR48" s="2"/>
      <c r="AAS48" s="2"/>
      <c r="AAT48" s="2"/>
      <c r="AAU48" s="2"/>
      <c r="AAV48" s="2"/>
      <c r="AAW48" s="2"/>
      <c r="AAX48" s="2"/>
      <c r="AAY48" s="2"/>
      <c r="AAZ48" s="2"/>
      <c r="ABA48" s="2"/>
      <c r="ABB48" s="2"/>
      <c r="ABC48" s="2"/>
      <c r="ABD48" s="2"/>
      <c r="ABE48" s="2"/>
      <c r="ABF48" s="2"/>
      <c r="ABG48" s="2"/>
      <c r="ABH48" s="2"/>
      <c r="ABI48" s="2"/>
      <c r="ABJ48" s="2"/>
      <c r="ABK48" s="2"/>
      <c r="ABL48" s="2"/>
      <c r="ABM48" s="2"/>
      <c r="ABN48" s="2"/>
      <c r="ABO48" s="2"/>
      <c r="ABP48" s="2"/>
      <c r="ABQ48" s="2"/>
      <c r="ABR48" s="2"/>
      <c r="ABS48" s="2"/>
      <c r="ABT48" s="2"/>
      <c r="ABU48" s="2"/>
      <c r="ABV48" s="2"/>
      <c r="ABW48" s="2"/>
      <c r="ABX48" s="2"/>
      <c r="ABY48" s="2"/>
      <c r="ABZ48" s="2"/>
      <c r="ACA48" s="2"/>
      <c r="ACB48" s="2"/>
      <c r="ACC48" s="2"/>
      <c r="ACD48" s="2"/>
      <c r="ACE48" s="2">
        <v>3</v>
      </c>
      <c r="ACF48" s="2"/>
      <c r="ACG48" s="2"/>
      <c r="ACH48" s="2"/>
      <c r="ACI48" s="2"/>
      <c r="ACJ48" s="2"/>
      <c r="ACK48" s="2"/>
      <c r="ACL48" s="2"/>
      <c r="ACM48" s="2"/>
      <c r="ACN48" s="2"/>
      <c r="ACO48" s="2"/>
      <c r="ACP48" s="2"/>
      <c r="ACQ48" s="2"/>
      <c r="ACR48" s="2"/>
      <c r="ACS48" s="2"/>
      <c r="ACT48" s="2"/>
      <c r="ACU48" s="2"/>
      <c r="ACV48" s="2"/>
      <c r="ACW48" s="2"/>
      <c r="ACX48" s="2"/>
      <c r="ACY48" s="2"/>
      <c r="ACZ48" s="2"/>
      <c r="ADA48" s="2"/>
      <c r="ADB48" s="2"/>
      <c r="ADC48" s="2"/>
      <c r="ADD48" s="2"/>
      <c r="ADE48" s="2"/>
      <c r="ADF48" s="2"/>
      <c r="ADG48" s="2"/>
      <c r="ADH48" s="2"/>
      <c r="ADI48" s="2"/>
      <c r="ADJ48" s="2"/>
      <c r="ADK48" s="2"/>
      <c r="ADL48" s="2"/>
      <c r="ADM48" s="2"/>
      <c r="ADN48" s="2"/>
      <c r="ADO48" s="2"/>
      <c r="ADP48" s="2"/>
      <c r="ADQ48" s="2"/>
      <c r="ADR48" s="2"/>
      <c r="ADS48" s="2"/>
      <c r="ADT48" s="2"/>
      <c r="ADU48" s="2"/>
      <c r="ADV48" s="2"/>
      <c r="ADW48" s="2"/>
      <c r="ADX48" s="2"/>
      <c r="ADY48" s="2"/>
      <c r="ADZ48" s="2"/>
      <c r="AEA48" s="2"/>
      <c r="AEB48" s="2"/>
      <c r="AEC48" s="2"/>
      <c r="AED48" s="2"/>
      <c r="AEE48" s="2"/>
      <c r="AEF48" s="2"/>
      <c r="AEG48" s="2"/>
      <c r="AEH48" s="2"/>
      <c r="AEI48" s="2"/>
      <c r="AEJ48" s="2"/>
      <c r="AEK48" s="2"/>
      <c r="AEL48" s="2"/>
      <c r="AEM48" s="2"/>
      <c r="AEN48" s="2"/>
      <c r="AEO48" s="2"/>
      <c r="AEP48" s="2"/>
      <c r="AEQ48" s="2"/>
      <c r="AER48" s="2"/>
      <c r="AES48" s="2"/>
      <c r="AET48" s="2"/>
      <c r="AEU48" s="2"/>
      <c r="AEV48" s="2"/>
      <c r="AEW48" s="2"/>
      <c r="AEX48" s="2"/>
      <c r="AEY48" s="2"/>
      <c r="AEZ48" s="2"/>
      <c r="AFA48" s="2"/>
      <c r="AFB48" s="2"/>
      <c r="AFC48" s="2"/>
      <c r="AFD48" s="2"/>
      <c r="AFE48" s="2"/>
      <c r="AFF48" s="2"/>
      <c r="AFG48" s="2"/>
      <c r="AFH48" s="2"/>
      <c r="AFI48" s="2"/>
      <c r="AFJ48" s="2"/>
      <c r="AFK48" s="2"/>
      <c r="AFL48" s="2">
        <f t="shared" si="0"/>
        <v>34</v>
      </c>
    </row>
    <row r="49" spans="1:844" s="11" customFormat="1" x14ac:dyDescent="0.3">
      <c r="B49" s="91">
        <v>550049771</v>
      </c>
      <c r="C49" s="52" t="s">
        <v>123</v>
      </c>
      <c r="D49" s="35" t="s">
        <v>2</v>
      </c>
      <c r="E49" s="2"/>
      <c r="F49" s="2"/>
      <c r="G49" s="2"/>
      <c r="H49" s="2"/>
      <c r="I49" s="2">
        <v>175</v>
      </c>
      <c r="J49" s="2"/>
      <c r="K49" s="2"/>
      <c r="L49" s="2"/>
      <c r="M49" s="2"/>
      <c r="N49" s="2"/>
      <c r="O49" s="2"/>
      <c r="P49" s="2"/>
      <c r="Q49" s="2">
        <v>175</v>
      </c>
      <c r="R49" s="2"/>
      <c r="S49" s="2"/>
      <c r="T49" s="2"/>
      <c r="U49" s="2"/>
      <c r="V49" s="2"/>
      <c r="W49" s="2"/>
      <c r="X49" s="2"/>
      <c r="Y49" s="2">
        <v>350</v>
      </c>
      <c r="Z49" s="2"/>
      <c r="AA49" s="2"/>
      <c r="AB49" s="2"/>
      <c r="AC49" s="2"/>
      <c r="AD49" s="2"/>
      <c r="AE49" s="2"/>
      <c r="AF49" s="2">
        <f>175+175</f>
        <v>350</v>
      </c>
      <c r="AG49" s="2"/>
      <c r="AH49" s="2"/>
      <c r="AI49" s="2"/>
      <c r="AJ49" s="2"/>
      <c r="AK49" s="2"/>
      <c r="AL49" s="2"/>
      <c r="AM49" s="2">
        <f>175+175</f>
        <v>350</v>
      </c>
      <c r="AN49" s="2"/>
      <c r="AO49" s="2"/>
      <c r="AP49" s="2">
        <v>350</v>
      </c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>
        <v>1</v>
      </c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>
        <v>175</v>
      </c>
      <c r="BU49" s="2">
        <f>175+175</f>
        <v>350</v>
      </c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>
        <v>175</v>
      </c>
      <c r="CX49" s="2"/>
      <c r="CY49" s="2"/>
      <c r="CZ49" s="2">
        <v>140</v>
      </c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>
        <v>175</v>
      </c>
      <c r="DU49" s="2"/>
      <c r="DV49" s="2">
        <v>10</v>
      </c>
      <c r="DW49" s="2"/>
      <c r="DX49" s="2"/>
      <c r="DY49" s="2"/>
      <c r="DZ49" s="2"/>
      <c r="EA49" s="2"/>
      <c r="EB49" s="2"/>
      <c r="EC49" s="2"/>
      <c r="ED49" s="2"/>
      <c r="EE49" s="2"/>
      <c r="EF49" s="2">
        <f>350+1</f>
        <v>351</v>
      </c>
      <c r="EG49" s="2"/>
      <c r="EH49" s="2"/>
      <c r="EI49" s="2"/>
      <c r="EJ49" s="2"/>
      <c r="EK49" s="2"/>
      <c r="EL49" s="2"/>
      <c r="EM49" s="2"/>
      <c r="EN49" s="2">
        <v>175</v>
      </c>
      <c r="EO49" s="2"/>
      <c r="EP49" s="2">
        <v>350</v>
      </c>
      <c r="EQ49" s="2"/>
      <c r="ER49" s="2"/>
      <c r="ES49" s="2"/>
      <c r="ET49" s="2"/>
      <c r="EU49" s="2"/>
      <c r="EV49" s="2"/>
      <c r="EW49" s="2"/>
      <c r="EX49" s="2">
        <v>175</v>
      </c>
      <c r="EY49" s="2"/>
      <c r="EZ49" s="2"/>
      <c r="FA49" s="2"/>
      <c r="FB49" s="2"/>
      <c r="FC49" s="2"/>
      <c r="FD49" s="2"/>
      <c r="FE49" s="2"/>
      <c r="FF49" s="2"/>
      <c r="FG49" s="2">
        <v>175</v>
      </c>
      <c r="FH49" s="2">
        <v>175</v>
      </c>
      <c r="FI49" s="2"/>
      <c r="FJ49" s="2"/>
      <c r="FK49" s="2"/>
      <c r="FL49" s="2"/>
      <c r="FM49" s="2">
        <v>350</v>
      </c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>
        <v>175</v>
      </c>
      <c r="GK49" s="2">
        <v>175</v>
      </c>
      <c r="GL49" s="2"/>
      <c r="GM49" s="2"/>
      <c r="GN49" s="2"/>
      <c r="GO49" s="2"/>
      <c r="GP49" s="2"/>
      <c r="GQ49" s="2">
        <v>175</v>
      </c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>
        <v>175</v>
      </c>
      <c r="HK49" s="2"/>
      <c r="HL49" s="2"/>
      <c r="HM49" s="2"/>
      <c r="HN49" s="2">
        <v>175</v>
      </c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>
        <v>175</v>
      </c>
      <c r="IJ49" s="2"/>
      <c r="IK49" s="2">
        <v>3</v>
      </c>
      <c r="IL49" s="2"/>
      <c r="IM49" s="2"/>
      <c r="IN49" s="2"/>
      <c r="IO49" s="2"/>
      <c r="IP49" s="2"/>
      <c r="IQ49" s="2"/>
      <c r="IR49" s="2"/>
      <c r="IS49" s="2"/>
      <c r="IT49" s="2">
        <f>350+525</f>
        <v>875</v>
      </c>
      <c r="IU49" s="2"/>
      <c r="IV49" s="2">
        <v>175</v>
      </c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>
        <v>175</v>
      </c>
      <c r="JL49" s="2"/>
      <c r="JM49" s="2"/>
      <c r="JN49" s="2"/>
      <c r="JO49" s="2"/>
      <c r="JP49" s="2"/>
      <c r="JQ49" s="2"/>
      <c r="JR49" s="2"/>
      <c r="JS49" s="2"/>
      <c r="JT49" s="2">
        <v>175</v>
      </c>
      <c r="JU49" s="2"/>
      <c r="JV49" s="2"/>
      <c r="JW49" s="2"/>
      <c r="JX49" s="2"/>
      <c r="JY49" s="2"/>
      <c r="JZ49" s="2"/>
      <c r="KA49" s="2">
        <v>175</v>
      </c>
      <c r="KB49" s="2"/>
      <c r="KC49" s="2"/>
      <c r="KD49" s="2"/>
      <c r="KE49" s="2"/>
      <c r="KF49" s="2"/>
      <c r="KG49" s="2"/>
      <c r="KH49" s="2"/>
      <c r="KI49" s="2"/>
      <c r="KJ49" s="2">
        <v>175</v>
      </c>
      <c r="KK49" s="2"/>
      <c r="KL49" s="2"/>
      <c r="KM49" s="2"/>
      <c r="KN49" s="2"/>
      <c r="KO49" s="2"/>
      <c r="KP49" s="2"/>
      <c r="KQ49" s="2"/>
      <c r="KR49" s="2"/>
      <c r="KS49" s="2">
        <v>175</v>
      </c>
      <c r="KT49" s="2"/>
      <c r="KU49" s="2"/>
      <c r="KV49" s="2"/>
      <c r="KW49" s="2"/>
      <c r="KX49" s="2"/>
      <c r="KY49" s="2"/>
      <c r="KZ49" s="2"/>
      <c r="LA49" s="2"/>
      <c r="LB49" s="2"/>
      <c r="LC49" s="2">
        <v>525</v>
      </c>
      <c r="LD49" s="2">
        <v>175</v>
      </c>
      <c r="LE49" s="2"/>
      <c r="LF49" s="2"/>
      <c r="LG49" s="2"/>
      <c r="LH49" s="2"/>
      <c r="LI49" s="2">
        <v>350</v>
      </c>
      <c r="LJ49" s="2"/>
      <c r="LK49" s="2"/>
      <c r="LL49" s="2"/>
      <c r="LM49" s="2">
        <v>175</v>
      </c>
      <c r="LN49" s="2"/>
      <c r="LO49" s="2"/>
      <c r="LP49" s="2"/>
      <c r="LQ49" s="2">
        <f>175+175</f>
        <v>350</v>
      </c>
      <c r="LR49" s="2">
        <v>700</v>
      </c>
      <c r="LS49" s="2"/>
      <c r="LT49" s="2"/>
      <c r="LU49" s="2"/>
      <c r="LV49" s="2">
        <v>175</v>
      </c>
      <c r="LW49" s="2"/>
      <c r="LX49" s="2"/>
      <c r="LY49" s="2"/>
      <c r="LZ49" s="2"/>
      <c r="MA49" s="2"/>
      <c r="MB49" s="2">
        <v>175</v>
      </c>
      <c r="MC49" s="2"/>
      <c r="MD49" s="2">
        <f>175+350</f>
        <v>525</v>
      </c>
      <c r="ME49" s="2">
        <v>175</v>
      </c>
      <c r="MF49" s="2"/>
      <c r="MG49" s="2"/>
      <c r="MH49" s="2">
        <v>175</v>
      </c>
      <c r="MI49" s="2">
        <v>125</v>
      </c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>
        <v>1</v>
      </c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>
        <f>68+1</f>
        <v>69</v>
      </c>
      <c r="OE49" s="2"/>
      <c r="OF49" s="2"/>
      <c r="OG49" s="2"/>
      <c r="OH49" s="2"/>
      <c r="OI49" s="2">
        <v>4</v>
      </c>
      <c r="OJ49" s="2"/>
      <c r="OK49" s="2">
        <v>196</v>
      </c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>
        <f>525+175+175</f>
        <v>875</v>
      </c>
      <c r="PF49" s="2">
        <f>175+175+175+350+350</f>
        <v>1225</v>
      </c>
      <c r="PG49" s="2">
        <f>350+350+175</f>
        <v>875</v>
      </c>
      <c r="PH49" s="2"/>
      <c r="PI49" s="2">
        <f>175+175</f>
        <v>350</v>
      </c>
      <c r="PJ49" s="2">
        <v>175</v>
      </c>
      <c r="PK49" s="2"/>
      <c r="PL49" s="2"/>
      <c r="PM49" s="2">
        <f>175</f>
        <v>175</v>
      </c>
      <c r="PN49" s="2">
        <f>350</f>
        <v>350</v>
      </c>
      <c r="PO49" s="2"/>
      <c r="PP49" s="2"/>
      <c r="PQ49" s="2"/>
      <c r="PR49" s="2"/>
      <c r="PS49" s="2">
        <v>175</v>
      </c>
      <c r="PT49" s="2"/>
      <c r="PU49" s="2"/>
      <c r="PV49" s="2">
        <v>350</v>
      </c>
      <c r="PW49" s="2"/>
      <c r="PX49" s="2"/>
      <c r="PY49" s="2"/>
      <c r="PZ49" s="2"/>
      <c r="QA49" s="2">
        <v>175</v>
      </c>
      <c r="QB49" s="2">
        <v>175</v>
      </c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>
        <f>175</f>
        <v>175</v>
      </c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>
        <f>1</f>
        <v>1</v>
      </c>
      <c r="RD49" s="2"/>
      <c r="RE49" s="2"/>
      <c r="RF49" s="2">
        <v>2</v>
      </c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>
        <f>175</f>
        <v>175</v>
      </c>
      <c r="SJ49" s="2"/>
      <c r="SK49" s="2"/>
      <c r="SL49" s="2"/>
      <c r="SM49" s="2"/>
      <c r="SN49" s="2"/>
      <c r="SO49" s="2"/>
      <c r="SP49" s="2">
        <f>350+350</f>
        <v>700</v>
      </c>
      <c r="SQ49" s="2"/>
      <c r="SR49" s="2"/>
      <c r="SS49" s="2"/>
      <c r="ST49" s="2"/>
      <c r="SU49" s="2"/>
      <c r="SV49" s="2"/>
      <c r="SW49" s="2"/>
      <c r="SX49" s="2"/>
      <c r="SY49" s="2"/>
      <c r="SZ49" s="2">
        <f>350</f>
        <v>350</v>
      </c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9">
        <f>175+175</f>
        <v>350</v>
      </c>
      <c r="TN49" s="9">
        <v>350</v>
      </c>
      <c r="TO49" s="9"/>
      <c r="TP49" s="9"/>
      <c r="TQ49" s="9">
        <v>175</v>
      </c>
      <c r="TR49" s="9"/>
      <c r="TS49" s="9"/>
      <c r="TT49" s="9">
        <v>175</v>
      </c>
      <c r="TU49" s="9"/>
      <c r="TV49" s="2"/>
      <c r="TW49" s="2"/>
      <c r="TX49" s="2">
        <v>175</v>
      </c>
      <c r="TY49" s="2"/>
      <c r="TZ49" s="2"/>
      <c r="UA49" s="2"/>
      <c r="UB49" s="2">
        <v>1</v>
      </c>
      <c r="UC49" s="2"/>
      <c r="UD49" s="2"/>
      <c r="UE49" s="2"/>
      <c r="UF49" s="2"/>
      <c r="UG49" s="2"/>
      <c r="UH49" s="2"/>
      <c r="UI49" s="2"/>
      <c r="UJ49" s="2"/>
      <c r="UK49" s="2">
        <v>175</v>
      </c>
      <c r="UL49" s="2">
        <v>175</v>
      </c>
      <c r="UM49" s="2"/>
      <c r="UN49" s="2">
        <f>525+175</f>
        <v>700</v>
      </c>
      <c r="UO49" s="2"/>
      <c r="UP49" s="2"/>
      <c r="UQ49" s="2"/>
      <c r="UR49" s="2"/>
      <c r="US49" s="2"/>
      <c r="UT49" s="2"/>
      <c r="UU49" s="2"/>
      <c r="UV49" s="2"/>
      <c r="UW49" s="2">
        <v>1</v>
      </c>
      <c r="UX49" s="2"/>
      <c r="UY49" s="2">
        <v>175</v>
      </c>
      <c r="UZ49" s="2">
        <v>175</v>
      </c>
      <c r="VA49" s="2"/>
      <c r="VB49" s="2"/>
      <c r="VC49" s="2">
        <v>175</v>
      </c>
      <c r="VD49" s="2"/>
      <c r="VE49" s="2"/>
      <c r="VF49" s="2">
        <v>175</v>
      </c>
      <c r="VG49" s="2">
        <f>175+350</f>
        <v>525</v>
      </c>
      <c r="VH49" s="2"/>
      <c r="VI49" s="2"/>
      <c r="VJ49" s="2"/>
      <c r="VK49" s="2">
        <v>50</v>
      </c>
      <c r="VL49" s="2"/>
      <c r="VM49" s="2"/>
      <c r="VN49" s="2"/>
      <c r="VO49" s="2"/>
      <c r="VP49" s="2"/>
      <c r="VQ49" s="2">
        <v>1</v>
      </c>
      <c r="VR49" s="2"/>
      <c r="VS49" s="2"/>
      <c r="VT49" s="2"/>
      <c r="VU49" s="2"/>
      <c r="VV49" s="2">
        <f>2</f>
        <v>2</v>
      </c>
      <c r="VW49" s="2"/>
      <c r="VX49" s="2"/>
      <c r="VY49" s="2">
        <v>175</v>
      </c>
      <c r="VZ49" s="2"/>
      <c r="WA49" s="2"/>
      <c r="WB49" s="2"/>
      <c r="WC49" s="2"/>
      <c r="WD49" s="2">
        <v>175</v>
      </c>
      <c r="WE49" s="2"/>
      <c r="WF49" s="2"/>
      <c r="WG49" s="2"/>
      <c r="WH49" s="2"/>
      <c r="WI49" s="2"/>
      <c r="WJ49" s="2"/>
      <c r="WK49" s="2"/>
      <c r="WL49" s="2"/>
      <c r="WM49" s="2">
        <v>1</v>
      </c>
      <c r="WN49" s="2"/>
      <c r="WO49" s="2"/>
      <c r="WP49" s="2">
        <v>350</v>
      </c>
      <c r="WQ49" s="2"/>
      <c r="WR49" s="2"/>
      <c r="WS49" s="2"/>
      <c r="WT49" s="2"/>
      <c r="WU49" s="2"/>
      <c r="WV49" s="2"/>
      <c r="WW49" s="2"/>
      <c r="WX49" s="2"/>
      <c r="WY49" s="2">
        <v>175</v>
      </c>
      <c r="WZ49" s="2"/>
      <c r="XA49" s="2">
        <v>2</v>
      </c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>
        <f>175+2</f>
        <v>177</v>
      </c>
      <c r="XR49" s="2">
        <v>175</v>
      </c>
      <c r="XS49" s="2">
        <f>175+350+350</f>
        <v>875</v>
      </c>
      <c r="XT49" s="2"/>
      <c r="XU49" s="2"/>
      <c r="XV49" s="2"/>
      <c r="XW49" s="2"/>
      <c r="XX49" s="2"/>
      <c r="XY49" s="2">
        <v>175</v>
      </c>
      <c r="XZ49" s="2"/>
      <c r="YA49" s="2"/>
      <c r="YB49" s="2"/>
      <c r="YC49" s="2"/>
      <c r="YD49" s="2"/>
      <c r="YE49" s="2"/>
      <c r="YF49" s="2"/>
      <c r="YG49" s="2"/>
      <c r="YH49" s="2">
        <v>2</v>
      </c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>
        <v>350</v>
      </c>
      <c r="YV49" s="2"/>
      <c r="YW49" s="2"/>
      <c r="YX49" s="2"/>
      <c r="YY49" s="2">
        <f>525+175</f>
        <v>700</v>
      </c>
      <c r="YZ49" s="2"/>
      <c r="ZA49" s="2"/>
      <c r="ZB49" s="2"/>
      <c r="ZC49" s="2"/>
      <c r="ZD49" s="2"/>
      <c r="ZE49" s="2">
        <v>3</v>
      </c>
      <c r="ZF49" s="2"/>
      <c r="ZG49" s="2"/>
      <c r="ZH49" s="2"/>
      <c r="ZI49" s="2"/>
      <c r="ZJ49" s="2"/>
      <c r="ZK49" s="2"/>
      <c r="ZL49" s="2">
        <v>1</v>
      </c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>
        <v>175</v>
      </c>
      <c r="ZX49" s="2"/>
      <c r="ZY49" s="2"/>
      <c r="ZZ49" s="2"/>
      <c r="AAA49" s="2"/>
      <c r="AAB49" s="2"/>
      <c r="AAC49" s="2"/>
      <c r="AAD49" s="2"/>
      <c r="AAE49" s="2"/>
      <c r="AAF49" s="2"/>
      <c r="AAG49" s="2"/>
      <c r="AAH49" s="2"/>
      <c r="AAI49" s="2"/>
      <c r="AAJ49" s="2">
        <v>6</v>
      </c>
      <c r="AAK49" s="2"/>
      <c r="AAL49" s="2"/>
      <c r="AAM49" s="2"/>
      <c r="AAN49" s="2"/>
      <c r="AAO49" s="2"/>
      <c r="AAP49" s="2"/>
      <c r="AAQ49" s="2">
        <v>175</v>
      </c>
      <c r="AAR49" s="2"/>
      <c r="AAS49" s="2">
        <v>1</v>
      </c>
      <c r="AAT49" s="2"/>
      <c r="AAU49" s="2"/>
      <c r="AAV49" s="2"/>
      <c r="AAW49" s="2"/>
      <c r="AAX49" s="2"/>
      <c r="AAY49" s="2"/>
      <c r="AAZ49" s="2"/>
      <c r="ABA49" s="2"/>
      <c r="ABB49" s="2"/>
      <c r="ABC49" s="2"/>
      <c r="ABD49" s="2"/>
      <c r="ABE49" s="2"/>
      <c r="ABF49" s="2"/>
      <c r="ABG49" s="2"/>
      <c r="ABH49" s="2"/>
      <c r="ABI49" s="2"/>
      <c r="ABJ49" s="2"/>
      <c r="ABK49" s="2">
        <v>175</v>
      </c>
      <c r="ABL49" s="2"/>
      <c r="ABM49" s="2"/>
      <c r="ABN49" s="2"/>
      <c r="ABO49" s="2"/>
      <c r="ABP49" s="2"/>
      <c r="ABQ49" s="2"/>
      <c r="ABR49" s="2"/>
      <c r="ABS49" s="2"/>
      <c r="ABT49" s="2"/>
      <c r="ABU49" s="2"/>
      <c r="ABV49" s="2">
        <v>175</v>
      </c>
      <c r="ABW49" s="2"/>
      <c r="ABX49" s="2"/>
      <c r="ABY49" s="2">
        <v>350</v>
      </c>
      <c r="ABZ49" s="2">
        <v>350</v>
      </c>
      <c r="ACA49" s="2"/>
      <c r="ACB49" s="2">
        <v>7</v>
      </c>
      <c r="ACC49" s="2"/>
      <c r="ACD49" s="2"/>
      <c r="ACE49" s="2"/>
      <c r="ACF49" s="2"/>
      <c r="ACG49" s="2"/>
      <c r="ACH49" s="2">
        <v>175</v>
      </c>
      <c r="ACI49" s="2"/>
      <c r="ACJ49" s="2"/>
      <c r="ACK49" s="2"/>
      <c r="ACL49" s="2"/>
      <c r="ACM49" s="2"/>
      <c r="ACN49" s="2"/>
      <c r="ACO49" s="2"/>
      <c r="ACP49" s="2"/>
      <c r="ACQ49" s="2"/>
      <c r="ACR49" s="2"/>
      <c r="ACS49" s="2"/>
      <c r="ACT49" s="2"/>
      <c r="ACU49" s="2"/>
      <c r="ACV49" s="2"/>
      <c r="ACW49" s="2">
        <v>2</v>
      </c>
      <c r="ACX49" s="2">
        <v>175</v>
      </c>
      <c r="ACY49" s="2"/>
      <c r="ACZ49" s="2"/>
      <c r="ADA49" s="2"/>
      <c r="ADB49" s="2"/>
      <c r="ADC49" s="2"/>
      <c r="ADD49" s="2"/>
      <c r="ADE49" s="2"/>
      <c r="ADF49" s="2"/>
      <c r="ADG49" s="2">
        <v>175</v>
      </c>
      <c r="ADH49" s="2"/>
      <c r="ADI49" s="2"/>
      <c r="ADJ49" s="2"/>
      <c r="ADK49" s="2">
        <f>175+350</f>
        <v>525</v>
      </c>
      <c r="ADL49" s="2"/>
      <c r="ADM49" s="2"/>
      <c r="ADN49" s="2"/>
      <c r="ADO49" s="2">
        <v>175</v>
      </c>
      <c r="ADP49" s="2"/>
      <c r="ADQ49" s="2"/>
      <c r="ADR49" s="2"/>
      <c r="ADS49" s="2"/>
      <c r="ADT49" s="2">
        <f>175</f>
        <v>175</v>
      </c>
      <c r="ADU49" s="2">
        <v>175</v>
      </c>
      <c r="ADV49" s="2"/>
      <c r="ADW49" s="2"/>
      <c r="ADX49" s="2"/>
      <c r="ADY49" s="2"/>
      <c r="ADZ49" s="2"/>
      <c r="AEA49" s="2">
        <v>175</v>
      </c>
      <c r="AEB49" s="2"/>
      <c r="AEC49" s="2"/>
      <c r="AED49" s="2"/>
      <c r="AEE49" s="2"/>
      <c r="AEF49" s="2"/>
      <c r="AEG49" s="2"/>
      <c r="AEH49" s="2"/>
      <c r="AEI49" s="2">
        <v>175</v>
      </c>
      <c r="AEJ49" s="2"/>
      <c r="AEK49" s="2"/>
      <c r="AEL49" s="2"/>
      <c r="AEM49" s="2"/>
      <c r="AEN49" s="2"/>
      <c r="AEO49" s="2"/>
      <c r="AEP49" s="2">
        <v>175</v>
      </c>
      <c r="AEQ49" s="2"/>
      <c r="AER49" s="2"/>
      <c r="AES49" s="2">
        <v>175</v>
      </c>
      <c r="AET49" s="12">
        <v>1</v>
      </c>
      <c r="AEU49" s="2"/>
      <c r="AEV49" s="2"/>
      <c r="AEW49" s="2"/>
      <c r="AEX49" s="2"/>
      <c r="AEY49" s="2"/>
      <c r="AEZ49" s="2"/>
      <c r="AFA49" s="2"/>
      <c r="AFB49" s="2"/>
      <c r="AFC49" s="2"/>
      <c r="AFD49" s="2"/>
      <c r="AFE49" s="2">
        <f>175+175</f>
        <v>350</v>
      </c>
      <c r="AFF49" s="2"/>
      <c r="AFG49" s="2"/>
      <c r="AFH49" s="2"/>
      <c r="AFI49" s="2"/>
      <c r="AFJ49" s="2"/>
      <c r="AFK49" s="2"/>
      <c r="AFL49" s="2">
        <f t="shared" si="0"/>
        <v>28636</v>
      </c>
    </row>
    <row r="50" spans="1:844" s="11" customFormat="1" x14ac:dyDescent="0.3">
      <c r="B50" s="91">
        <v>45657855</v>
      </c>
      <c r="C50" s="52" t="s">
        <v>41</v>
      </c>
      <c r="D50" s="35" t="s">
        <v>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>
        <v>24</v>
      </c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>
        <v>24</v>
      </c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>
        <v>8</v>
      </c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>
        <v>48</v>
      </c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>
        <v>48</v>
      </c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>
        <v>9</v>
      </c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>
        <v>48</v>
      </c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>
        <v>48</v>
      </c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  <c r="AAA50" s="2"/>
      <c r="AAB50" s="2"/>
      <c r="AAC50" s="2"/>
      <c r="AAD50" s="2"/>
      <c r="AAE50" s="2"/>
      <c r="AAF50" s="2"/>
      <c r="AAG50" s="2"/>
      <c r="AAH50" s="2"/>
      <c r="AAI50" s="2"/>
      <c r="AAJ50" s="2"/>
      <c r="AAK50" s="2"/>
      <c r="AAL50" s="2"/>
      <c r="AAM50" s="2"/>
      <c r="AAN50" s="2"/>
      <c r="AAO50" s="2"/>
      <c r="AAP50" s="2"/>
      <c r="AAQ50" s="2"/>
      <c r="AAR50" s="2"/>
      <c r="AAS50" s="2"/>
      <c r="AAT50" s="2"/>
      <c r="AAU50" s="2"/>
      <c r="AAV50" s="2"/>
      <c r="AAW50" s="2"/>
      <c r="AAX50" s="2"/>
      <c r="AAY50" s="2"/>
      <c r="AAZ50" s="2"/>
      <c r="ABA50" s="2"/>
      <c r="ABB50" s="2"/>
      <c r="ABC50" s="2"/>
      <c r="ABD50" s="2"/>
      <c r="ABE50" s="2"/>
      <c r="ABF50" s="2"/>
      <c r="ABG50" s="2"/>
      <c r="ABH50" s="2"/>
      <c r="ABI50" s="2"/>
      <c r="ABJ50" s="2"/>
      <c r="ABK50" s="2"/>
      <c r="ABL50" s="2"/>
      <c r="ABM50" s="2"/>
      <c r="ABN50" s="2"/>
      <c r="ABO50" s="2"/>
      <c r="ABP50" s="2"/>
      <c r="ABQ50" s="2"/>
      <c r="ABR50" s="2"/>
      <c r="ABS50" s="2"/>
      <c r="ABT50" s="2"/>
      <c r="ABU50" s="2"/>
      <c r="ABV50" s="2"/>
      <c r="ABW50" s="2"/>
      <c r="ABX50" s="2"/>
      <c r="ABY50" s="2"/>
      <c r="ABZ50" s="2"/>
      <c r="ACA50" s="2"/>
      <c r="ACB50" s="2"/>
      <c r="ACC50" s="2"/>
      <c r="ACD50" s="2"/>
      <c r="ACE50" s="2"/>
      <c r="ACF50" s="2"/>
      <c r="ACG50" s="2"/>
      <c r="ACH50" s="2"/>
      <c r="ACI50" s="2"/>
      <c r="ACJ50" s="2"/>
      <c r="ACK50" s="2"/>
      <c r="ACL50" s="2"/>
      <c r="ACM50" s="2"/>
      <c r="ACN50" s="2"/>
      <c r="ACO50" s="2"/>
      <c r="ACP50" s="2"/>
      <c r="ACQ50" s="2"/>
      <c r="ACR50" s="2"/>
      <c r="ACS50" s="2"/>
      <c r="ACT50" s="2"/>
      <c r="ACU50" s="2"/>
      <c r="ACV50" s="2"/>
      <c r="ACW50" s="2"/>
      <c r="ACX50" s="2"/>
      <c r="ACY50" s="2"/>
      <c r="ACZ50" s="2"/>
      <c r="ADA50" s="2"/>
      <c r="ADB50" s="2"/>
      <c r="ADC50" s="2"/>
      <c r="ADD50" s="2"/>
      <c r="ADE50" s="2"/>
      <c r="ADF50" s="2"/>
      <c r="ADG50" s="2"/>
      <c r="ADH50" s="2"/>
      <c r="ADI50" s="2"/>
      <c r="ADJ50" s="2"/>
      <c r="ADK50" s="2"/>
      <c r="ADL50" s="2"/>
      <c r="ADM50" s="2"/>
      <c r="ADN50" s="2"/>
      <c r="ADO50" s="2"/>
      <c r="ADP50" s="2"/>
      <c r="ADQ50" s="2"/>
      <c r="ADR50" s="2"/>
      <c r="ADS50" s="2"/>
      <c r="ADT50" s="2"/>
      <c r="ADU50" s="2"/>
      <c r="ADV50" s="2"/>
      <c r="ADW50" s="2"/>
      <c r="ADX50" s="2"/>
      <c r="ADY50" s="2"/>
      <c r="ADZ50" s="2"/>
      <c r="AEA50" s="2"/>
      <c r="AEB50" s="2"/>
      <c r="AEC50" s="2"/>
      <c r="AED50" s="2"/>
      <c r="AEE50" s="2"/>
      <c r="AEF50" s="2"/>
      <c r="AEG50" s="2"/>
      <c r="AEH50" s="2"/>
      <c r="AEI50" s="2"/>
      <c r="AEJ50" s="2"/>
      <c r="AEK50" s="2"/>
      <c r="AEL50" s="2"/>
      <c r="AEM50" s="2"/>
      <c r="AEN50" s="2"/>
      <c r="AEO50" s="2"/>
      <c r="AEP50" s="2"/>
      <c r="AEQ50" s="2"/>
      <c r="AER50" s="2"/>
      <c r="AES50" s="2"/>
      <c r="AET50" s="2"/>
      <c r="AEU50" s="2"/>
      <c r="AEV50" s="2"/>
      <c r="AEW50" s="2"/>
      <c r="AEX50" s="2"/>
      <c r="AEY50" s="2"/>
      <c r="AEZ50" s="2"/>
      <c r="AFA50" s="2"/>
      <c r="AFB50" s="2"/>
      <c r="AFC50" s="2"/>
      <c r="AFD50" s="2"/>
      <c r="AFE50" s="2"/>
      <c r="AFF50" s="2"/>
      <c r="AFG50" s="2"/>
      <c r="AFH50" s="2"/>
      <c r="AFI50" s="2"/>
      <c r="AFJ50" s="2"/>
      <c r="AFK50" s="2"/>
      <c r="AFL50" s="2">
        <f t="shared" si="0"/>
        <v>257</v>
      </c>
    </row>
    <row r="51" spans="1:844" s="11" customFormat="1" x14ac:dyDescent="0.3">
      <c r="B51" s="91">
        <v>550047182</v>
      </c>
      <c r="C51" s="52" t="s">
        <v>1033</v>
      </c>
      <c r="D51" s="35" t="s">
        <v>905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  <c r="AAA51" s="2"/>
      <c r="AAB51" s="2"/>
      <c r="AAC51" s="2"/>
      <c r="AAD51" s="2"/>
      <c r="AAE51" s="2"/>
      <c r="AAF51" s="2"/>
      <c r="AAG51" s="2"/>
      <c r="AAH51" s="2"/>
      <c r="AAI51" s="2"/>
      <c r="AAJ51" s="2"/>
      <c r="AAK51" s="2"/>
      <c r="AAL51" s="2"/>
      <c r="AAM51" s="2"/>
      <c r="AAN51" s="2"/>
      <c r="AAO51" s="2"/>
      <c r="AAP51" s="2"/>
      <c r="AAQ51" s="2"/>
      <c r="AAR51" s="2"/>
      <c r="AAS51" s="2"/>
      <c r="AAT51" s="2"/>
      <c r="AAU51" s="2"/>
      <c r="AAV51" s="2"/>
      <c r="AAW51" s="2"/>
      <c r="AAX51" s="2"/>
      <c r="AAY51" s="2"/>
      <c r="AAZ51" s="2"/>
      <c r="ABA51" s="2"/>
      <c r="ABB51" s="2"/>
      <c r="ABC51" s="2"/>
      <c r="ABD51" s="2"/>
      <c r="ABE51" s="2"/>
      <c r="ABF51" s="2"/>
      <c r="ABG51" s="2"/>
      <c r="ABH51" s="2"/>
      <c r="ABI51" s="2"/>
      <c r="ABJ51" s="2"/>
      <c r="ABK51" s="2"/>
      <c r="ABL51" s="2"/>
      <c r="ABM51" s="2"/>
      <c r="ABN51" s="2"/>
      <c r="ABO51" s="2"/>
      <c r="ABP51" s="2"/>
      <c r="ABQ51" s="2"/>
      <c r="ABR51" s="2"/>
      <c r="ABS51" s="2"/>
      <c r="ABT51" s="2"/>
      <c r="ABU51" s="2"/>
      <c r="ABV51" s="2"/>
      <c r="ABW51" s="2"/>
      <c r="ABX51" s="2"/>
      <c r="ABY51" s="2"/>
      <c r="ABZ51" s="2"/>
      <c r="ACA51" s="2"/>
      <c r="ACB51" s="2"/>
      <c r="ACC51" s="2"/>
      <c r="ACD51" s="2"/>
      <c r="ACE51" s="2"/>
      <c r="ACF51" s="2"/>
      <c r="ACG51" s="2"/>
      <c r="ACH51" s="2"/>
      <c r="ACI51" s="2"/>
      <c r="ACJ51" s="2"/>
      <c r="ACK51" s="2"/>
      <c r="ACL51" s="2"/>
      <c r="ACM51" s="2"/>
      <c r="ACN51" s="2"/>
      <c r="ACO51" s="2"/>
      <c r="ACP51" s="2"/>
      <c r="ACQ51" s="2"/>
      <c r="ACR51" s="2"/>
      <c r="ACS51" s="2"/>
      <c r="ACT51" s="2"/>
      <c r="ACU51" s="2"/>
      <c r="ACV51" s="2"/>
      <c r="ACW51" s="2"/>
      <c r="ACX51" s="2"/>
      <c r="ACY51" s="2"/>
      <c r="ACZ51" s="2"/>
      <c r="ADA51" s="2"/>
      <c r="ADB51" s="2"/>
      <c r="ADC51" s="2"/>
      <c r="ADD51" s="2"/>
      <c r="ADE51" s="2"/>
      <c r="ADF51" s="2"/>
      <c r="ADG51" s="2"/>
      <c r="ADH51" s="2"/>
      <c r="ADI51" s="2"/>
      <c r="ADJ51" s="2"/>
      <c r="ADK51" s="2"/>
      <c r="ADL51" s="2"/>
      <c r="ADM51" s="2"/>
      <c r="ADN51" s="2"/>
      <c r="ADO51" s="2"/>
      <c r="ADP51" s="2"/>
      <c r="ADQ51" s="2"/>
      <c r="ADR51" s="2"/>
      <c r="ADS51" s="2"/>
      <c r="ADT51" s="2"/>
      <c r="ADU51" s="2"/>
      <c r="ADV51" s="2"/>
      <c r="ADW51" s="2"/>
      <c r="ADX51" s="2"/>
      <c r="ADY51" s="2">
        <v>1</v>
      </c>
      <c r="ADZ51" s="2"/>
      <c r="AEA51" s="2"/>
      <c r="AEB51" s="2"/>
      <c r="AEC51" s="2"/>
      <c r="AED51" s="2"/>
      <c r="AEE51" s="2"/>
      <c r="AEF51" s="2"/>
      <c r="AEG51" s="2"/>
      <c r="AEH51" s="2"/>
      <c r="AEI51" s="2"/>
      <c r="AEJ51" s="2"/>
      <c r="AEK51" s="2"/>
      <c r="AEL51" s="2"/>
      <c r="AEM51" s="2"/>
      <c r="AEN51" s="2"/>
      <c r="AEO51" s="2"/>
      <c r="AEP51" s="2"/>
      <c r="AEQ51" s="2"/>
      <c r="AER51" s="2"/>
      <c r="AES51" s="2"/>
      <c r="AET51" s="2"/>
      <c r="AEU51" s="2"/>
      <c r="AEV51" s="2"/>
      <c r="AEW51" s="2"/>
      <c r="AEX51" s="2"/>
      <c r="AEY51" s="2"/>
      <c r="AEZ51" s="2"/>
      <c r="AFA51" s="2"/>
      <c r="AFB51" s="2"/>
      <c r="AFC51" s="2"/>
      <c r="AFD51" s="2"/>
      <c r="AFE51" s="2"/>
      <c r="AFF51" s="2"/>
      <c r="AFG51" s="2"/>
      <c r="AFH51" s="2"/>
      <c r="AFI51" s="2"/>
      <c r="AFJ51" s="2"/>
      <c r="AFK51" s="2"/>
      <c r="AFL51" s="2">
        <f t="shared" si="0"/>
        <v>1</v>
      </c>
    </row>
    <row r="52" spans="1:844" s="4" customFormat="1" x14ac:dyDescent="0.3">
      <c r="A52" s="11"/>
      <c r="B52" s="91">
        <v>45659855</v>
      </c>
      <c r="C52" s="52" t="s">
        <v>43</v>
      </c>
      <c r="D52" s="35" t="s">
        <v>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>
        <v>96</v>
      </c>
      <c r="AK52" s="2">
        <v>48</v>
      </c>
      <c r="AL52" s="2"/>
      <c r="AM52" s="2">
        <v>48</v>
      </c>
      <c r="AN52" s="2"/>
      <c r="AO52" s="2"/>
      <c r="AP52" s="2"/>
      <c r="AQ52" s="2"/>
      <c r="AR52" s="2"/>
      <c r="AS52" s="2">
        <v>48</v>
      </c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>
        <v>6</v>
      </c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>
        <v>48</v>
      </c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>
        <v>48</v>
      </c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>
        <v>48</v>
      </c>
      <c r="KH52" s="2"/>
      <c r="KI52" s="2"/>
      <c r="KJ52" s="2">
        <v>48</v>
      </c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>
        <v>144</v>
      </c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>
        <v>192</v>
      </c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>
        <v>48</v>
      </c>
      <c r="MA52" s="2"/>
      <c r="MB52" s="2"/>
      <c r="MC52" s="2"/>
      <c r="MD52" s="2"/>
      <c r="ME52" s="2"/>
      <c r="MF52" s="2">
        <v>96</v>
      </c>
      <c r="MG52" s="2"/>
      <c r="MH52" s="2">
        <v>48</v>
      </c>
      <c r="MI52" s="2"/>
      <c r="MJ52" s="2"/>
      <c r="MK52" s="2"/>
      <c r="ML52" s="2"/>
      <c r="MM52" s="2">
        <v>48</v>
      </c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>
        <v>48</v>
      </c>
      <c r="NH52" s="2"/>
      <c r="NI52" s="2"/>
      <c r="NJ52" s="2">
        <v>48</v>
      </c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>
        <v>30</v>
      </c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>
        <f>96+48</f>
        <v>144</v>
      </c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>
        <v>48</v>
      </c>
      <c r="UE52" s="2"/>
      <c r="UF52" s="2"/>
      <c r="UG52" s="2"/>
      <c r="UH52" s="2"/>
      <c r="UI52" s="2"/>
      <c r="UJ52" s="2"/>
      <c r="UK52" s="2">
        <v>48</v>
      </c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>
        <v>96</v>
      </c>
      <c r="XQ52" s="2"/>
      <c r="XR52" s="2">
        <v>48</v>
      </c>
      <c r="XS52" s="2">
        <v>48</v>
      </c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>
        <v>48</v>
      </c>
      <c r="YN52" s="2"/>
      <c r="YO52" s="2"/>
      <c r="YP52" s="2"/>
      <c r="YQ52" s="2"/>
      <c r="YR52" s="2"/>
      <c r="YS52" s="2"/>
      <c r="YT52" s="2"/>
      <c r="YU52" s="2">
        <v>72</v>
      </c>
      <c r="YV52" s="2"/>
      <c r="YW52" s="2">
        <v>96</v>
      </c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  <c r="AAA52" s="2"/>
      <c r="AAB52" s="2"/>
      <c r="AAC52" s="2"/>
      <c r="AAD52" s="2"/>
      <c r="AAE52" s="2"/>
      <c r="AAF52" s="2"/>
      <c r="AAG52" s="2"/>
      <c r="AAH52" s="2"/>
      <c r="AAI52" s="2"/>
      <c r="AAJ52" s="2"/>
      <c r="AAK52" s="2"/>
      <c r="AAL52" s="2"/>
      <c r="AAM52" s="2"/>
      <c r="AAN52" s="2"/>
      <c r="AAO52" s="2"/>
      <c r="AAP52" s="2"/>
      <c r="AAQ52" s="2"/>
      <c r="AAR52" s="2"/>
      <c r="AAS52" s="2"/>
      <c r="AAT52" s="2"/>
      <c r="AAU52" s="2"/>
      <c r="AAV52" s="2"/>
      <c r="AAW52" s="2"/>
      <c r="AAX52" s="2"/>
      <c r="AAY52" s="2"/>
      <c r="AAZ52" s="2"/>
      <c r="ABA52" s="2"/>
      <c r="ABB52" s="2"/>
      <c r="ABC52" s="2"/>
      <c r="ABD52" s="2"/>
      <c r="ABE52" s="2"/>
      <c r="ABF52" s="2"/>
      <c r="ABG52" s="2"/>
      <c r="ABH52" s="2"/>
      <c r="ABI52" s="2"/>
      <c r="ABJ52" s="2"/>
      <c r="ABK52" s="2"/>
      <c r="ABL52" s="2"/>
      <c r="ABM52" s="2"/>
      <c r="ABN52" s="2"/>
      <c r="ABO52" s="2"/>
      <c r="ABP52" s="2"/>
      <c r="ABQ52" s="2"/>
      <c r="ABR52" s="2"/>
      <c r="ABS52" s="2"/>
      <c r="ABT52" s="2"/>
      <c r="ABU52" s="2"/>
      <c r="ABV52" s="2"/>
      <c r="ABW52" s="2"/>
      <c r="ABX52" s="2"/>
      <c r="ABY52" s="2"/>
      <c r="ABZ52" s="2"/>
      <c r="ACA52" s="2"/>
      <c r="ACB52" s="2"/>
      <c r="ACC52" s="2"/>
      <c r="ACD52" s="2"/>
      <c r="ACE52" s="2"/>
      <c r="ACF52" s="2"/>
      <c r="ACG52" s="2"/>
      <c r="ACH52" s="2"/>
      <c r="ACI52" s="2"/>
      <c r="ACJ52" s="2"/>
      <c r="ACK52" s="2"/>
      <c r="ACL52" s="2"/>
      <c r="ACM52" s="2"/>
      <c r="ACN52" s="2"/>
      <c r="ACO52" s="2"/>
      <c r="ACP52" s="2"/>
      <c r="ACQ52" s="2"/>
      <c r="ACR52" s="2"/>
      <c r="ACS52" s="2"/>
      <c r="ACT52" s="2"/>
      <c r="ACU52" s="2"/>
      <c r="ACV52" s="2"/>
      <c r="ACW52" s="2"/>
      <c r="ACX52" s="2"/>
      <c r="ACY52" s="2"/>
      <c r="ACZ52" s="2"/>
      <c r="ADA52" s="2"/>
      <c r="ADB52" s="2"/>
      <c r="ADC52" s="2"/>
      <c r="ADD52" s="2"/>
      <c r="ADE52" s="2"/>
      <c r="ADF52" s="2"/>
      <c r="ADG52" s="2"/>
      <c r="ADH52" s="2"/>
      <c r="ADI52" s="2"/>
      <c r="ADJ52" s="2"/>
      <c r="ADK52" s="2"/>
      <c r="ADL52" s="2"/>
      <c r="ADM52" s="2"/>
      <c r="ADN52" s="2"/>
      <c r="ADO52" s="2"/>
      <c r="ADP52" s="2"/>
      <c r="ADQ52" s="2"/>
      <c r="ADR52" s="2"/>
      <c r="ADS52" s="2"/>
      <c r="ADT52" s="2"/>
      <c r="ADU52" s="2"/>
      <c r="ADV52" s="2"/>
      <c r="ADW52" s="2"/>
      <c r="ADX52" s="2"/>
      <c r="ADY52" s="2"/>
      <c r="ADZ52" s="2"/>
      <c r="AEA52" s="2"/>
      <c r="AEB52" s="2"/>
      <c r="AEC52" s="2"/>
      <c r="AED52" s="2"/>
      <c r="AEE52" s="2"/>
      <c r="AEF52" s="2"/>
      <c r="AEG52" s="2"/>
      <c r="AEH52" s="2"/>
      <c r="AEI52" s="2"/>
      <c r="AEJ52" s="2"/>
      <c r="AEK52" s="2"/>
      <c r="AEL52" s="2"/>
      <c r="AEM52" s="2"/>
      <c r="AEN52" s="2"/>
      <c r="AEO52" s="2"/>
      <c r="AEP52" s="2"/>
      <c r="AEQ52" s="2"/>
      <c r="AER52" s="2"/>
      <c r="AES52" s="2"/>
      <c r="AET52" s="2"/>
      <c r="AEU52" s="2"/>
      <c r="AEV52" s="2"/>
      <c r="AEW52" s="2"/>
      <c r="AEX52" s="2"/>
      <c r="AEY52" s="2"/>
      <c r="AEZ52" s="2"/>
      <c r="AFA52" s="2"/>
      <c r="AFB52" s="2"/>
      <c r="AFC52" s="2"/>
      <c r="AFD52" s="2"/>
      <c r="AFE52" s="2"/>
      <c r="AFF52" s="2"/>
      <c r="AFG52" s="2"/>
      <c r="AFH52" s="2"/>
      <c r="AFI52" s="2"/>
      <c r="AFJ52" s="2"/>
      <c r="AFK52" s="2"/>
      <c r="AFL52" s="2">
        <f t="shared" si="0"/>
        <v>1788</v>
      </c>
    </row>
    <row r="53" spans="1:844" s="11" customFormat="1" x14ac:dyDescent="0.3">
      <c r="B53" s="91">
        <v>45683809</v>
      </c>
      <c r="C53" s="52" t="s">
        <v>45</v>
      </c>
      <c r="D53" s="35">
        <v>209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>
        <v>5</v>
      </c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>
        <v>26</v>
      </c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>
        <v>4</v>
      </c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>
        <v>4</v>
      </c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>
        <v>4</v>
      </c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>
        <v>2</v>
      </c>
      <c r="HW53" s="2"/>
      <c r="HX53" s="2"/>
      <c r="HY53" s="2"/>
      <c r="HZ53" s="2"/>
      <c r="IA53" s="2"/>
      <c r="IB53" s="2"/>
      <c r="IC53" s="2"/>
      <c r="ID53" s="2"/>
      <c r="IE53" s="2">
        <v>8</v>
      </c>
      <c r="IF53" s="2">
        <v>8</v>
      </c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>
        <v>4</v>
      </c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>
        <v>4</v>
      </c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>
        <v>3</v>
      </c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>
        <f>4</f>
        <v>4</v>
      </c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>
        <f>4</f>
        <v>4</v>
      </c>
      <c r="RW53" s="2"/>
      <c r="RX53" s="2"/>
      <c r="RY53" s="2"/>
      <c r="RZ53" s="2"/>
      <c r="SA53" s="2"/>
      <c r="SB53" s="2"/>
      <c r="SC53" s="2"/>
      <c r="SD53" s="2"/>
      <c r="SE53" s="2"/>
      <c r="SF53" s="2">
        <f>8</f>
        <v>8</v>
      </c>
      <c r="SG53" s="2"/>
      <c r="SH53" s="2">
        <f>20</f>
        <v>20</v>
      </c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>
        <v>12</v>
      </c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>
        <v>4</v>
      </c>
      <c r="UE53" s="2">
        <v>5</v>
      </c>
      <c r="UF53" s="2"/>
      <c r="UG53" s="2"/>
      <c r="UH53" s="2"/>
      <c r="UI53" s="2"/>
      <c r="UJ53" s="2"/>
      <c r="UK53" s="2"/>
      <c r="UL53" s="2"/>
      <c r="UM53" s="2"/>
      <c r="UN53" s="2">
        <v>8</v>
      </c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>
        <v>14</v>
      </c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  <c r="AAA53" s="2"/>
      <c r="AAB53" s="2"/>
      <c r="AAC53" s="2"/>
      <c r="AAD53" s="2"/>
      <c r="AAE53" s="2"/>
      <c r="AAF53" s="2"/>
      <c r="AAG53" s="2"/>
      <c r="AAH53" s="2"/>
      <c r="AAI53" s="2"/>
      <c r="AAJ53" s="2"/>
      <c r="AAK53" s="2"/>
      <c r="AAL53" s="2"/>
      <c r="AAM53" s="2"/>
      <c r="AAN53" s="2"/>
      <c r="AAO53" s="2"/>
      <c r="AAP53" s="2"/>
      <c r="AAQ53" s="2"/>
      <c r="AAR53" s="2"/>
      <c r="AAS53" s="2"/>
      <c r="AAT53" s="2"/>
      <c r="AAU53" s="2"/>
      <c r="AAV53" s="2"/>
      <c r="AAW53" s="2"/>
      <c r="AAX53" s="2"/>
      <c r="AAY53" s="2"/>
      <c r="AAZ53" s="2"/>
      <c r="ABA53" s="2"/>
      <c r="ABB53" s="2"/>
      <c r="ABC53" s="2"/>
      <c r="ABD53" s="2"/>
      <c r="ABE53" s="2"/>
      <c r="ABF53" s="2"/>
      <c r="ABG53" s="2"/>
      <c r="ABH53" s="2"/>
      <c r="ABI53" s="2"/>
      <c r="ABJ53" s="2"/>
      <c r="ABK53" s="2"/>
      <c r="ABL53" s="2"/>
      <c r="ABM53" s="2"/>
      <c r="ABN53" s="2"/>
      <c r="ABO53" s="2"/>
      <c r="ABP53" s="2"/>
      <c r="ABQ53" s="2"/>
      <c r="ABR53" s="2"/>
      <c r="ABS53" s="2"/>
      <c r="ABT53" s="2"/>
      <c r="ABU53" s="2"/>
      <c r="ABV53" s="2"/>
      <c r="ABW53" s="2"/>
      <c r="ABX53" s="2"/>
      <c r="ABY53" s="2"/>
      <c r="ABZ53" s="2"/>
      <c r="ACA53" s="2"/>
      <c r="ACB53" s="2"/>
      <c r="ACC53" s="2"/>
      <c r="ACD53" s="2"/>
      <c r="ACE53" s="2"/>
      <c r="ACF53" s="2"/>
      <c r="ACG53" s="2"/>
      <c r="ACH53" s="2"/>
      <c r="ACI53" s="2"/>
      <c r="ACJ53" s="2"/>
      <c r="ACK53" s="2"/>
      <c r="ACL53" s="2"/>
      <c r="ACM53" s="2"/>
      <c r="ACN53" s="2"/>
      <c r="ACO53" s="2"/>
      <c r="ACP53" s="2"/>
      <c r="ACQ53" s="2"/>
      <c r="ACR53" s="2"/>
      <c r="ACS53" s="2"/>
      <c r="ACT53" s="2"/>
      <c r="ACU53" s="2"/>
      <c r="ACV53" s="2"/>
      <c r="ACW53" s="2"/>
      <c r="ACX53" s="2"/>
      <c r="ACY53" s="2"/>
      <c r="ACZ53" s="2"/>
      <c r="ADA53" s="2"/>
      <c r="ADB53" s="2"/>
      <c r="ADC53" s="2"/>
      <c r="ADD53" s="2"/>
      <c r="ADE53" s="2"/>
      <c r="ADF53" s="2"/>
      <c r="ADG53" s="2"/>
      <c r="ADH53" s="2"/>
      <c r="ADI53" s="2"/>
      <c r="ADJ53" s="2"/>
      <c r="ADK53" s="2"/>
      <c r="ADL53" s="2"/>
      <c r="ADM53" s="2"/>
      <c r="ADN53" s="2"/>
      <c r="ADO53" s="2">
        <v>4</v>
      </c>
      <c r="ADP53" s="2"/>
      <c r="ADQ53" s="2">
        <v>8</v>
      </c>
      <c r="ADR53" s="2">
        <v>12</v>
      </c>
      <c r="ADS53" s="2"/>
      <c r="ADT53" s="2"/>
      <c r="ADU53" s="2"/>
      <c r="ADV53" s="2"/>
      <c r="ADW53" s="2"/>
      <c r="ADX53" s="2"/>
      <c r="ADY53" s="2"/>
      <c r="ADZ53" s="2"/>
      <c r="AEA53" s="2"/>
      <c r="AEB53" s="2"/>
      <c r="AEC53" s="2"/>
      <c r="AED53" s="2"/>
      <c r="AEE53" s="2"/>
      <c r="AEF53" s="2"/>
      <c r="AEG53" s="2"/>
      <c r="AEH53" s="2"/>
      <c r="AEI53" s="2"/>
      <c r="AEJ53" s="2"/>
      <c r="AEK53" s="2"/>
      <c r="AEL53" s="2"/>
      <c r="AEM53" s="2"/>
      <c r="AEN53" s="2"/>
      <c r="AEO53" s="2"/>
      <c r="AEP53" s="2"/>
      <c r="AEQ53" s="2"/>
      <c r="AER53" s="2"/>
      <c r="AES53" s="2"/>
      <c r="AET53" s="2"/>
      <c r="AEU53" s="2"/>
      <c r="AEV53" s="2"/>
      <c r="AEW53" s="2"/>
      <c r="AEX53" s="2"/>
      <c r="AEY53" s="2"/>
      <c r="AEZ53" s="2"/>
      <c r="AFA53" s="2"/>
      <c r="AFB53" s="2"/>
      <c r="AFC53" s="2"/>
      <c r="AFD53" s="2"/>
      <c r="AFE53" s="2"/>
      <c r="AFF53" s="2"/>
      <c r="AFG53" s="2"/>
      <c r="AFH53" s="2"/>
      <c r="AFI53" s="2"/>
      <c r="AFJ53" s="2"/>
      <c r="AFK53" s="2"/>
      <c r="AFL53" s="2">
        <f t="shared" si="0"/>
        <v>175</v>
      </c>
    </row>
    <row r="54" spans="1:844" x14ac:dyDescent="0.3">
      <c r="B54" s="91">
        <v>45660855</v>
      </c>
      <c r="C54" s="52" t="s">
        <v>47</v>
      </c>
      <c r="D54" s="35" t="s">
        <v>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>
        <v>48</v>
      </c>
      <c r="AK54" s="2">
        <v>48</v>
      </c>
      <c r="AL54" s="2"/>
      <c r="AM54" s="2">
        <v>48</v>
      </c>
      <c r="AN54" s="2"/>
      <c r="AO54" s="2"/>
      <c r="AP54" s="2"/>
      <c r="AQ54" s="2"/>
      <c r="AR54" s="2"/>
      <c r="AS54" s="2">
        <v>48</v>
      </c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>
        <v>12</v>
      </c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>
        <v>1</v>
      </c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>
        <v>48</v>
      </c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>
        <v>48</v>
      </c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>
        <v>48</v>
      </c>
      <c r="NK54" s="2"/>
      <c r="NL54" s="2"/>
      <c r="NM54" s="2"/>
      <c r="NN54" s="2">
        <v>48</v>
      </c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>
        <f>48</f>
        <v>48</v>
      </c>
      <c r="QX54" s="2"/>
      <c r="QY54" s="2"/>
      <c r="QZ54" s="2">
        <f>48</f>
        <v>48</v>
      </c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>
        <f>48+48</f>
        <v>96</v>
      </c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>
        <v>48</v>
      </c>
      <c r="UL54" s="2"/>
      <c r="UM54" s="2"/>
      <c r="UN54" s="2">
        <v>48</v>
      </c>
      <c r="UO54" s="2"/>
      <c r="UP54" s="2"/>
      <c r="UQ54" s="2"/>
      <c r="UR54" s="2"/>
      <c r="US54" s="2"/>
      <c r="UT54" s="2">
        <v>1</v>
      </c>
      <c r="UU54" s="2"/>
      <c r="UV54" s="2"/>
      <c r="UW54" s="2"/>
      <c r="UX54" s="2"/>
      <c r="UY54" s="2"/>
      <c r="UZ54" s="2">
        <v>8</v>
      </c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>
        <v>28</v>
      </c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>
        <v>96</v>
      </c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>
        <v>96</v>
      </c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  <c r="AAA54" s="2"/>
      <c r="AAB54" s="2"/>
      <c r="AAC54" s="2"/>
      <c r="AAD54" s="2"/>
      <c r="AAE54" s="2"/>
      <c r="AAF54" s="2"/>
      <c r="AAG54" s="2"/>
      <c r="AAH54" s="2"/>
      <c r="AAI54" s="2"/>
      <c r="AAJ54" s="2"/>
      <c r="AAK54" s="2"/>
      <c r="AAL54" s="2"/>
      <c r="AAM54" s="2"/>
      <c r="AAN54" s="2"/>
      <c r="AAO54" s="2"/>
      <c r="AAP54" s="2"/>
      <c r="AAQ54" s="2"/>
      <c r="AAR54" s="2"/>
      <c r="AAS54" s="2"/>
      <c r="AAT54" s="2"/>
      <c r="AAU54" s="2"/>
      <c r="AAV54" s="2"/>
      <c r="AAW54" s="2"/>
      <c r="AAX54" s="2"/>
      <c r="AAY54" s="2"/>
      <c r="AAZ54" s="2"/>
      <c r="ABA54" s="2"/>
      <c r="ABB54" s="2"/>
      <c r="ABC54" s="2"/>
      <c r="ABD54" s="2"/>
      <c r="ABE54" s="2"/>
      <c r="ABF54" s="2"/>
      <c r="ABG54" s="2"/>
      <c r="ABH54" s="2"/>
      <c r="ABI54" s="2"/>
      <c r="ABJ54" s="2"/>
      <c r="ABK54" s="2"/>
      <c r="ABL54" s="2"/>
      <c r="ABM54" s="2"/>
      <c r="ABN54" s="2">
        <v>96</v>
      </c>
      <c r="ABO54" s="2"/>
      <c r="ABP54" s="2"/>
      <c r="ABQ54" s="2"/>
      <c r="ABR54" s="2"/>
      <c r="ABS54" s="2"/>
      <c r="ABT54" s="2"/>
      <c r="ABU54" s="2"/>
      <c r="ABV54" s="2"/>
      <c r="ABW54" s="2"/>
      <c r="ABX54" s="2"/>
      <c r="ABY54" s="2"/>
      <c r="ABZ54" s="2"/>
      <c r="ACA54" s="2"/>
      <c r="ACB54" s="2">
        <v>42</v>
      </c>
      <c r="ACC54" s="2"/>
      <c r="ACD54" s="2"/>
      <c r="ACE54" s="2"/>
      <c r="ACF54" s="2"/>
      <c r="ACG54" s="2"/>
      <c r="ACH54" s="2"/>
      <c r="ACI54" s="2"/>
      <c r="ACJ54" s="2"/>
      <c r="ACK54" s="2"/>
      <c r="ACL54" s="2"/>
      <c r="ACM54" s="2"/>
      <c r="ACN54" s="2"/>
      <c r="ACO54" s="2"/>
      <c r="ACP54" s="2"/>
      <c r="ACQ54" s="2"/>
      <c r="ACR54" s="2"/>
      <c r="ACS54" s="2"/>
      <c r="ACT54" s="2"/>
      <c r="ACU54" s="2"/>
      <c r="ACV54" s="2">
        <v>28</v>
      </c>
      <c r="ACW54" s="2"/>
      <c r="ACX54" s="2"/>
      <c r="ACY54" s="2"/>
      <c r="ACZ54" s="2"/>
      <c r="ADA54" s="2"/>
      <c r="ADB54" s="2"/>
      <c r="ADC54" s="2"/>
      <c r="ADD54" s="2"/>
      <c r="ADE54" s="2"/>
      <c r="ADF54" s="2"/>
      <c r="ADG54" s="2"/>
      <c r="ADH54" s="2"/>
      <c r="ADI54" s="2"/>
      <c r="ADJ54" s="2"/>
      <c r="ADK54" s="2"/>
      <c r="ADL54" s="2"/>
      <c r="ADM54" s="2"/>
      <c r="ADN54" s="2"/>
      <c r="ADO54" s="2"/>
      <c r="ADP54" s="2"/>
      <c r="ADQ54" s="2"/>
      <c r="ADR54" s="2"/>
      <c r="ADS54" s="2"/>
      <c r="ADT54" s="2"/>
      <c r="ADU54" s="2"/>
      <c r="ADV54" s="2"/>
      <c r="ADW54" s="2"/>
      <c r="ADX54" s="2"/>
      <c r="ADY54" s="2"/>
      <c r="ADZ54" s="2"/>
      <c r="AEA54" s="2"/>
      <c r="AEB54" s="2"/>
      <c r="AEC54" s="2"/>
      <c r="AED54" s="2"/>
      <c r="AEE54" s="2"/>
      <c r="AEF54" s="2"/>
      <c r="AEG54" s="2"/>
      <c r="AEH54" s="2"/>
      <c r="AEI54" s="2"/>
      <c r="AEJ54" s="2"/>
      <c r="AEK54" s="2"/>
      <c r="AEL54" s="2"/>
      <c r="AEM54" s="2"/>
      <c r="AEN54" s="2"/>
      <c r="AEO54" s="2"/>
      <c r="AEP54" s="2"/>
      <c r="AEQ54" s="2"/>
      <c r="AER54" s="2"/>
      <c r="AES54" s="2"/>
      <c r="AET54" s="2"/>
      <c r="AEU54" s="2"/>
      <c r="AEV54" s="2"/>
      <c r="AEW54" s="2"/>
      <c r="AEX54" s="2"/>
      <c r="AEY54" s="2"/>
      <c r="AEZ54" s="2"/>
      <c r="AFA54" s="2"/>
      <c r="AFB54" s="2"/>
      <c r="AFC54" s="2"/>
      <c r="AFD54" s="2"/>
      <c r="AFE54" s="2"/>
      <c r="AFF54" s="2"/>
      <c r="AFG54" s="2"/>
      <c r="AFH54" s="2"/>
      <c r="AFI54" s="2"/>
      <c r="AFJ54" s="2"/>
      <c r="AFK54" s="2"/>
      <c r="AFL54" s="2">
        <f t="shared" si="0"/>
        <v>1080</v>
      </c>
    </row>
    <row r="55" spans="1:844" s="4" customFormat="1" x14ac:dyDescent="0.3">
      <c r="A55" s="11"/>
      <c r="B55" s="91">
        <v>45684809</v>
      </c>
      <c r="C55" s="52" t="s">
        <v>49</v>
      </c>
      <c r="D55" s="35">
        <v>209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>
        <f>4+4</f>
        <v>8</v>
      </c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>
        <v>4</v>
      </c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>
        <v>4</v>
      </c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>
        <v>4</v>
      </c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>
        <v>8</v>
      </c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>
        <v>16</v>
      </c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>
        <f>4</f>
        <v>4</v>
      </c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>
        <v>12</v>
      </c>
      <c r="UE55" s="2"/>
      <c r="UF55" s="2"/>
      <c r="UG55" s="2"/>
      <c r="UH55" s="2"/>
      <c r="UI55" s="2"/>
      <c r="UJ55" s="2">
        <v>4</v>
      </c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>
        <v>4</v>
      </c>
      <c r="XR55" s="2">
        <v>4</v>
      </c>
      <c r="XS55" s="2"/>
      <c r="XT55" s="2"/>
      <c r="XU55" s="2"/>
      <c r="XV55" s="2"/>
      <c r="XW55" s="2"/>
      <c r="XX55" s="2"/>
      <c r="XY55" s="2"/>
      <c r="XZ55" s="2"/>
      <c r="YA55" s="2">
        <v>8</v>
      </c>
      <c r="YB55" s="2"/>
      <c r="YC55" s="2"/>
      <c r="YD55" s="2"/>
      <c r="YE55" s="2"/>
      <c r="YF55" s="2"/>
      <c r="YG55" s="2"/>
      <c r="YH55" s="2"/>
      <c r="YI55" s="2"/>
      <c r="YJ55" s="2"/>
      <c r="YK55" s="2">
        <v>8</v>
      </c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>
        <v>2</v>
      </c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>
        <v>8</v>
      </c>
      <c r="AAA55" s="2"/>
      <c r="AAB55" s="2"/>
      <c r="AAC55" s="2"/>
      <c r="AAD55" s="2"/>
      <c r="AAE55" s="2"/>
      <c r="AAF55" s="2"/>
      <c r="AAG55" s="2"/>
      <c r="AAH55" s="2"/>
      <c r="AAI55" s="2"/>
      <c r="AAJ55" s="2"/>
      <c r="AAK55" s="2"/>
      <c r="AAL55" s="2"/>
      <c r="AAM55" s="2"/>
      <c r="AAN55" s="2"/>
      <c r="AAO55" s="2"/>
      <c r="AAP55" s="2"/>
      <c r="AAQ55" s="2"/>
      <c r="AAR55" s="2"/>
      <c r="AAS55" s="2"/>
      <c r="AAT55" s="2"/>
      <c r="AAU55" s="2"/>
      <c r="AAV55" s="2"/>
      <c r="AAW55" s="2"/>
      <c r="AAX55" s="2"/>
      <c r="AAY55" s="2"/>
      <c r="AAZ55" s="2"/>
      <c r="ABA55" s="2"/>
      <c r="ABB55" s="2"/>
      <c r="ABC55" s="2"/>
      <c r="ABD55" s="2"/>
      <c r="ABE55" s="2"/>
      <c r="ABF55" s="2"/>
      <c r="ABG55" s="2"/>
      <c r="ABH55" s="2"/>
      <c r="ABI55" s="2"/>
      <c r="ABJ55" s="2"/>
      <c r="ABK55" s="2"/>
      <c r="ABL55" s="2"/>
      <c r="ABM55" s="2"/>
      <c r="ABN55" s="2">
        <v>14</v>
      </c>
      <c r="ABO55" s="2"/>
      <c r="ABP55" s="2"/>
      <c r="ABQ55" s="2"/>
      <c r="ABR55" s="2"/>
      <c r="ABS55" s="2"/>
      <c r="ABT55" s="2"/>
      <c r="ABU55" s="2"/>
      <c r="ABV55" s="2"/>
      <c r="ABW55" s="2"/>
      <c r="ABX55" s="2"/>
      <c r="ABY55" s="2"/>
      <c r="ABZ55" s="2"/>
      <c r="ACA55" s="2"/>
      <c r="ACB55" s="2"/>
      <c r="ACC55" s="2"/>
      <c r="ACD55" s="2"/>
      <c r="ACE55" s="2"/>
      <c r="ACF55" s="2"/>
      <c r="ACG55" s="2"/>
      <c r="ACH55" s="2"/>
      <c r="ACI55" s="2"/>
      <c r="ACJ55" s="2"/>
      <c r="ACK55" s="2"/>
      <c r="ACL55" s="2"/>
      <c r="ACM55" s="2"/>
      <c r="ACN55" s="2"/>
      <c r="ACO55" s="2"/>
      <c r="ACP55" s="2"/>
      <c r="ACQ55" s="2"/>
      <c r="ACR55" s="2"/>
      <c r="ACS55" s="2"/>
      <c r="ACT55" s="2"/>
      <c r="ACU55" s="2"/>
      <c r="ACV55" s="2"/>
      <c r="ACW55" s="2"/>
      <c r="ACX55" s="2"/>
      <c r="ACY55" s="2"/>
      <c r="ACZ55" s="2"/>
      <c r="ADA55" s="2"/>
      <c r="ADB55" s="2"/>
      <c r="ADC55" s="2"/>
      <c r="ADD55" s="2"/>
      <c r="ADE55" s="2"/>
      <c r="ADF55" s="2"/>
      <c r="ADG55" s="2"/>
      <c r="ADH55" s="2"/>
      <c r="ADI55" s="2"/>
      <c r="ADJ55" s="2"/>
      <c r="ADK55" s="2"/>
      <c r="ADL55" s="2"/>
      <c r="ADM55" s="2"/>
      <c r="ADN55" s="2"/>
      <c r="ADO55" s="2">
        <v>4</v>
      </c>
      <c r="ADP55" s="2"/>
      <c r="ADQ55" s="2">
        <v>6</v>
      </c>
      <c r="ADR55" s="2">
        <v>12</v>
      </c>
      <c r="ADS55" s="2"/>
      <c r="ADT55" s="2"/>
      <c r="ADU55" s="2"/>
      <c r="ADV55" s="2"/>
      <c r="ADW55" s="2"/>
      <c r="ADX55" s="2"/>
      <c r="ADY55" s="2"/>
      <c r="ADZ55" s="2"/>
      <c r="AEA55" s="2"/>
      <c r="AEB55" s="2"/>
      <c r="AEC55" s="2"/>
      <c r="AED55" s="2"/>
      <c r="AEE55" s="2"/>
      <c r="AEF55" s="2"/>
      <c r="AEG55" s="2"/>
      <c r="AEH55" s="2">
        <v>10</v>
      </c>
      <c r="AEI55" s="2"/>
      <c r="AEJ55" s="2"/>
      <c r="AEK55" s="2"/>
      <c r="AEL55" s="2"/>
      <c r="AEM55" s="2"/>
      <c r="AEN55" s="2"/>
      <c r="AEO55" s="2"/>
      <c r="AEP55" s="2"/>
      <c r="AEQ55" s="2"/>
      <c r="AER55" s="2"/>
      <c r="AES55" s="2"/>
      <c r="AET55" s="2"/>
      <c r="AEU55" s="2"/>
      <c r="AEV55" s="2"/>
      <c r="AEW55" s="2"/>
      <c r="AEX55" s="2"/>
      <c r="AEY55" s="2"/>
      <c r="AEZ55" s="2"/>
      <c r="AFA55" s="2"/>
      <c r="AFB55" s="2"/>
      <c r="AFC55" s="2"/>
      <c r="AFD55" s="2"/>
      <c r="AFE55" s="2"/>
      <c r="AFF55" s="2"/>
      <c r="AFG55" s="2"/>
      <c r="AFH55" s="2"/>
      <c r="AFI55" s="2"/>
      <c r="AFJ55" s="2"/>
      <c r="AFK55" s="2"/>
      <c r="AFL55" s="2">
        <f t="shared" si="0"/>
        <v>144</v>
      </c>
    </row>
    <row r="56" spans="1:844" s="11" customFormat="1" x14ac:dyDescent="0.3">
      <c r="B56" s="91">
        <v>550047184</v>
      </c>
      <c r="C56" s="52" t="s">
        <v>1034</v>
      </c>
      <c r="D56" s="35" t="s">
        <v>905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  <c r="AAA56" s="2"/>
      <c r="AAB56" s="2"/>
      <c r="AAC56" s="2"/>
      <c r="AAD56" s="2"/>
      <c r="AAE56" s="2"/>
      <c r="AAF56" s="2"/>
      <c r="AAG56" s="2"/>
      <c r="AAH56" s="2"/>
      <c r="AAI56" s="2"/>
      <c r="AAJ56" s="2"/>
      <c r="AAK56" s="2"/>
      <c r="AAL56" s="2"/>
      <c r="AAM56" s="2"/>
      <c r="AAN56" s="2"/>
      <c r="AAO56" s="2"/>
      <c r="AAP56" s="2"/>
      <c r="AAQ56" s="2"/>
      <c r="AAR56" s="2"/>
      <c r="AAS56" s="2"/>
      <c r="AAT56" s="2"/>
      <c r="AAU56" s="2"/>
      <c r="AAV56" s="2"/>
      <c r="AAW56" s="2"/>
      <c r="AAX56" s="2"/>
      <c r="AAY56" s="2"/>
      <c r="AAZ56" s="2"/>
      <c r="ABA56" s="2"/>
      <c r="ABB56" s="2"/>
      <c r="ABC56" s="2"/>
      <c r="ABD56" s="2"/>
      <c r="ABE56" s="2"/>
      <c r="ABF56" s="2"/>
      <c r="ABG56" s="2"/>
      <c r="ABH56" s="2"/>
      <c r="ABI56" s="2"/>
      <c r="ABJ56" s="2"/>
      <c r="ABK56" s="2"/>
      <c r="ABL56" s="2"/>
      <c r="ABM56" s="2"/>
      <c r="ABN56" s="2"/>
      <c r="ABO56" s="2"/>
      <c r="ABP56" s="2"/>
      <c r="ABQ56" s="2"/>
      <c r="ABR56" s="2"/>
      <c r="ABS56" s="2"/>
      <c r="ABT56" s="2"/>
      <c r="ABU56" s="2"/>
      <c r="ABV56" s="2"/>
      <c r="ABW56" s="2"/>
      <c r="ABX56" s="2"/>
      <c r="ABY56" s="2"/>
      <c r="ABZ56" s="2"/>
      <c r="ACA56" s="2"/>
      <c r="ACB56" s="2"/>
      <c r="ACC56" s="2"/>
      <c r="ACD56" s="2"/>
      <c r="ACE56" s="2"/>
      <c r="ACF56" s="2"/>
      <c r="ACG56" s="2"/>
      <c r="ACH56" s="2"/>
      <c r="ACI56" s="2"/>
      <c r="ACJ56" s="2"/>
      <c r="ACK56" s="2"/>
      <c r="ACL56" s="2"/>
      <c r="ACM56" s="2"/>
      <c r="ACN56" s="2"/>
      <c r="ACO56" s="2"/>
      <c r="ACP56" s="2"/>
      <c r="ACQ56" s="2"/>
      <c r="ACR56" s="2"/>
      <c r="ACS56" s="2"/>
      <c r="ACT56" s="2"/>
      <c r="ACU56" s="2"/>
      <c r="ACV56" s="2"/>
      <c r="ACW56" s="2"/>
      <c r="ACX56" s="2"/>
      <c r="ACY56" s="2"/>
      <c r="ACZ56" s="2"/>
      <c r="ADA56" s="2"/>
      <c r="ADB56" s="2"/>
      <c r="ADC56" s="2"/>
      <c r="ADD56" s="2"/>
      <c r="ADE56" s="2"/>
      <c r="ADF56" s="2"/>
      <c r="ADG56" s="2"/>
      <c r="ADH56" s="2"/>
      <c r="ADI56" s="2"/>
      <c r="ADJ56" s="2"/>
      <c r="ADK56" s="2"/>
      <c r="ADL56" s="2"/>
      <c r="ADM56" s="2"/>
      <c r="ADN56" s="2"/>
      <c r="ADO56" s="2"/>
      <c r="ADP56" s="2"/>
      <c r="ADQ56" s="2"/>
      <c r="ADR56" s="2"/>
      <c r="ADS56" s="2"/>
      <c r="ADT56" s="2"/>
      <c r="ADU56" s="2">
        <v>24</v>
      </c>
      <c r="ADV56" s="2"/>
      <c r="ADW56" s="2"/>
      <c r="ADX56" s="2"/>
      <c r="ADY56" s="2"/>
      <c r="ADZ56" s="2"/>
      <c r="AEA56" s="2"/>
      <c r="AEB56" s="2"/>
      <c r="AEC56" s="2"/>
      <c r="AED56" s="2"/>
      <c r="AEE56" s="2"/>
      <c r="AEF56" s="2"/>
      <c r="AEG56" s="2"/>
      <c r="AEH56" s="2">
        <v>2</v>
      </c>
      <c r="AEI56" s="2"/>
      <c r="AEJ56" s="2"/>
      <c r="AEK56" s="2"/>
      <c r="AEL56" s="2"/>
      <c r="AEM56" s="2"/>
      <c r="AEN56" s="2"/>
      <c r="AEO56" s="2"/>
      <c r="AEP56" s="2"/>
      <c r="AEQ56" s="2"/>
      <c r="AER56" s="2"/>
      <c r="AES56" s="2"/>
      <c r="AET56" s="2"/>
      <c r="AEU56" s="2"/>
      <c r="AEV56" s="2"/>
      <c r="AEW56" s="2"/>
      <c r="AEX56" s="2"/>
      <c r="AEY56" s="2"/>
      <c r="AEZ56" s="2"/>
      <c r="AFA56" s="2"/>
      <c r="AFB56" s="2"/>
      <c r="AFC56" s="2"/>
      <c r="AFD56" s="2"/>
      <c r="AFE56" s="2"/>
      <c r="AFF56" s="2"/>
      <c r="AFG56" s="2"/>
      <c r="AFH56" s="2"/>
      <c r="AFI56" s="2"/>
      <c r="AFJ56" s="2"/>
      <c r="AFK56" s="2"/>
      <c r="AFL56" s="2">
        <f t="shared" si="0"/>
        <v>26</v>
      </c>
    </row>
    <row r="57" spans="1:844" s="11" customFormat="1" x14ac:dyDescent="0.3">
      <c r="B57" s="91">
        <v>45685855</v>
      </c>
      <c r="C57" s="52" t="s">
        <v>51</v>
      </c>
      <c r="D57" s="35" t="s">
        <v>4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>
        <v>24</v>
      </c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>
        <v>48</v>
      </c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>
        <v>24</v>
      </c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>
        <v>1</v>
      </c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>
        <v>48</v>
      </c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>
        <v>29</v>
      </c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>
        <v>48</v>
      </c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>
        <v>1</v>
      </c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>
        <f>48</f>
        <v>48</v>
      </c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>
        <v>48</v>
      </c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>
        <v>40</v>
      </c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>
        <v>1</v>
      </c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  <c r="AAA57" s="2"/>
      <c r="AAB57" s="2"/>
      <c r="AAC57" s="2"/>
      <c r="AAD57" s="2"/>
      <c r="AAE57" s="2"/>
      <c r="AAF57" s="2"/>
      <c r="AAG57" s="2"/>
      <c r="AAH57" s="2"/>
      <c r="AAI57" s="2"/>
      <c r="AAJ57" s="2"/>
      <c r="AAK57" s="2"/>
      <c r="AAL57" s="2"/>
      <c r="AAM57" s="2"/>
      <c r="AAN57" s="2"/>
      <c r="AAO57" s="2"/>
      <c r="AAP57" s="2"/>
      <c r="AAQ57" s="2"/>
      <c r="AAR57" s="2"/>
      <c r="AAS57" s="2"/>
      <c r="AAT57" s="2"/>
      <c r="AAU57" s="2"/>
      <c r="AAV57" s="2"/>
      <c r="AAW57" s="2"/>
      <c r="AAX57" s="2"/>
      <c r="AAY57" s="2"/>
      <c r="AAZ57" s="2"/>
      <c r="ABA57" s="2"/>
      <c r="ABB57" s="2"/>
      <c r="ABC57" s="2"/>
      <c r="ABD57" s="2"/>
      <c r="ABE57" s="2"/>
      <c r="ABF57" s="2"/>
      <c r="ABG57" s="2"/>
      <c r="ABH57" s="2"/>
      <c r="ABI57" s="2"/>
      <c r="ABJ57" s="2"/>
      <c r="ABK57" s="2"/>
      <c r="ABL57" s="2"/>
      <c r="ABM57" s="2"/>
      <c r="ABN57" s="2"/>
      <c r="ABO57" s="2"/>
      <c r="ABP57" s="2"/>
      <c r="ABQ57" s="2"/>
      <c r="ABR57" s="2"/>
      <c r="ABS57" s="2"/>
      <c r="ABT57" s="2"/>
      <c r="ABU57" s="2"/>
      <c r="ABV57" s="2"/>
      <c r="ABW57" s="2"/>
      <c r="ABX57" s="2"/>
      <c r="ABY57" s="2"/>
      <c r="ABZ57" s="2"/>
      <c r="ACA57" s="2"/>
      <c r="ACB57" s="2"/>
      <c r="ACC57" s="2"/>
      <c r="ACD57" s="2"/>
      <c r="ACE57" s="2"/>
      <c r="ACF57" s="2"/>
      <c r="ACG57" s="2"/>
      <c r="ACH57" s="2"/>
      <c r="ACI57" s="2"/>
      <c r="ACJ57" s="2"/>
      <c r="ACK57" s="2"/>
      <c r="ACL57" s="2"/>
      <c r="ACM57" s="2"/>
      <c r="ACN57" s="2"/>
      <c r="ACO57" s="2"/>
      <c r="ACP57" s="2"/>
      <c r="ACQ57" s="2"/>
      <c r="ACR57" s="2"/>
      <c r="ACS57" s="2"/>
      <c r="ACT57" s="2"/>
      <c r="ACU57" s="2"/>
      <c r="ACV57" s="2"/>
      <c r="ACW57" s="2"/>
      <c r="ACX57" s="2"/>
      <c r="ACY57" s="2"/>
      <c r="ACZ57" s="2"/>
      <c r="ADA57" s="2"/>
      <c r="ADB57" s="2"/>
      <c r="ADC57" s="2"/>
      <c r="ADD57" s="2"/>
      <c r="ADE57" s="2"/>
      <c r="ADF57" s="2"/>
      <c r="ADG57" s="2"/>
      <c r="ADH57" s="2"/>
      <c r="ADI57" s="2"/>
      <c r="ADJ57" s="2"/>
      <c r="ADK57" s="2"/>
      <c r="ADL57" s="2"/>
      <c r="ADM57" s="2"/>
      <c r="ADN57" s="2"/>
      <c r="ADO57" s="2"/>
      <c r="ADP57" s="2"/>
      <c r="ADQ57" s="2"/>
      <c r="ADR57" s="2"/>
      <c r="ADS57" s="2"/>
      <c r="ADT57" s="2"/>
      <c r="ADU57" s="2"/>
      <c r="ADV57" s="2"/>
      <c r="ADW57" s="2"/>
      <c r="ADX57" s="2"/>
      <c r="ADY57" s="2"/>
      <c r="ADZ57" s="2"/>
      <c r="AEA57" s="2"/>
      <c r="AEB57" s="2"/>
      <c r="AEC57" s="2"/>
      <c r="AED57" s="2"/>
      <c r="AEE57" s="2"/>
      <c r="AEF57" s="2"/>
      <c r="AEG57" s="2"/>
      <c r="AEH57" s="2"/>
      <c r="AEI57" s="2"/>
      <c r="AEJ57" s="2"/>
      <c r="AEK57" s="2"/>
      <c r="AEL57" s="2"/>
      <c r="AEM57" s="2"/>
      <c r="AEN57" s="2"/>
      <c r="AEO57" s="2"/>
      <c r="AEP57" s="2"/>
      <c r="AEQ57" s="2"/>
      <c r="AER57" s="2"/>
      <c r="AES57" s="2"/>
      <c r="AET57" s="2"/>
      <c r="AEU57" s="2"/>
      <c r="AEV57" s="2"/>
      <c r="AEW57" s="2"/>
      <c r="AEX57" s="2"/>
      <c r="AEY57" s="2"/>
      <c r="AEZ57" s="2"/>
      <c r="AFA57" s="2"/>
      <c r="AFB57" s="2"/>
      <c r="AFC57" s="2"/>
      <c r="AFD57" s="2"/>
      <c r="AFE57" s="2"/>
      <c r="AFF57" s="2"/>
      <c r="AFG57" s="2"/>
      <c r="AFH57" s="2"/>
      <c r="AFI57" s="2"/>
      <c r="AFJ57" s="2"/>
      <c r="AFK57" s="2"/>
      <c r="AFL57" s="2">
        <f t="shared" si="0"/>
        <v>360</v>
      </c>
    </row>
    <row r="58" spans="1:844" s="11" customFormat="1" x14ac:dyDescent="0.3">
      <c r="B58" s="91">
        <v>550025692</v>
      </c>
      <c r="C58" s="52" t="s">
        <v>125</v>
      </c>
      <c r="D58" s="35" t="s">
        <v>5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>
        <v>28</v>
      </c>
      <c r="IZ58" s="2"/>
      <c r="JA58" s="2"/>
      <c r="JB58" s="2"/>
      <c r="JC58" s="2"/>
      <c r="JD58" s="2"/>
      <c r="JE58" s="2"/>
      <c r="JF58" s="2"/>
      <c r="JG58" s="2"/>
      <c r="JH58" s="2">
        <v>28</v>
      </c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>
        <v>21</v>
      </c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>
        <v>28</v>
      </c>
      <c r="LD58" s="2">
        <v>28</v>
      </c>
      <c r="LE58" s="2"/>
      <c r="LF58" s="2"/>
      <c r="LG58" s="2"/>
      <c r="LH58" s="2"/>
      <c r="LI58" s="2"/>
      <c r="LJ58" s="2"/>
      <c r="LK58" s="2"/>
      <c r="LL58" s="2"/>
      <c r="LM58" s="2">
        <v>28</v>
      </c>
      <c r="LN58" s="2">
        <v>14</v>
      </c>
      <c r="LO58" s="2"/>
      <c r="LP58" s="2"/>
      <c r="LQ58" s="2"/>
      <c r="LR58" s="2"/>
      <c r="LS58" s="2"/>
      <c r="LT58" s="2"/>
      <c r="LU58" s="12">
        <v>3</v>
      </c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>
        <v>14</v>
      </c>
      <c r="MN58" s="2"/>
      <c r="MO58" s="2"/>
      <c r="MP58" s="2"/>
      <c r="MQ58" s="2"/>
      <c r="MR58" s="2">
        <v>28</v>
      </c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>
        <v>28</v>
      </c>
      <c r="NY58" s="2"/>
      <c r="NZ58" s="2"/>
      <c r="OA58" s="2"/>
      <c r="OB58" s="2"/>
      <c r="OC58" s="2"/>
      <c r="OD58" s="2">
        <v>56</v>
      </c>
      <c r="OE58" s="2"/>
      <c r="OF58" s="2"/>
      <c r="OG58" s="2"/>
      <c r="OH58" s="2"/>
      <c r="OI58" s="2">
        <v>40</v>
      </c>
      <c r="OJ58" s="2"/>
      <c r="OK58" s="2"/>
      <c r="OL58" s="2"/>
      <c r="OM58" s="2"/>
      <c r="ON58" s="2"/>
      <c r="OO58" s="2"/>
      <c r="OP58" s="2">
        <v>28</v>
      </c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>
        <f>28</f>
        <v>28</v>
      </c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>
        <f>28+28</f>
        <v>56</v>
      </c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>
        <v>28</v>
      </c>
      <c r="VD58" s="2"/>
      <c r="VE58" s="2"/>
      <c r="VF58" s="2"/>
      <c r="VG58" s="2"/>
      <c r="VH58" s="2"/>
      <c r="VI58" s="2"/>
      <c r="VJ58" s="2"/>
      <c r="VK58" s="2"/>
      <c r="VL58" s="2"/>
      <c r="VM58" s="2">
        <v>25</v>
      </c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>
        <v>28</v>
      </c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  <c r="AAA58" s="2"/>
      <c r="AAB58" s="2"/>
      <c r="AAC58" s="2"/>
      <c r="AAD58" s="2"/>
      <c r="AAE58" s="2"/>
      <c r="AAF58" s="2"/>
      <c r="AAG58" s="2"/>
      <c r="AAH58" s="2"/>
      <c r="AAI58" s="2"/>
      <c r="AAJ58" s="2"/>
      <c r="AAK58" s="2"/>
      <c r="AAL58" s="2"/>
      <c r="AAM58" s="2"/>
      <c r="AAN58" s="2"/>
      <c r="AAO58" s="2"/>
      <c r="AAP58" s="2"/>
      <c r="AAQ58" s="2"/>
      <c r="AAR58" s="2"/>
      <c r="AAS58" s="2"/>
      <c r="AAT58" s="2"/>
      <c r="AAU58" s="2"/>
      <c r="AAV58" s="2"/>
      <c r="AAW58" s="2"/>
      <c r="AAX58" s="2"/>
      <c r="AAY58" s="2"/>
      <c r="AAZ58" s="2"/>
      <c r="ABA58" s="2"/>
      <c r="ABB58" s="2"/>
      <c r="ABC58" s="2"/>
      <c r="ABD58" s="2"/>
      <c r="ABE58" s="2"/>
      <c r="ABF58" s="2"/>
      <c r="ABG58" s="2"/>
      <c r="ABH58" s="2"/>
      <c r="ABI58" s="2"/>
      <c r="ABJ58" s="2"/>
      <c r="ABK58" s="2"/>
      <c r="ABL58" s="2"/>
      <c r="ABM58" s="2"/>
      <c r="ABN58" s="2"/>
      <c r="ABO58" s="2"/>
      <c r="ABP58" s="2"/>
      <c r="ABQ58" s="2"/>
      <c r="ABR58" s="2"/>
      <c r="ABS58" s="2"/>
      <c r="ABT58" s="2"/>
      <c r="ABU58" s="2"/>
      <c r="ABV58" s="2"/>
      <c r="ABW58" s="2"/>
      <c r="ABX58" s="2"/>
      <c r="ABY58" s="2"/>
      <c r="ABZ58" s="2"/>
      <c r="ACA58" s="2"/>
      <c r="ACB58" s="2"/>
      <c r="ACC58" s="2"/>
      <c r="ACD58" s="2"/>
      <c r="ACE58" s="2"/>
      <c r="ACF58" s="2"/>
      <c r="ACG58" s="2"/>
      <c r="ACH58" s="2"/>
      <c r="ACI58" s="2"/>
      <c r="ACJ58" s="2"/>
      <c r="ACK58" s="2"/>
      <c r="ACL58" s="2"/>
      <c r="ACM58" s="2"/>
      <c r="ACN58" s="2"/>
      <c r="ACO58" s="2"/>
      <c r="ACP58" s="2"/>
      <c r="ACQ58" s="2"/>
      <c r="ACR58" s="2"/>
      <c r="ACS58" s="2"/>
      <c r="ACT58" s="2"/>
      <c r="ACU58" s="2"/>
      <c r="ACV58" s="2"/>
      <c r="ACW58" s="2"/>
      <c r="ACX58" s="2"/>
      <c r="ACY58" s="2"/>
      <c r="ACZ58" s="2"/>
      <c r="ADA58" s="2"/>
      <c r="ADB58" s="2"/>
      <c r="ADC58" s="2"/>
      <c r="ADD58" s="2"/>
      <c r="ADE58" s="2"/>
      <c r="ADF58" s="2"/>
      <c r="ADG58" s="2"/>
      <c r="ADH58" s="2"/>
      <c r="ADI58" s="2"/>
      <c r="ADJ58" s="2"/>
      <c r="ADK58" s="2"/>
      <c r="ADL58" s="2"/>
      <c r="ADM58" s="2"/>
      <c r="ADN58" s="2"/>
      <c r="ADO58" s="2"/>
      <c r="ADP58" s="2"/>
      <c r="ADQ58" s="2"/>
      <c r="ADR58" s="2"/>
      <c r="ADS58" s="2"/>
      <c r="ADT58" s="2"/>
      <c r="ADU58" s="2"/>
      <c r="ADV58" s="2"/>
      <c r="ADW58" s="2"/>
      <c r="ADX58" s="2"/>
      <c r="ADY58" s="2"/>
      <c r="ADZ58" s="2"/>
      <c r="AEA58" s="2"/>
      <c r="AEB58" s="2"/>
      <c r="AEC58" s="2"/>
      <c r="AED58" s="2"/>
      <c r="AEE58" s="2"/>
      <c r="AEF58" s="2"/>
      <c r="AEG58" s="2"/>
      <c r="AEH58" s="2"/>
      <c r="AEI58" s="2"/>
      <c r="AEJ58" s="2"/>
      <c r="AEK58" s="2"/>
      <c r="AEL58" s="2"/>
      <c r="AEM58" s="2"/>
      <c r="AEN58" s="2"/>
      <c r="AEO58" s="2"/>
      <c r="AEP58" s="2"/>
      <c r="AEQ58" s="2"/>
      <c r="AER58" s="2"/>
      <c r="AES58" s="2"/>
      <c r="AET58" s="2"/>
      <c r="AEU58" s="2"/>
      <c r="AEV58" s="2"/>
      <c r="AEW58" s="2"/>
      <c r="AEX58" s="2"/>
      <c r="AEY58" s="2"/>
      <c r="AEZ58" s="2"/>
      <c r="AFA58" s="2"/>
      <c r="AFB58" s="2"/>
      <c r="AFC58" s="2"/>
      <c r="AFD58" s="2"/>
      <c r="AFE58" s="2"/>
      <c r="AFF58" s="2"/>
      <c r="AFG58" s="2"/>
      <c r="AFH58" s="2"/>
      <c r="AFI58" s="2"/>
      <c r="AFJ58" s="2"/>
      <c r="AFK58" s="2"/>
      <c r="AFL58" s="2">
        <f t="shared" si="0"/>
        <v>537</v>
      </c>
    </row>
    <row r="59" spans="1:844" x14ac:dyDescent="0.3">
      <c r="B59" s="91">
        <v>550026834</v>
      </c>
      <c r="C59" s="52" t="s">
        <v>127</v>
      </c>
      <c r="D59" s="35" t="s">
        <v>18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>
        <v>4</v>
      </c>
      <c r="FR59" s="2"/>
      <c r="FS59" s="2">
        <f>4+4</f>
        <v>8</v>
      </c>
      <c r="FT59" s="2"/>
      <c r="FU59" s="2"/>
      <c r="FV59" s="2"/>
      <c r="FW59" s="2"/>
      <c r="FX59" s="2">
        <v>4</v>
      </c>
      <c r="FY59" s="2"/>
      <c r="FZ59" s="2"/>
      <c r="GA59" s="2"/>
      <c r="GB59" s="2"/>
      <c r="GC59" s="2">
        <v>8</v>
      </c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>
        <v>4</v>
      </c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>
        <v>2</v>
      </c>
      <c r="KK59" s="2"/>
      <c r="KL59" s="2"/>
      <c r="KM59" s="2"/>
      <c r="KN59" s="2"/>
      <c r="KO59" s="2"/>
      <c r="KP59" s="2"/>
      <c r="KQ59" s="2"/>
      <c r="KR59" s="2">
        <v>8</v>
      </c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>
        <v>8</v>
      </c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>
        <v>8</v>
      </c>
      <c r="ME59" s="2"/>
      <c r="MF59" s="2"/>
      <c r="MG59" s="2">
        <v>8</v>
      </c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>
        <v>4</v>
      </c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>
        <v>8</v>
      </c>
      <c r="NU59" s="2">
        <v>10</v>
      </c>
      <c r="NV59" s="2"/>
      <c r="NW59" s="2"/>
      <c r="NX59" s="2">
        <v>32</v>
      </c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>
        <v>2</v>
      </c>
      <c r="UO59" s="2"/>
      <c r="UP59" s="2"/>
      <c r="UQ59" s="2"/>
      <c r="UR59" s="2"/>
      <c r="US59" s="2"/>
      <c r="UT59" s="2"/>
      <c r="UU59" s="2">
        <v>4</v>
      </c>
      <c r="UV59" s="2"/>
      <c r="UW59" s="2"/>
      <c r="UX59" s="2">
        <v>4</v>
      </c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>
        <v>16</v>
      </c>
      <c r="WP59" s="2">
        <v>16</v>
      </c>
      <c r="WQ59" s="2"/>
      <c r="WR59" s="2"/>
      <c r="WS59" s="2"/>
      <c r="WT59" s="2"/>
      <c r="WU59" s="2"/>
      <c r="WV59" s="2"/>
      <c r="WW59" s="2"/>
      <c r="WX59" s="2"/>
      <c r="WY59" s="2">
        <v>4</v>
      </c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>
        <v>4</v>
      </c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  <c r="AAA59" s="2"/>
      <c r="AAB59" s="2"/>
      <c r="AAC59" s="2"/>
      <c r="AAD59" s="2"/>
      <c r="AAE59" s="2"/>
      <c r="AAF59" s="2"/>
      <c r="AAG59" s="2"/>
      <c r="AAH59" s="2"/>
      <c r="AAI59" s="2"/>
      <c r="AAJ59" s="2"/>
      <c r="AAK59" s="2"/>
      <c r="AAL59" s="2"/>
      <c r="AAM59" s="2"/>
      <c r="AAN59" s="2"/>
      <c r="AAO59" s="2"/>
      <c r="AAP59" s="2"/>
      <c r="AAQ59" s="2"/>
      <c r="AAR59" s="2"/>
      <c r="AAS59" s="2"/>
      <c r="AAT59" s="2"/>
      <c r="AAU59" s="2"/>
      <c r="AAV59" s="2"/>
      <c r="AAW59" s="2"/>
      <c r="AAX59" s="2"/>
      <c r="AAY59" s="2"/>
      <c r="AAZ59" s="2"/>
      <c r="ABA59" s="2"/>
      <c r="ABB59" s="2"/>
      <c r="ABC59" s="2"/>
      <c r="ABD59" s="2"/>
      <c r="ABE59" s="2"/>
      <c r="ABF59" s="2"/>
      <c r="ABG59" s="2"/>
      <c r="ABH59" s="2"/>
      <c r="ABI59" s="2"/>
      <c r="ABJ59" s="2"/>
      <c r="ABK59" s="2"/>
      <c r="ABL59" s="2"/>
      <c r="ABM59" s="2"/>
      <c r="ABN59" s="2"/>
      <c r="ABO59" s="2"/>
      <c r="ABP59" s="2"/>
      <c r="ABQ59" s="2"/>
      <c r="ABR59" s="2"/>
      <c r="ABS59" s="2"/>
      <c r="ABT59" s="2"/>
      <c r="ABU59" s="2"/>
      <c r="ABV59" s="2"/>
      <c r="ABW59" s="2"/>
      <c r="ABX59" s="2"/>
      <c r="ABY59" s="2"/>
      <c r="ABZ59" s="2"/>
      <c r="ACA59" s="2"/>
      <c r="ACB59" s="2"/>
      <c r="ACC59" s="2">
        <v>4</v>
      </c>
      <c r="ACD59" s="2"/>
      <c r="ACE59" s="2"/>
      <c r="ACF59" s="2"/>
      <c r="ACG59" s="2"/>
      <c r="ACH59" s="2"/>
      <c r="ACI59" s="2"/>
      <c r="ACJ59" s="2"/>
      <c r="ACK59" s="2">
        <v>4</v>
      </c>
      <c r="ACL59" s="2"/>
      <c r="ACM59" s="2"/>
      <c r="ACN59" s="2"/>
      <c r="ACO59" s="2"/>
      <c r="ACP59" s="2"/>
      <c r="ACQ59" s="2"/>
      <c r="ACR59" s="2"/>
      <c r="ACS59" s="2"/>
      <c r="ACT59" s="2"/>
      <c r="ACU59" s="2"/>
      <c r="ACV59" s="2"/>
      <c r="ACW59" s="2"/>
      <c r="ACX59" s="2"/>
      <c r="ACY59" s="2"/>
      <c r="ACZ59" s="2"/>
      <c r="ADA59" s="2"/>
      <c r="ADB59" s="2"/>
      <c r="ADC59" s="2"/>
      <c r="ADD59" s="2"/>
      <c r="ADE59" s="2"/>
      <c r="ADF59" s="2">
        <v>4</v>
      </c>
      <c r="ADG59" s="2"/>
      <c r="ADH59" s="2"/>
      <c r="ADI59" s="2">
        <v>2</v>
      </c>
      <c r="ADJ59" s="2"/>
      <c r="ADK59" s="2"/>
      <c r="ADL59" s="2"/>
      <c r="ADM59" s="2"/>
      <c r="ADN59" s="2"/>
      <c r="ADO59" s="2">
        <v>8</v>
      </c>
      <c r="ADP59" s="2"/>
      <c r="ADQ59" s="2">
        <v>1</v>
      </c>
      <c r="ADR59" s="2"/>
      <c r="ADS59" s="2"/>
      <c r="ADT59" s="2"/>
      <c r="ADU59" s="2"/>
      <c r="ADV59" s="2"/>
      <c r="ADW59" s="2"/>
      <c r="ADX59" s="2"/>
      <c r="ADY59" s="2">
        <v>1</v>
      </c>
      <c r="ADZ59" s="2"/>
      <c r="AEA59" s="2"/>
      <c r="AEB59" s="2"/>
      <c r="AEC59" s="2"/>
      <c r="AED59" s="2"/>
      <c r="AEE59" s="2"/>
      <c r="AEF59" s="2"/>
      <c r="AEG59" s="2"/>
      <c r="AEH59" s="2"/>
      <c r="AEI59" s="2"/>
      <c r="AEJ59" s="2"/>
      <c r="AEK59" s="2"/>
      <c r="AEL59" s="2"/>
      <c r="AEM59" s="2"/>
      <c r="AEN59" s="2"/>
      <c r="AEO59" s="2"/>
      <c r="AEP59" s="2"/>
      <c r="AEQ59" s="2"/>
      <c r="AER59" s="2"/>
      <c r="AES59" s="2"/>
      <c r="AET59" s="2"/>
      <c r="AEU59" s="2"/>
      <c r="AEV59" s="2"/>
      <c r="AEW59" s="2"/>
      <c r="AEX59" s="2"/>
      <c r="AEY59" s="2"/>
      <c r="AEZ59" s="2"/>
      <c r="AFA59" s="2"/>
      <c r="AFB59" s="2"/>
      <c r="AFC59" s="2"/>
      <c r="AFD59" s="2"/>
      <c r="AFE59" s="2"/>
      <c r="AFF59" s="2"/>
      <c r="AFG59" s="2"/>
      <c r="AFH59" s="2"/>
      <c r="AFI59" s="2"/>
      <c r="AFJ59" s="2"/>
      <c r="AFK59" s="2"/>
      <c r="AFL59" s="2">
        <f t="shared" si="0"/>
        <v>190</v>
      </c>
    </row>
    <row r="60" spans="1:844" x14ac:dyDescent="0.3">
      <c r="B60" s="91"/>
      <c r="C60" s="52" t="s">
        <v>177</v>
      </c>
      <c r="D60" s="35" t="s">
        <v>5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>
        <v>42</v>
      </c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>
        <v>42</v>
      </c>
      <c r="DT60" s="2">
        <v>42</v>
      </c>
      <c r="DU60" s="2"/>
      <c r="DV60" s="2"/>
      <c r="DW60" s="2">
        <v>42</v>
      </c>
      <c r="DX60" s="2"/>
      <c r="DY60" s="2"/>
      <c r="DZ60" s="2"/>
      <c r="EA60" s="2"/>
      <c r="EB60" s="2">
        <v>42</v>
      </c>
      <c r="EC60" s="2"/>
      <c r="ED60" s="2">
        <f>21+14</f>
        <v>35</v>
      </c>
      <c r="EE60" s="2">
        <v>42</v>
      </c>
      <c r="EF60" s="2">
        <f>42+42</f>
        <v>84</v>
      </c>
      <c r="EG60" s="2"/>
      <c r="EH60" s="2"/>
      <c r="EI60" s="2"/>
      <c r="EJ60" s="2"/>
      <c r="EK60" s="2">
        <v>15</v>
      </c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  <c r="AAA60" s="2"/>
      <c r="AAB60" s="2"/>
      <c r="AAC60" s="2"/>
      <c r="AAD60" s="2"/>
      <c r="AAE60" s="2"/>
      <c r="AAF60" s="2"/>
      <c r="AAG60" s="2"/>
      <c r="AAH60" s="2"/>
      <c r="AAI60" s="2"/>
      <c r="AAJ60" s="2"/>
      <c r="AAK60" s="2"/>
      <c r="AAL60" s="2"/>
      <c r="AAM60" s="2"/>
      <c r="AAN60" s="2"/>
      <c r="AAO60" s="2"/>
      <c r="AAP60" s="2"/>
      <c r="AAQ60" s="2"/>
      <c r="AAR60" s="2"/>
      <c r="AAS60" s="2"/>
      <c r="AAT60" s="2"/>
      <c r="AAU60" s="2"/>
      <c r="AAV60" s="2"/>
      <c r="AAW60" s="2"/>
      <c r="AAX60" s="2"/>
      <c r="AAY60" s="2"/>
      <c r="AAZ60" s="2"/>
      <c r="ABA60" s="2"/>
      <c r="ABB60" s="2"/>
      <c r="ABC60" s="2"/>
      <c r="ABD60" s="2"/>
      <c r="ABE60" s="2"/>
      <c r="ABF60" s="2"/>
      <c r="ABG60" s="2"/>
      <c r="ABH60" s="2"/>
      <c r="ABI60" s="2"/>
      <c r="ABJ60" s="2"/>
      <c r="ABK60" s="2"/>
      <c r="ABL60" s="2"/>
      <c r="ABM60" s="2"/>
      <c r="ABN60" s="2"/>
      <c r="ABO60" s="2"/>
      <c r="ABP60" s="2"/>
      <c r="ABQ60" s="2"/>
      <c r="ABR60" s="2"/>
      <c r="ABS60" s="2"/>
      <c r="ABT60" s="2"/>
      <c r="ABU60" s="2"/>
      <c r="ABV60" s="2"/>
      <c r="ABW60" s="2"/>
      <c r="ABX60" s="2"/>
      <c r="ABY60" s="2"/>
      <c r="ABZ60" s="2"/>
      <c r="ACA60" s="2"/>
      <c r="ACB60" s="2"/>
      <c r="ACC60" s="2"/>
      <c r="ACD60" s="2"/>
      <c r="ACE60" s="2"/>
      <c r="ACF60" s="2"/>
      <c r="ACG60" s="2"/>
      <c r="ACH60" s="2"/>
      <c r="ACI60" s="2"/>
      <c r="ACJ60" s="2"/>
      <c r="ACK60" s="2"/>
      <c r="ACL60" s="2"/>
      <c r="ACM60" s="2"/>
      <c r="ACN60" s="2"/>
      <c r="ACO60" s="2"/>
      <c r="ACP60" s="2"/>
      <c r="ACQ60" s="2"/>
      <c r="ACR60" s="2"/>
      <c r="ACS60" s="2"/>
      <c r="ACT60" s="2"/>
      <c r="ACU60" s="2"/>
      <c r="ACV60" s="2"/>
      <c r="ACW60" s="2"/>
      <c r="ACX60" s="2"/>
      <c r="ACY60" s="2"/>
      <c r="ACZ60" s="2"/>
      <c r="ADA60" s="2"/>
      <c r="ADB60" s="2"/>
      <c r="ADC60" s="2"/>
      <c r="ADD60" s="2"/>
      <c r="ADE60" s="2"/>
      <c r="ADF60" s="2"/>
      <c r="ADG60" s="2"/>
      <c r="ADH60" s="2"/>
      <c r="ADI60" s="2"/>
      <c r="ADJ60" s="2"/>
      <c r="ADK60" s="2"/>
      <c r="ADL60" s="2"/>
      <c r="ADM60" s="2"/>
      <c r="ADN60" s="2"/>
      <c r="ADO60" s="2"/>
      <c r="ADP60" s="2"/>
      <c r="ADQ60" s="2"/>
      <c r="ADR60" s="2"/>
      <c r="ADS60" s="2"/>
      <c r="ADT60" s="2"/>
      <c r="ADU60" s="2"/>
      <c r="ADV60" s="2"/>
      <c r="ADW60" s="2"/>
      <c r="ADX60" s="2"/>
      <c r="ADY60" s="2"/>
      <c r="ADZ60" s="2"/>
      <c r="AEA60" s="2"/>
      <c r="AEB60" s="2"/>
      <c r="AEC60" s="2"/>
      <c r="AED60" s="2"/>
      <c r="AEE60" s="2"/>
      <c r="AEF60" s="2"/>
      <c r="AEG60" s="2"/>
      <c r="AEH60" s="2"/>
      <c r="AEI60" s="2"/>
      <c r="AEJ60" s="2"/>
      <c r="AEK60" s="2"/>
      <c r="AEL60" s="2"/>
      <c r="AEM60" s="2"/>
      <c r="AEN60" s="2"/>
      <c r="AEO60" s="2"/>
      <c r="AEP60" s="2"/>
      <c r="AEQ60" s="2"/>
      <c r="AER60" s="2"/>
      <c r="AES60" s="2"/>
      <c r="AET60" s="2"/>
      <c r="AEU60" s="2"/>
      <c r="AEV60" s="2"/>
      <c r="AEW60" s="2"/>
      <c r="AEX60" s="2"/>
      <c r="AEY60" s="2"/>
      <c r="AEZ60" s="2"/>
      <c r="AFA60" s="2"/>
      <c r="AFB60" s="2"/>
      <c r="AFC60" s="2"/>
      <c r="AFD60" s="2"/>
      <c r="AFE60" s="2"/>
      <c r="AFF60" s="2"/>
      <c r="AFG60" s="2"/>
      <c r="AFH60" s="2"/>
      <c r="AFI60" s="2"/>
      <c r="AFJ60" s="2"/>
      <c r="AFK60" s="2"/>
      <c r="AFL60" s="2">
        <f t="shared" si="0"/>
        <v>386</v>
      </c>
    </row>
    <row r="61" spans="1:844" x14ac:dyDescent="0.3">
      <c r="B61" s="91">
        <v>550025702</v>
      </c>
      <c r="C61" s="53" t="s">
        <v>129</v>
      </c>
      <c r="D61" s="35" t="s">
        <v>4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>
        <v>28</v>
      </c>
      <c r="IU61" s="2">
        <f>56+56</f>
        <v>112</v>
      </c>
      <c r="IV61" s="2">
        <v>56</v>
      </c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>
        <v>28</v>
      </c>
      <c r="KB61" s="2"/>
      <c r="KC61" s="2">
        <v>28</v>
      </c>
      <c r="KD61" s="2"/>
      <c r="KE61" s="2">
        <v>56</v>
      </c>
      <c r="KF61" s="2"/>
      <c r="KG61" s="2">
        <v>28</v>
      </c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>
        <f>28+56</f>
        <v>84</v>
      </c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>
        <v>56</v>
      </c>
      <c r="ML61" s="2"/>
      <c r="MM61" s="2">
        <v>14</v>
      </c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>
        <v>3</v>
      </c>
      <c r="OJ61" s="2"/>
      <c r="OK61" s="2"/>
      <c r="OL61" s="2"/>
      <c r="OM61" s="2"/>
      <c r="ON61" s="2"/>
      <c r="OO61" s="2"/>
      <c r="OP61" s="2">
        <v>20</v>
      </c>
      <c r="OQ61" s="2">
        <f>28+28</f>
        <v>56</v>
      </c>
      <c r="OR61" s="2"/>
      <c r="OS61" s="2"/>
      <c r="OT61" s="2">
        <v>28</v>
      </c>
      <c r="OU61" s="2">
        <v>28</v>
      </c>
      <c r="OV61" s="2">
        <v>12</v>
      </c>
      <c r="OW61" s="2"/>
      <c r="OX61" s="2"/>
      <c r="OY61" s="2"/>
      <c r="OZ61" s="2"/>
      <c r="PA61" s="2"/>
      <c r="PB61" s="2"/>
      <c r="PC61" s="2"/>
      <c r="PD61" s="2"/>
      <c r="PE61" s="2">
        <v>28</v>
      </c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>
        <f>56</f>
        <v>56</v>
      </c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>
        <v>28</v>
      </c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>
        <v>28</v>
      </c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>
        <v>56</v>
      </c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>
        <f>56+56</f>
        <v>112</v>
      </c>
      <c r="VE61" s="2"/>
      <c r="VF61" s="2"/>
      <c r="VG61" s="2"/>
      <c r="VH61" s="2"/>
      <c r="VI61" s="2"/>
      <c r="VJ61" s="2"/>
      <c r="VK61" s="2"/>
      <c r="VL61" s="2"/>
      <c r="VM61" s="2">
        <v>1</v>
      </c>
      <c r="VN61" s="2"/>
      <c r="VO61" s="2"/>
      <c r="VP61" s="2"/>
      <c r="VQ61" s="2"/>
      <c r="VR61" s="2"/>
      <c r="VS61" s="2">
        <v>28</v>
      </c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>
        <v>28</v>
      </c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>
        <v>56</v>
      </c>
      <c r="ZO61" s="2"/>
      <c r="ZP61" s="2"/>
      <c r="ZQ61" s="2">
        <v>21</v>
      </c>
      <c r="ZR61" s="2"/>
      <c r="ZS61" s="2"/>
      <c r="ZT61" s="2"/>
      <c r="ZU61" s="2"/>
      <c r="ZV61" s="2"/>
      <c r="ZW61" s="2"/>
      <c r="ZX61" s="2"/>
      <c r="ZY61" s="2"/>
      <c r="ZZ61" s="2"/>
      <c r="AAA61" s="2"/>
      <c r="AAB61" s="2"/>
      <c r="AAC61" s="2"/>
      <c r="AAD61" s="2"/>
      <c r="AAE61" s="2"/>
      <c r="AAF61" s="2"/>
      <c r="AAG61" s="2"/>
      <c r="AAH61" s="2"/>
      <c r="AAI61" s="2"/>
      <c r="AAJ61" s="2"/>
      <c r="AAK61" s="2"/>
      <c r="AAL61" s="2"/>
      <c r="AAM61" s="2"/>
      <c r="AAN61" s="2"/>
      <c r="AAO61" s="2"/>
      <c r="AAP61" s="2"/>
      <c r="AAQ61" s="2"/>
      <c r="AAR61" s="2"/>
      <c r="AAS61" s="2"/>
      <c r="AAT61" s="2"/>
      <c r="AAU61" s="2"/>
      <c r="AAV61" s="2"/>
      <c r="AAW61" s="2"/>
      <c r="AAX61" s="2"/>
      <c r="AAY61" s="2"/>
      <c r="AAZ61" s="2"/>
      <c r="ABA61" s="2"/>
      <c r="ABB61" s="2"/>
      <c r="ABC61" s="2"/>
      <c r="ABD61" s="2">
        <v>56</v>
      </c>
      <c r="ABE61" s="2"/>
      <c r="ABF61" s="2"/>
      <c r="ABG61" s="2"/>
      <c r="ABH61" s="2"/>
      <c r="ABI61" s="2">
        <v>28</v>
      </c>
      <c r="ABJ61" s="2">
        <v>28</v>
      </c>
      <c r="ABK61" s="2"/>
      <c r="ABL61" s="2"/>
      <c r="ABM61" s="2"/>
      <c r="ABN61" s="2"/>
      <c r="ABO61" s="2"/>
      <c r="ABP61" s="2"/>
      <c r="ABQ61" s="2"/>
      <c r="ABR61" s="2"/>
      <c r="ABS61" s="2"/>
      <c r="ABT61" s="2"/>
      <c r="ABU61" s="2"/>
      <c r="ABV61" s="2"/>
      <c r="ABW61" s="2"/>
      <c r="ABX61" s="2"/>
      <c r="ABY61" s="2"/>
      <c r="ABZ61" s="2"/>
      <c r="ACA61" s="2"/>
      <c r="ACB61" s="2"/>
      <c r="ACC61" s="2"/>
      <c r="ACD61" s="2"/>
      <c r="ACE61" s="2"/>
      <c r="ACF61" s="2"/>
      <c r="ACG61" s="2"/>
      <c r="ACH61" s="2"/>
      <c r="ACI61" s="2">
        <v>28</v>
      </c>
      <c r="ACJ61" s="2"/>
      <c r="ACK61" s="2"/>
      <c r="ACL61" s="2"/>
      <c r="ACM61" s="2"/>
      <c r="ACN61" s="2"/>
      <c r="ACO61" s="2"/>
      <c r="ACP61" s="2"/>
      <c r="ACQ61" s="2"/>
      <c r="ACR61" s="2"/>
      <c r="ACS61" s="2"/>
      <c r="ACT61" s="2"/>
      <c r="ACU61" s="2"/>
      <c r="ACV61" s="2"/>
      <c r="ACW61" s="2"/>
      <c r="ACX61" s="2"/>
      <c r="ACY61" s="2"/>
      <c r="ACZ61" s="2"/>
      <c r="ADA61" s="2"/>
      <c r="ADB61" s="2"/>
      <c r="ADC61" s="2"/>
      <c r="ADD61" s="2"/>
      <c r="ADE61" s="2"/>
      <c r="ADF61" s="2"/>
      <c r="ADG61" s="2"/>
      <c r="ADH61" s="2">
        <v>15</v>
      </c>
      <c r="ADI61" s="2"/>
      <c r="ADJ61" s="2"/>
      <c r="ADK61" s="2"/>
      <c r="ADL61" s="2"/>
      <c r="ADM61" s="2"/>
      <c r="ADN61" s="2"/>
      <c r="ADO61" s="2"/>
      <c r="ADP61" s="2"/>
      <c r="ADQ61" s="2"/>
      <c r="ADR61" s="2"/>
      <c r="ADS61" s="2"/>
      <c r="ADT61" s="2"/>
      <c r="ADU61" s="2"/>
      <c r="ADV61" s="2"/>
      <c r="ADW61" s="2"/>
      <c r="ADX61" s="2"/>
      <c r="ADY61" s="2">
        <v>112</v>
      </c>
      <c r="ADZ61" s="2"/>
      <c r="AEA61" s="2"/>
      <c r="AEB61" s="2"/>
      <c r="AEC61" s="2"/>
      <c r="AED61" s="2"/>
      <c r="AEE61" s="2"/>
      <c r="AEF61" s="2"/>
      <c r="AEG61" s="2"/>
      <c r="AEH61" s="2"/>
      <c r="AEI61" s="2"/>
      <c r="AEJ61" s="2"/>
      <c r="AEK61" s="2"/>
      <c r="AEL61" s="2"/>
      <c r="AEM61" s="2"/>
      <c r="AEN61" s="2"/>
      <c r="AEO61" s="2"/>
      <c r="AEP61" s="2"/>
      <c r="AEQ61" s="2"/>
      <c r="AER61" s="2"/>
      <c r="AES61" s="2"/>
      <c r="AET61" s="2"/>
      <c r="AEU61" s="2"/>
      <c r="AEV61" s="2"/>
      <c r="AEW61" s="2"/>
      <c r="AEX61" s="2"/>
      <c r="AEY61" s="2"/>
      <c r="AEZ61" s="2"/>
      <c r="AFA61" s="2"/>
      <c r="AFB61" s="2"/>
      <c r="AFC61" s="2"/>
      <c r="AFD61" s="2"/>
      <c r="AFE61" s="2"/>
      <c r="AFF61" s="2"/>
      <c r="AFG61" s="2"/>
      <c r="AFH61" s="2"/>
      <c r="AFI61" s="2"/>
      <c r="AFJ61" s="2"/>
      <c r="AFK61" s="2"/>
      <c r="AFL61" s="2">
        <f t="shared" si="0"/>
        <v>1346</v>
      </c>
    </row>
    <row r="62" spans="1:844" s="11" customFormat="1" x14ac:dyDescent="0.3">
      <c r="B62" s="91">
        <v>44245855</v>
      </c>
      <c r="C62" s="52" t="s">
        <v>133</v>
      </c>
      <c r="D62" s="35" t="s">
        <v>4</v>
      </c>
      <c r="E62" s="2"/>
      <c r="F62" s="2"/>
      <c r="G62" s="2"/>
      <c r="H62" s="2">
        <f>126+42</f>
        <v>168</v>
      </c>
      <c r="I62" s="2">
        <f>84+84+84+126+84</f>
        <v>462</v>
      </c>
      <c r="J62" s="2">
        <v>84</v>
      </c>
      <c r="K62" s="2"/>
      <c r="L62" s="2">
        <f>84+84+252</f>
        <v>420</v>
      </c>
      <c r="M62" s="2">
        <f>252+294+420</f>
        <v>966</v>
      </c>
      <c r="N62" s="2">
        <v>420</v>
      </c>
      <c r="O62" s="2">
        <v>294</v>
      </c>
      <c r="P62" s="2">
        <f>294+336</f>
        <v>630</v>
      </c>
      <c r="Q62" s="2">
        <v>168</v>
      </c>
      <c r="R62" s="2"/>
      <c r="S62" s="2">
        <v>294</v>
      </c>
      <c r="T62" s="2"/>
      <c r="U62" s="2">
        <f>378+252+240</f>
        <v>870</v>
      </c>
      <c r="V62" s="2"/>
      <c r="W62" s="2">
        <f>288+240</f>
        <v>528</v>
      </c>
      <c r="X62" s="2"/>
      <c r="Y62" s="2">
        <v>240</v>
      </c>
      <c r="Z62" s="2">
        <f>336+192</f>
        <v>528</v>
      </c>
      <c r="AA62" s="2"/>
      <c r="AB62" s="2">
        <f>192+194+528</f>
        <v>914</v>
      </c>
      <c r="AC62" s="2">
        <v>1056</v>
      </c>
      <c r="AD62" s="2">
        <v>240</v>
      </c>
      <c r="AE62" s="2">
        <v>528</v>
      </c>
      <c r="AF62" s="2">
        <f>432+384+240</f>
        <v>1056</v>
      </c>
      <c r="AG62" s="2">
        <v>48</v>
      </c>
      <c r="AH62" s="2">
        <v>480</v>
      </c>
      <c r="AI62" s="2">
        <v>528</v>
      </c>
      <c r="AJ62" s="2">
        <f>240+480</f>
        <v>720</v>
      </c>
      <c r="AK62" s="2"/>
      <c r="AL62" s="2">
        <v>576</v>
      </c>
      <c r="AM62" s="2">
        <f>576+192+192</f>
        <v>960</v>
      </c>
      <c r="AN62" s="2">
        <v>384</v>
      </c>
      <c r="AO62" s="2">
        <v>144</v>
      </c>
      <c r="AP62" s="2"/>
      <c r="AQ62" s="2"/>
      <c r="AR62" s="2"/>
      <c r="AS62" s="2">
        <f>288+528</f>
        <v>816</v>
      </c>
      <c r="AT62" s="2">
        <f>384+1056</f>
        <v>1440</v>
      </c>
      <c r="AU62" s="2">
        <f>1056+96+240+288+336</f>
        <v>2016</v>
      </c>
      <c r="AV62" s="2">
        <f>384+240</f>
        <v>624</v>
      </c>
      <c r="AW62" s="2">
        <f>288+240</f>
        <v>528</v>
      </c>
      <c r="AX62" s="2"/>
      <c r="AY62" s="2">
        <v>336</v>
      </c>
      <c r="AZ62" s="2"/>
      <c r="BA62" s="2">
        <v>384</v>
      </c>
      <c r="BB62" s="2">
        <v>192</v>
      </c>
      <c r="BC62" s="2">
        <v>288</v>
      </c>
      <c r="BD62" s="2"/>
      <c r="BE62" s="2">
        <v>144</v>
      </c>
      <c r="BF62" s="2">
        <f>528+1</f>
        <v>529</v>
      </c>
      <c r="BG62" s="2"/>
      <c r="BH62" s="2"/>
      <c r="BI62" s="2">
        <v>1056</v>
      </c>
      <c r="BJ62" s="2">
        <f>432+480</f>
        <v>912</v>
      </c>
      <c r="BK62" s="2">
        <v>336</v>
      </c>
      <c r="BL62" s="2">
        <v>384</v>
      </c>
      <c r="BM62" s="2">
        <f>192+336</f>
        <v>528</v>
      </c>
      <c r="BN62" s="2"/>
      <c r="BO62" s="2">
        <v>528</v>
      </c>
      <c r="BP62" s="2"/>
      <c r="BQ62" s="2"/>
      <c r="BR62" s="2">
        <v>384</v>
      </c>
      <c r="BS62" s="2">
        <f>144+192</f>
        <v>336</v>
      </c>
      <c r="BT62" s="2">
        <f>336+192+288</f>
        <v>816</v>
      </c>
      <c r="BU62" s="2">
        <f>240+528+288</f>
        <v>1056</v>
      </c>
      <c r="BV62" s="2"/>
      <c r="BW62" s="2">
        <f>1056+480</f>
        <v>1536</v>
      </c>
      <c r="BX62" s="2">
        <v>240</v>
      </c>
      <c r="BY62" s="2">
        <v>336</v>
      </c>
      <c r="BZ62" s="2"/>
      <c r="CA62" s="2"/>
      <c r="CB62" s="2">
        <f>480+336</f>
        <v>816</v>
      </c>
      <c r="CC62" s="2">
        <f>192+192+240+48</f>
        <v>672</v>
      </c>
      <c r="CD62" s="2">
        <v>192</v>
      </c>
      <c r="CE62" s="2"/>
      <c r="CF62" s="2">
        <f>576+336+384</f>
        <v>1296</v>
      </c>
      <c r="CG62" s="2">
        <v>432</v>
      </c>
      <c r="CH62" s="2">
        <f>432+432+2</f>
        <v>866</v>
      </c>
      <c r="CI62" s="2">
        <f>528+336+288+336</f>
        <v>1488</v>
      </c>
      <c r="CJ62" s="2">
        <v>192</v>
      </c>
      <c r="CK62" s="2">
        <f>384+288+672</f>
        <v>1344</v>
      </c>
      <c r="CL62" s="2">
        <v>96</v>
      </c>
      <c r="CM62" s="2">
        <f>384+288+384</f>
        <v>1056</v>
      </c>
      <c r="CN62" s="2">
        <v>768</v>
      </c>
      <c r="CO62" s="2">
        <v>768</v>
      </c>
      <c r="CP62" s="2">
        <v>480</v>
      </c>
      <c r="CQ62" s="2">
        <v>1</v>
      </c>
      <c r="CR62" s="2"/>
      <c r="CS62" s="2">
        <v>240</v>
      </c>
      <c r="CT62" s="2">
        <f>144+96+240</f>
        <v>480</v>
      </c>
      <c r="CU62" s="2"/>
      <c r="CV62" s="2"/>
      <c r="CW62" s="2">
        <f>384+480+528+144</f>
        <v>1536</v>
      </c>
      <c r="CX62" s="2"/>
      <c r="CY62" s="2"/>
      <c r="CZ62" s="2">
        <f>1056+960+1039</f>
        <v>3055</v>
      </c>
      <c r="DA62" s="2">
        <f>480+864</f>
        <v>1344</v>
      </c>
      <c r="DB62" s="2"/>
      <c r="DC62" s="2">
        <v>240</v>
      </c>
      <c r="DD62" s="2"/>
      <c r="DE62" s="2"/>
      <c r="DF62" s="2"/>
      <c r="DG62" s="2">
        <v>1</v>
      </c>
      <c r="DH62" s="2"/>
      <c r="DI62" s="2">
        <f>1+144+768+192</f>
        <v>1105</v>
      </c>
      <c r="DJ62" s="2">
        <f>768+768+96</f>
        <v>1632</v>
      </c>
      <c r="DK62" s="2">
        <v>1</v>
      </c>
      <c r="DL62" s="2">
        <f>336+432+240</f>
        <v>1008</v>
      </c>
      <c r="DM62" s="2">
        <f>432+1056</f>
        <v>1488</v>
      </c>
      <c r="DN62" s="2">
        <v>1</v>
      </c>
      <c r="DO62" s="2">
        <f>288+504</f>
        <v>792</v>
      </c>
      <c r="DP62" s="2">
        <f>648+432+432+1+1</f>
        <v>1514</v>
      </c>
      <c r="DQ62" s="2"/>
      <c r="DR62" s="2">
        <v>62</v>
      </c>
      <c r="DS62" s="2">
        <v>216</v>
      </c>
      <c r="DT62" s="2">
        <v>108</v>
      </c>
      <c r="DU62" s="2">
        <f>1+1+468</f>
        <v>470</v>
      </c>
      <c r="DV62" s="2">
        <f>360+396+504</f>
        <v>1260</v>
      </c>
      <c r="DW62" s="2">
        <v>468</v>
      </c>
      <c r="DX62" s="2"/>
      <c r="DY62" s="2">
        <v>2</v>
      </c>
      <c r="DZ62" s="2"/>
      <c r="EA62" s="2">
        <f>1+1+1</f>
        <v>3</v>
      </c>
      <c r="EB62" s="2">
        <f>360+360</f>
        <v>720</v>
      </c>
      <c r="EC62" s="2"/>
      <c r="ED62" s="2">
        <f>504+144+4</f>
        <v>652</v>
      </c>
      <c r="EE62" s="2">
        <f>108+216</f>
        <v>324</v>
      </c>
      <c r="EF62" s="2">
        <f>360+360+540+360+360</f>
        <v>1980</v>
      </c>
      <c r="EG62" s="2">
        <f>576+1+1+1+2+1</f>
        <v>582</v>
      </c>
      <c r="EH62" s="2">
        <f>1+2+1+360</f>
        <v>364</v>
      </c>
      <c r="EI62" s="2"/>
      <c r="EJ62" s="2"/>
      <c r="EK62" s="2">
        <f>2+288+216</f>
        <v>506</v>
      </c>
      <c r="EL62" s="2">
        <v>1</v>
      </c>
      <c r="EM62" s="2"/>
      <c r="EN62" s="2">
        <f>72</f>
        <v>72</v>
      </c>
      <c r="EO62" s="2">
        <v>360</v>
      </c>
      <c r="EP62" s="2">
        <f>216+504+252</f>
        <v>972</v>
      </c>
      <c r="EQ62" s="2">
        <f>432+360+72+648</f>
        <v>1512</v>
      </c>
      <c r="ER62" s="2">
        <v>360</v>
      </c>
      <c r="ES62" s="2">
        <v>720</v>
      </c>
      <c r="ET62" s="2"/>
      <c r="EU62" s="2"/>
      <c r="EV62" s="2">
        <v>288</v>
      </c>
      <c r="EW62" s="2">
        <f>180+396+540</f>
        <v>1116</v>
      </c>
      <c r="EX62" s="2">
        <f>1+1+1</f>
        <v>3</v>
      </c>
      <c r="EY62" s="2">
        <v>1</v>
      </c>
      <c r="EZ62" s="2">
        <f>324+468</f>
        <v>792</v>
      </c>
      <c r="FA62" s="2">
        <f>360+180+2</f>
        <v>542</v>
      </c>
      <c r="FB62" s="2">
        <v>1</v>
      </c>
      <c r="FC62" s="2"/>
      <c r="FD62" s="2">
        <v>180</v>
      </c>
      <c r="FE62" s="2">
        <v>1</v>
      </c>
      <c r="FF62" s="2">
        <f>216+1+1</f>
        <v>218</v>
      </c>
      <c r="FG62" s="2">
        <f>108+432</f>
        <v>540</v>
      </c>
      <c r="FH62" s="2"/>
      <c r="FI62" s="2">
        <v>8</v>
      </c>
      <c r="FJ62" s="2"/>
      <c r="FK62" s="2">
        <v>396</v>
      </c>
      <c r="FL62" s="2">
        <f>288+66+71</f>
        <v>425</v>
      </c>
      <c r="FM62" s="2">
        <f>108+144</f>
        <v>252</v>
      </c>
      <c r="FN62" s="2">
        <v>4</v>
      </c>
      <c r="FO62" s="2">
        <f>1+504</f>
        <v>505</v>
      </c>
      <c r="FP62" s="2">
        <v>1</v>
      </c>
      <c r="FQ62" s="2">
        <f>72+792</f>
        <v>864</v>
      </c>
      <c r="FR62" s="2"/>
      <c r="FS62" s="2">
        <f>432+396</f>
        <v>828</v>
      </c>
      <c r="FT62" s="2">
        <f>288+216</f>
        <v>504</v>
      </c>
      <c r="FU62" s="2">
        <f>612+216+432</f>
        <v>1260</v>
      </c>
      <c r="FV62" s="2">
        <v>2</v>
      </c>
      <c r="FW62" s="2">
        <v>504</v>
      </c>
      <c r="FX62" s="2">
        <f>1+1+1+1</f>
        <v>4</v>
      </c>
      <c r="FY62" s="2">
        <v>72</v>
      </c>
      <c r="FZ62" s="2">
        <v>216</v>
      </c>
      <c r="GA62" s="2"/>
      <c r="GB62" s="2">
        <f>1+1+1</f>
        <v>3</v>
      </c>
      <c r="GC62" s="2">
        <f>540+108+1+1</f>
        <v>650</v>
      </c>
      <c r="GD62" s="2">
        <v>324</v>
      </c>
      <c r="GE62" s="2">
        <v>432</v>
      </c>
      <c r="GF62" s="2">
        <f>432+324+180+792</f>
        <v>1728</v>
      </c>
      <c r="GG62" s="2">
        <v>10</v>
      </c>
      <c r="GH62" s="2">
        <f>1+1</f>
        <v>2</v>
      </c>
      <c r="GI62" s="2">
        <v>36</v>
      </c>
      <c r="GJ62" s="2">
        <v>684</v>
      </c>
      <c r="GK62" s="2">
        <f>1+504+360+432</f>
        <v>1297</v>
      </c>
      <c r="GL62" s="2">
        <v>648</v>
      </c>
      <c r="GM62" s="2">
        <v>792</v>
      </c>
      <c r="GN62" s="2">
        <f>540+252+576</f>
        <v>1368</v>
      </c>
      <c r="GO62" s="2">
        <f>7*36</f>
        <v>252</v>
      </c>
      <c r="GP62" s="2">
        <v>360</v>
      </c>
      <c r="GQ62" s="2">
        <v>360</v>
      </c>
      <c r="GR62" s="2">
        <v>1</v>
      </c>
      <c r="GS62" s="2">
        <f>792+792+468+792+540+504</f>
        <v>3888</v>
      </c>
      <c r="GT62" s="2">
        <f>540+504</f>
        <v>1044</v>
      </c>
      <c r="GU62" s="2">
        <f>360+6+1</f>
        <v>367</v>
      </c>
      <c r="GV62" s="2">
        <f>252+6</f>
        <v>258</v>
      </c>
      <c r="GW62" s="2">
        <v>432</v>
      </c>
      <c r="GX62" s="2">
        <f>360+1</f>
        <v>361</v>
      </c>
      <c r="GY62" s="2">
        <v>3</v>
      </c>
      <c r="GZ62" s="2">
        <f>144+576</f>
        <v>720</v>
      </c>
      <c r="HA62" s="2">
        <f>480+528+480</f>
        <v>1488</v>
      </c>
      <c r="HB62" s="2">
        <v>432</v>
      </c>
      <c r="HC62" s="2">
        <f>144+1+1+1+1</f>
        <v>148</v>
      </c>
      <c r="HD62" s="2">
        <f>1056+1</f>
        <v>1057</v>
      </c>
      <c r="HE62" s="2">
        <f>1056+144</f>
        <v>1200</v>
      </c>
      <c r="HF62" s="2">
        <v>1</v>
      </c>
      <c r="HG62" s="2">
        <f>480+384+288+480+2</f>
        <v>1634</v>
      </c>
      <c r="HH62" s="2">
        <f>576+1</f>
        <v>577</v>
      </c>
      <c r="HI62" s="2">
        <v>480</v>
      </c>
      <c r="HJ62" s="2">
        <v>96</v>
      </c>
      <c r="HK62" s="2">
        <f>69+49+288</f>
        <v>406</v>
      </c>
      <c r="HL62" s="2"/>
      <c r="HM62" s="2">
        <v>4</v>
      </c>
      <c r="HN62" s="2">
        <v>1</v>
      </c>
      <c r="HO62" s="2"/>
      <c r="HP62" s="2"/>
      <c r="HQ62" s="2">
        <f>144+504+792+864+792+1</f>
        <v>3097</v>
      </c>
      <c r="HR62" s="2">
        <f>108+72+468+792+324+1+1</f>
        <v>1766</v>
      </c>
      <c r="HS62" s="2">
        <f>1056+480+48</f>
        <v>1584</v>
      </c>
      <c r="HT62" s="2">
        <f>480+1</f>
        <v>481</v>
      </c>
      <c r="HU62" s="2">
        <f>480+480+384</f>
        <v>1344</v>
      </c>
      <c r="HV62" s="2">
        <f>480+288</f>
        <v>768</v>
      </c>
      <c r="HW62" s="2"/>
      <c r="HX62" s="2"/>
      <c r="HY62" s="2"/>
      <c r="HZ62" s="2">
        <v>10</v>
      </c>
      <c r="IA62" s="2"/>
      <c r="IB62" s="2"/>
      <c r="IC62" s="2"/>
      <c r="ID62" s="2">
        <f>624+528+336+864+864+1</f>
        <v>3217</v>
      </c>
      <c r="IE62" s="2">
        <f>48+1056+1056</f>
        <v>2160</v>
      </c>
      <c r="IF62" s="2">
        <f>480+480+144</f>
        <v>1104</v>
      </c>
      <c r="IG62" s="2">
        <f>336+1</f>
        <v>337</v>
      </c>
      <c r="IH62" s="2"/>
      <c r="II62" s="2">
        <f>432+336+336</f>
        <v>1104</v>
      </c>
      <c r="IJ62" s="2">
        <f>1+1</f>
        <v>2</v>
      </c>
      <c r="IK62" s="2"/>
      <c r="IL62" s="2"/>
      <c r="IM62" s="2">
        <v>528</v>
      </c>
      <c r="IN62" s="2">
        <f>1+480+528</f>
        <v>1009</v>
      </c>
      <c r="IO62" s="2">
        <v>1</v>
      </c>
      <c r="IP62" s="2">
        <f>240+96</f>
        <v>336</v>
      </c>
      <c r="IQ62" s="12">
        <f>1+1</f>
        <v>2</v>
      </c>
      <c r="IR62" s="12">
        <v>1</v>
      </c>
      <c r="IS62" s="12">
        <f>1+1</f>
        <v>2</v>
      </c>
      <c r="IT62" s="2">
        <v>384</v>
      </c>
      <c r="IU62" s="12">
        <f>1+1+336+1056+432</f>
        <v>1826</v>
      </c>
      <c r="IV62" s="12">
        <f>1+1+96+432+768+432</f>
        <v>1730</v>
      </c>
      <c r="IW62" s="2">
        <f>672+240+528</f>
        <v>1440</v>
      </c>
      <c r="IX62" s="12">
        <v>1</v>
      </c>
      <c r="IY62" s="2"/>
      <c r="IZ62" s="2">
        <f>240+384</f>
        <v>624</v>
      </c>
      <c r="JA62" s="2">
        <f>1056+1056</f>
        <v>2112</v>
      </c>
      <c r="JB62" s="2">
        <f>2+2</f>
        <v>4</v>
      </c>
      <c r="JC62" s="2">
        <f>2+2</f>
        <v>4</v>
      </c>
      <c r="JD62" s="2"/>
      <c r="JE62" s="2">
        <f>144+144+2</f>
        <v>290</v>
      </c>
      <c r="JF62" s="2"/>
      <c r="JG62" s="2">
        <v>1</v>
      </c>
      <c r="JH62" s="2">
        <f>624+1</f>
        <v>625</v>
      </c>
      <c r="JI62" s="2">
        <f>432+96</f>
        <v>528</v>
      </c>
      <c r="JJ62" s="2">
        <v>1</v>
      </c>
      <c r="JK62" s="2">
        <f>480+384+384</f>
        <v>1248</v>
      </c>
      <c r="JL62" s="2"/>
      <c r="JM62" s="2">
        <v>384</v>
      </c>
      <c r="JN62" s="2">
        <f>144+1056+336+240+1056</f>
        <v>2832</v>
      </c>
      <c r="JO62" s="2">
        <f>1056+96+288</f>
        <v>1440</v>
      </c>
      <c r="JP62" s="2">
        <v>192</v>
      </c>
      <c r="JQ62" s="2"/>
      <c r="JR62" s="2">
        <f>2+192+288+336+336</f>
        <v>1154</v>
      </c>
      <c r="JS62" s="2">
        <v>1</v>
      </c>
      <c r="JT62" s="2">
        <f>576+432+576+672+384</f>
        <v>2640</v>
      </c>
      <c r="JU62" s="2">
        <v>1</v>
      </c>
      <c r="JV62" s="2"/>
      <c r="JW62" s="2">
        <f>336+1+720</f>
        <v>1057</v>
      </c>
      <c r="JX62" s="2">
        <f>768+2</f>
        <v>770</v>
      </c>
      <c r="JY62" s="2">
        <v>48</v>
      </c>
      <c r="JZ62" s="2">
        <f>720+336</f>
        <v>1056</v>
      </c>
      <c r="KA62" s="2">
        <f>384+288+288+96+1</f>
        <v>1057</v>
      </c>
      <c r="KB62" s="2">
        <f>480+336+414</f>
        <v>1230</v>
      </c>
      <c r="KC62" s="2">
        <v>864</v>
      </c>
      <c r="KD62" s="2">
        <v>1056</v>
      </c>
      <c r="KE62" s="2">
        <f>480+1+192+1056</f>
        <v>1729</v>
      </c>
      <c r="KF62" s="2">
        <f>336+576+864</f>
        <v>1776</v>
      </c>
      <c r="KG62" s="2">
        <f>480+576+432</f>
        <v>1488</v>
      </c>
      <c r="KH62" s="2">
        <f>624+432</f>
        <v>1056</v>
      </c>
      <c r="KI62" s="2"/>
      <c r="KJ62" s="2">
        <f>960+384+62</f>
        <v>1406</v>
      </c>
      <c r="KK62" s="2">
        <v>336</v>
      </c>
      <c r="KL62" s="2">
        <f>1+2</f>
        <v>3</v>
      </c>
      <c r="KM62" s="2">
        <v>1</v>
      </c>
      <c r="KN62" s="2">
        <v>1</v>
      </c>
      <c r="KO62" s="2"/>
      <c r="KP62" s="2">
        <v>1</v>
      </c>
      <c r="KQ62" s="2"/>
      <c r="KR62" s="2"/>
      <c r="KS62" s="2">
        <f>192+528</f>
        <v>720</v>
      </c>
      <c r="KT62" s="2">
        <f>144+144+288+480</f>
        <v>1056</v>
      </c>
      <c r="KU62" s="2"/>
      <c r="KV62" s="2">
        <v>1</v>
      </c>
      <c r="KW62" s="2"/>
      <c r="KX62" s="2">
        <v>1</v>
      </c>
      <c r="KY62" s="2">
        <f>96+384+336</f>
        <v>816</v>
      </c>
      <c r="KZ62" s="2">
        <v>240</v>
      </c>
      <c r="LA62" s="2"/>
      <c r="LB62" s="2">
        <v>3</v>
      </c>
      <c r="LC62" s="9">
        <f>144+336+864+384+240+384+2+2</f>
        <v>2356</v>
      </c>
      <c r="LD62" s="9">
        <f>480+1+2</f>
        <v>483</v>
      </c>
      <c r="LE62" s="2"/>
      <c r="LF62" s="2">
        <v>2</v>
      </c>
      <c r="LG62" s="9">
        <f>384+2</f>
        <v>386</v>
      </c>
      <c r="LH62" s="9"/>
      <c r="LI62" s="9">
        <f>384+384+624+432</f>
        <v>1824</v>
      </c>
      <c r="LJ62" s="9"/>
      <c r="LK62" s="9">
        <v>1</v>
      </c>
      <c r="LL62" s="9">
        <f>432+96</f>
        <v>528</v>
      </c>
      <c r="LM62" s="9">
        <f>480+720+384</f>
        <v>1584</v>
      </c>
      <c r="LN62" s="9">
        <f>336+288+432</f>
        <v>1056</v>
      </c>
      <c r="LO62" s="9">
        <v>192</v>
      </c>
      <c r="LP62" s="9">
        <v>192</v>
      </c>
      <c r="LQ62" s="9">
        <f>240+480</f>
        <v>720</v>
      </c>
      <c r="LR62" s="9">
        <v>288</v>
      </c>
      <c r="LS62" s="9">
        <f>768+336+480+288</f>
        <v>1872</v>
      </c>
      <c r="LT62" s="9">
        <v>384</v>
      </c>
      <c r="LU62" s="9">
        <f>480+576+288+336+2+336+240</f>
        <v>2258</v>
      </c>
      <c r="LV62" s="9">
        <f>144+480+2+1+336</f>
        <v>963</v>
      </c>
      <c r="LW62" s="9">
        <v>528</v>
      </c>
      <c r="LX62" s="9"/>
      <c r="LY62" s="9">
        <f>136+1056+144+768+1056+576</f>
        <v>3736</v>
      </c>
      <c r="LZ62" s="9"/>
      <c r="MA62" s="9">
        <v>336</v>
      </c>
      <c r="MB62" s="9">
        <f>20+528+336</f>
        <v>884</v>
      </c>
      <c r="MC62" s="9"/>
      <c r="MD62" s="9">
        <f>480+480</f>
        <v>960</v>
      </c>
      <c r="ME62" s="2">
        <f>240+432+192</f>
        <v>864</v>
      </c>
      <c r="MF62" s="2">
        <f>240+1+720</f>
        <v>961</v>
      </c>
      <c r="MG62" s="2">
        <f>96+288+432</f>
        <v>816</v>
      </c>
      <c r="MH62" s="2">
        <f>576+336+384+480+432+528+192</f>
        <v>2928</v>
      </c>
      <c r="MI62" s="2">
        <f>48+480+96+336</f>
        <v>960</v>
      </c>
      <c r="MJ62" s="2">
        <f>432+528+144</f>
        <v>1104</v>
      </c>
      <c r="MK62" s="2">
        <f>432+144+192</f>
        <v>768</v>
      </c>
      <c r="ML62" s="2">
        <f>48+288</f>
        <v>336</v>
      </c>
      <c r="MM62" s="2">
        <f>528+480+336+1+1+1+1+1</f>
        <v>1349</v>
      </c>
      <c r="MN62" s="2">
        <v>1</v>
      </c>
      <c r="MO62" s="2">
        <f>1+2+1</f>
        <v>4</v>
      </c>
      <c r="MP62" s="2">
        <f>240+864+480+1</f>
        <v>1585</v>
      </c>
      <c r="MQ62" s="2"/>
      <c r="MR62" s="2">
        <v>144</v>
      </c>
      <c r="MS62" s="2">
        <f>2+1</f>
        <v>3</v>
      </c>
      <c r="MT62" s="2">
        <f>240+96</f>
        <v>336</v>
      </c>
      <c r="MU62" s="2">
        <v>240</v>
      </c>
      <c r="MV62" s="2">
        <v>48</v>
      </c>
      <c r="MW62" s="2">
        <f>672+1+864</f>
        <v>1537</v>
      </c>
      <c r="MX62" s="2">
        <v>2</v>
      </c>
      <c r="MY62" s="2"/>
      <c r="MZ62" s="2">
        <f>480+480+384+1+11</f>
        <v>1356</v>
      </c>
      <c r="NA62" s="2">
        <f>192+864</f>
        <v>1056</v>
      </c>
      <c r="NB62" s="2">
        <f>288+432+288</f>
        <v>1008</v>
      </c>
      <c r="NC62" s="2">
        <v>624</v>
      </c>
      <c r="ND62" s="2">
        <f>144+48</f>
        <v>192</v>
      </c>
      <c r="NE62" s="2">
        <f>336+240+192+2+672+384+2</f>
        <v>1828</v>
      </c>
      <c r="NF62" s="2">
        <f>384+480+1+144</f>
        <v>1009</v>
      </c>
      <c r="NG62" s="2">
        <f>288+1</f>
        <v>289</v>
      </c>
      <c r="NH62" s="2">
        <v>240</v>
      </c>
      <c r="NI62" s="2">
        <v>480</v>
      </c>
      <c r="NJ62" s="2">
        <f>336+720+528+96</f>
        <v>1680</v>
      </c>
      <c r="NK62" s="2">
        <v>1</v>
      </c>
      <c r="NL62" s="2">
        <f>288+240+288</f>
        <v>816</v>
      </c>
      <c r="NM62" s="2">
        <f>480+480+96+480+96+960+720+480+432</f>
        <v>4224</v>
      </c>
      <c r="NN62" s="2">
        <v>192</v>
      </c>
      <c r="NO62" s="2">
        <f>288+624+528+480</f>
        <v>1920</v>
      </c>
      <c r="NP62" s="2">
        <f>480+96</f>
        <v>576</v>
      </c>
      <c r="NQ62" s="2"/>
      <c r="NR62" s="2"/>
      <c r="NS62" s="2">
        <v>192</v>
      </c>
      <c r="NT62" s="2"/>
      <c r="NU62" s="2"/>
      <c r="NV62" s="2">
        <f>336+960</f>
        <v>1296</v>
      </c>
      <c r="NW62" s="2">
        <f>384+192+576+240</f>
        <v>1392</v>
      </c>
      <c r="NX62" s="2">
        <v>288</v>
      </c>
      <c r="NY62" s="2">
        <f>1+1+1</f>
        <v>3</v>
      </c>
      <c r="NZ62" s="2">
        <f>1+288+48</f>
        <v>337</v>
      </c>
      <c r="OA62" s="2">
        <v>288</v>
      </c>
      <c r="OB62" s="2">
        <v>576</v>
      </c>
      <c r="OC62" s="2"/>
      <c r="OD62" s="2">
        <f>288+288+1</f>
        <v>577</v>
      </c>
      <c r="OE62" s="2">
        <v>384</v>
      </c>
      <c r="OF62" s="2"/>
      <c r="OG62" s="2">
        <v>16</v>
      </c>
      <c r="OH62" s="2">
        <f>96+2</f>
        <v>98</v>
      </c>
      <c r="OI62" s="2">
        <f>1+432</f>
        <v>433</v>
      </c>
      <c r="OJ62" s="2">
        <f>216+384+528+864</f>
        <v>1992</v>
      </c>
      <c r="OK62" s="2">
        <f>480+816+960+96+960+96+432</f>
        <v>3840</v>
      </c>
      <c r="OL62" s="2">
        <f>1+336</f>
        <v>337</v>
      </c>
      <c r="OM62" s="2">
        <f>96+576</f>
        <v>672</v>
      </c>
      <c r="ON62" s="2">
        <f>2+480</f>
        <v>482</v>
      </c>
      <c r="OO62" s="2">
        <v>432</v>
      </c>
      <c r="OP62" s="2">
        <f>240+240+1+2</f>
        <v>483</v>
      </c>
      <c r="OQ62" s="2">
        <f>2+336+288+288+240+336</f>
        <v>1490</v>
      </c>
      <c r="OR62" s="2">
        <f>384+58+240</f>
        <v>682</v>
      </c>
      <c r="OS62" s="2">
        <f>240+108</f>
        <v>348</v>
      </c>
      <c r="OT62" s="2">
        <f>96+240</f>
        <v>336</v>
      </c>
      <c r="OU62" s="2">
        <f>167+240</f>
        <v>407</v>
      </c>
      <c r="OV62" s="2">
        <v>72</v>
      </c>
      <c r="OW62" s="2">
        <f>96+144+2+336</f>
        <v>578</v>
      </c>
      <c r="OX62" s="2"/>
      <c r="OY62" s="2">
        <v>1</v>
      </c>
      <c r="OZ62" s="2">
        <f>288+336+288+288</f>
        <v>1200</v>
      </c>
      <c r="PA62" s="2">
        <f>1+240+288+288+384+1</f>
        <v>1202</v>
      </c>
      <c r="PB62" s="2"/>
      <c r="PC62" s="2"/>
      <c r="PD62" s="2">
        <f>336+144</f>
        <v>480</v>
      </c>
      <c r="PE62" s="2">
        <f>96+144+192</f>
        <v>432</v>
      </c>
      <c r="PF62" s="2">
        <f>144+240+192</f>
        <v>576</v>
      </c>
      <c r="PG62" s="2">
        <f>144+192+336+1+1</f>
        <v>674</v>
      </c>
      <c r="PH62" s="2"/>
      <c r="PI62" s="2">
        <v>240</v>
      </c>
      <c r="PJ62" s="2">
        <f>528+288</f>
        <v>816</v>
      </c>
      <c r="PK62" s="2">
        <f>144+144</f>
        <v>288</v>
      </c>
      <c r="PL62" s="2">
        <f>20</f>
        <v>20</v>
      </c>
      <c r="PM62" s="2">
        <f>1+1+2+2+2+48+48</f>
        <v>104</v>
      </c>
      <c r="PN62" s="2">
        <f>1+384</f>
        <v>385</v>
      </c>
      <c r="PO62" s="2">
        <f>384</f>
        <v>384</v>
      </c>
      <c r="PP62" s="2">
        <v>1</v>
      </c>
      <c r="PQ62" s="2">
        <v>1</v>
      </c>
      <c r="PR62" s="2">
        <f>384+48+1+1</f>
        <v>434</v>
      </c>
      <c r="PS62" s="2">
        <f>144+1+1+1</f>
        <v>147</v>
      </c>
      <c r="PT62" s="2">
        <v>240</v>
      </c>
      <c r="PU62" s="2"/>
      <c r="PV62" s="2">
        <f>288+240+480+528+1</f>
        <v>1537</v>
      </c>
      <c r="PW62" s="2"/>
      <c r="PX62" s="2">
        <f>336+384+2</f>
        <v>722</v>
      </c>
      <c r="PY62" s="2">
        <v>192</v>
      </c>
      <c r="PZ62" s="2">
        <v>288</v>
      </c>
      <c r="QA62" s="2">
        <f>192+288+528+384+1+144</f>
        <v>1537</v>
      </c>
      <c r="QB62" s="2">
        <f>48+192</f>
        <v>240</v>
      </c>
      <c r="QC62" s="2">
        <f>144+192+576+240+144+192</f>
        <v>1488</v>
      </c>
      <c r="QD62" s="2">
        <v>624</v>
      </c>
      <c r="QE62" s="2">
        <f>240+4</f>
        <v>244</v>
      </c>
      <c r="QF62" s="2">
        <f>192+2</f>
        <v>194</v>
      </c>
      <c r="QG62" s="2">
        <f>1+1+2+1</f>
        <v>5</v>
      </c>
      <c r="QH62" s="2">
        <f>1+1+1</f>
        <v>3</v>
      </c>
      <c r="QI62" s="2">
        <f>192+336+1+1+1</f>
        <v>531</v>
      </c>
      <c r="QJ62" s="2">
        <f>1+1+1</f>
        <v>3</v>
      </c>
      <c r="QK62" s="2">
        <f>384+144+384+144+336+384</f>
        <v>1776</v>
      </c>
      <c r="QL62" s="2">
        <f>1</f>
        <v>1</v>
      </c>
      <c r="QM62" s="2">
        <f>192</f>
        <v>192</v>
      </c>
      <c r="QN62" s="2"/>
      <c r="QO62" s="2">
        <f>1</f>
        <v>1</v>
      </c>
      <c r="QP62" s="2">
        <f>96</f>
        <v>96</v>
      </c>
      <c r="QQ62" s="2"/>
      <c r="QR62" s="2">
        <f>1+192</f>
        <v>193</v>
      </c>
      <c r="QS62" s="2">
        <f>96</f>
        <v>96</v>
      </c>
      <c r="QT62" s="2">
        <v>1</v>
      </c>
      <c r="QU62" s="2"/>
      <c r="QV62" s="2">
        <f>144+240+2+336+1</f>
        <v>723</v>
      </c>
      <c r="QW62" s="2">
        <f>1+1+1</f>
        <v>3</v>
      </c>
      <c r="QX62" s="2">
        <f>288</f>
        <v>288</v>
      </c>
      <c r="QY62" s="2">
        <f>240+144+480</f>
        <v>864</v>
      </c>
      <c r="QZ62" s="2">
        <f>288+336</f>
        <v>624</v>
      </c>
      <c r="RA62" s="2">
        <f>480+816+672+528+1+2</f>
        <v>2499</v>
      </c>
      <c r="RB62" s="2">
        <f>1+432+1056</f>
        <v>1489</v>
      </c>
      <c r="RC62" s="2">
        <f>2+624+1</f>
        <v>627</v>
      </c>
      <c r="RD62" s="2"/>
      <c r="RE62" s="2">
        <f>144+432+1+1</f>
        <v>578</v>
      </c>
      <c r="RF62" s="2">
        <f>2+2+2+3</f>
        <v>9</v>
      </c>
      <c r="RG62" s="2">
        <f>384+2+1</f>
        <v>387</v>
      </c>
      <c r="RH62" s="2">
        <f>1+192+1+1</f>
        <v>195</v>
      </c>
      <c r="RI62" s="2">
        <f>672+384</f>
        <v>1056</v>
      </c>
      <c r="RJ62" s="2">
        <f>528</f>
        <v>528</v>
      </c>
      <c r="RK62" s="2">
        <f>1+672</f>
        <v>673</v>
      </c>
      <c r="RL62" s="2">
        <f>1</f>
        <v>1</v>
      </c>
      <c r="RM62" s="2">
        <f>480</f>
        <v>480</v>
      </c>
      <c r="RN62" s="2">
        <f>336</f>
        <v>336</v>
      </c>
      <c r="RO62" s="2">
        <f>2+2</f>
        <v>4</v>
      </c>
      <c r="RP62" s="2"/>
      <c r="RQ62" s="2">
        <f>480</f>
        <v>480</v>
      </c>
      <c r="RR62" s="2"/>
      <c r="RS62" s="2"/>
      <c r="RT62" s="2"/>
      <c r="RU62" s="2">
        <f>1+1+2+2+1</f>
        <v>7</v>
      </c>
      <c r="RV62" s="2">
        <f>144+1+1</f>
        <v>146</v>
      </c>
      <c r="RW62" s="2">
        <f>1</f>
        <v>1</v>
      </c>
      <c r="RX62" s="2">
        <f>384+288+384+1+2+2</f>
        <v>1061</v>
      </c>
      <c r="RY62" s="2">
        <f>1</f>
        <v>1</v>
      </c>
      <c r="RZ62" s="2"/>
      <c r="SA62" s="2">
        <f>384+240+432</f>
        <v>1056</v>
      </c>
      <c r="SB62" s="2"/>
      <c r="SC62" s="2">
        <f>192+1+1+1+2+1+1+1</f>
        <v>200</v>
      </c>
      <c r="SD62" s="2">
        <f>240+240+2</f>
        <v>482</v>
      </c>
      <c r="SE62" s="2">
        <f>384</f>
        <v>384</v>
      </c>
      <c r="SF62" s="2">
        <f>288+384+192</f>
        <v>864</v>
      </c>
      <c r="SG62" s="2">
        <f>528+576+1</f>
        <v>1105</v>
      </c>
      <c r="SH62" s="2">
        <f>240+96+240+336+336</f>
        <v>1248</v>
      </c>
      <c r="SI62" s="2">
        <f>384+192+240+192+384</f>
        <v>1392</v>
      </c>
      <c r="SJ62" s="2">
        <f>384+480+2+1+1+2+1</f>
        <v>871</v>
      </c>
      <c r="SK62" s="2">
        <f>1+1+1+1</f>
        <v>4</v>
      </c>
      <c r="SL62" s="2"/>
      <c r="SM62" s="2">
        <f>1+336</f>
        <v>337</v>
      </c>
      <c r="SN62" s="2">
        <f>192+336</f>
        <v>528</v>
      </c>
      <c r="SO62" s="2">
        <f>228</f>
        <v>228</v>
      </c>
      <c r="SP62" s="2"/>
      <c r="SQ62" s="2"/>
      <c r="SR62" s="2"/>
      <c r="SS62" s="2"/>
      <c r="ST62" s="2"/>
      <c r="SU62" s="2">
        <f>96</f>
        <v>96</v>
      </c>
      <c r="SV62" s="2">
        <f>672+480+768+960+576+1+1</f>
        <v>3458</v>
      </c>
      <c r="SW62" s="2">
        <f>1056+240+240+336+1</f>
        <v>1873</v>
      </c>
      <c r="SX62" s="2">
        <f>768+480</f>
        <v>1248</v>
      </c>
      <c r="SY62" s="2">
        <f>1+2+1+384+144</f>
        <v>532</v>
      </c>
      <c r="SZ62" s="2">
        <f>384+384</f>
        <v>768</v>
      </c>
      <c r="TA62" s="2">
        <v>1</v>
      </c>
      <c r="TB62" s="2">
        <f>144+240+2+576+432+192+1+1+1+1</f>
        <v>1590</v>
      </c>
      <c r="TC62" s="2">
        <f>1+1+2</f>
        <v>4</v>
      </c>
      <c r="TD62" s="2"/>
      <c r="TE62" s="2">
        <f>2+1+48</f>
        <v>51</v>
      </c>
      <c r="TF62" s="2">
        <v>240</v>
      </c>
      <c r="TG62" s="2">
        <f>192+288+192</f>
        <v>672</v>
      </c>
      <c r="TH62" s="2">
        <f>384+336+336+1</f>
        <v>1057</v>
      </c>
      <c r="TI62" s="2"/>
      <c r="TJ62" s="2">
        <f>288+336+288</f>
        <v>912</v>
      </c>
      <c r="TK62" s="2">
        <f>192+1+336+240</f>
        <v>769</v>
      </c>
      <c r="TL62" s="2">
        <f>432+2</f>
        <v>434</v>
      </c>
      <c r="TM62" s="2">
        <f>336+96</f>
        <v>432</v>
      </c>
      <c r="TN62" s="2">
        <f>1+336+288+288</f>
        <v>913</v>
      </c>
      <c r="TO62" s="2">
        <f>288+192+336+2</f>
        <v>818</v>
      </c>
      <c r="TP62" s="2">
        <f>336+192</f>
        <v>528</v>
      </c>
      <c r="TQ62" s="2">
        <f>240+288+192</f>
        <v>720</v>
      </c>
      <c r="TR62" s="2">
        <f>96+96+1</f>
        <v>193</v>
      </c>
      <c r="TS62" s="2">
        <v>144</v>
      </c>
      <c r="TT62" s="2"/>
      <c r="TU62" s="2"/>
      <c r="TV62" s="2"/>
      <c r="TW62" s="2"/>
      <c r="TX62" s="2">
        <f>4+1+2</f>
        <v>7</v>
      </c>
      <c r="TY62" s="2">
        <f>1+1+1+1+2</f>
        <v>6</v>
      </c>
      <c r="TZ62" s="2">
        <f>1+1</f>
        <v>2</v>
      </c>
      <c r="UA62" s="2"/>
      <c r="UB62" s="2">
        <f>1+1</f>
        <v>2</v>
      </c>
      <c r="UC62" s="2"/>
      <c r="UD62" s="2"/>
      <c r="UE62" s="2">
        <f>1+1</f>
        <v>2</v>
      </c>
      <c r="UF62" s="2">
        <v>1</v>
      </c>
      <c r="UG62" s="2"/>
      <c r="UH62" s="2">
        <v>2</v>
      </c>
      <c r="UI62" s="2">
        <f>384+384+192+192</f>
        <v>1152</v>
      </c>
      <c r="UJ62" s="2">
        <f>192+384</f>
        <v>576</v>
      </c>
      <c r="UK62" s="2">
        <f>384+480</f>
        <v>864</v>
      </c>
      <c r="UL62" s="2">
        <f>288+480+336+240+720+384+336</f>
        <v>2784</v>
      </c>
      <c r="UM62" s="2">
        <f>288+384</f>
        <v>672</v>
      </c>
      <c r="UN62" s="2">
        <f>336+288+240+144+192+1+240</f>
        <v>1441</v>
      </c>
      <c r="UO62" s="2">
        <f>336+240</f>
        <v>576</v>
      </c>
      <c r="UP62" s="2">
        <f>2+2+2+1</f>
        <v>7</v>
      </c>
      <c r="UQ62" s="2">
        <f>384+384+336+1+1+2</f>
        <v>1108</v>
      </c>
      <c r="UR62" s="2">
        <f>4+8+2+1</f>
        <v>15</v>
      </c>
      <c r="US62" s="2">
        <v>288</v>
      </c>
      <c r="UT62" s="2">
        <f>336+336</f>
        <v>672</v>
      </c>
      <c r="UU62" s="2">
        <f>288+432</f>
        <v>720</v>
      </c>
      <c r="UV62" s="2">
        <f>384+432</f>
        <v>816</v>
      </c>
      <c r="UW62" s="2">
        <v>5</v>
      </c>
      <c r="UX62" s="2">
        <v>1</v>
      </c>
      <c r="UY62" s="2">
        <f>336+384+528+576</f>
        <v>1824</v>
      </c>
      <c r="UZ62" s="2">
        <v>384</v>
      </c>
      <c r="VA62" s="2">
        <v>1</v>
      </c>
      <c r="VB62" s="2"/>
      <c r="VC62" s="2">
        <f>336+480+624+432+432</f>
        <v>2304</v>
      </c>
      <c r="VD62" s="2">
        <f>1+432</f>
        <v>433</v>
      </c>
      <c r="VE62" s="2">
        <f>480+192+480</f>
        <v>1152</v>
      </c>
      <c r="VF62" s="2">
        <v>480</v>
      </c>
      <c r="VG62" s="2">
        <f>432+240+432</f>
        <v>1104</v>
      </c>
      <c r="VH62" s="2">
        <f>336+576</f>
        <v>912</v>
      </c>
      <c r="VI62" s="2">
        <v>336</v>
      </c>
      <c r="VJ62" s="2"/>
      <c r="VK62" s="2">
        <v>528</v>
      </c>
      <c r="VL62" s="2"/>
      <c r="VM62" s="2">
        <v>72</v>
      </c>
      <c r="VN62" s="2"/>
      <c r="VO62" s="2"/>
      <c r="VP62" s="2">
        <f>2+2+1</f>
        <v>5</v>
      </c>
      <c r="VQ62" s="2">
        <v>192</v>
      </c>
      <c r="VR62" s="2">
        <f>240+179+288+1+2+2</f>
        <v>712</v>
      </c>
      <c r="VS62" s="2">
        <f>288+288</f>
        <v>576</v>
      </c>
      <c r="VT62" s="2">
        <f>384+144+432</f>
        <v>960</v>
      </c>
      <c r="VU62" s="2">
        <f>432+384</f>
        <v>816</v>
      </c>
      <c r="VV62" s="2">
        <v>384</v>
      </c>
      <c r="VW62" s="2">
        <v>432</v>
      </c>
      <c r="VX62" s="2">
        <f>288+432</f>
        <v>720</v>
      </c>
      <c r="VY62" s="2">
        <f>192+288+240</f>
        <v>720</v>
      </c>
      <c r="VZ62" s="2">
        <f>1+1+336+192</f>
        <v>530</v>
      </c>
      <c r="WA62" s="2">
        <v>576</v>
      </c>
      <c r="WB62" s="2">
        <f>432+432+384+384+192</f>
        <v>1824</v>
      </c>
      <c r="WC62" s="2">
        <f>384+288+288+336</f>
        <v>1296</v>
      </c>
      <c r="WD62" s="2">
        <f>384+288+144+432</f>
        <v>1248</v>
      </c>
      <c r="WE62" s="2">
        <f>192+432+192</f>
        <v>816</v>
      </c>
      <c r="WF62" s="2">
        <f>288+1+1+1+2+1</f>
        <v>294</v>
      </c>
      <c r="WG62" s="2">
        <v>336</v>
      </c>
      <c r="WH62" s="2">
        <f>1+2+5</f>
        <v>8</v>
      </c>
      <c r="WI62" s="2">
        <v>102</v>
      </c>
      <c r="WJ62" s="2">
        <v>1</v>
      </c>
      <c r="WK62" s="2">
        <v>2</v>
      </c>
      <c r="WL62" s="2"/>
      <c r="WM62" s="2">
        <v>1</v>
      </c>
      <c r="WN62" s="2">
        <v>96</v>
      </c>
      <c r="WO62" s="2">
        <f>288+1</f>
        <v>289</v>
      </c>
      <c r="WP62" s="2">
        <v>288</v>
      </c>
      <c r="WQ62" s="2">
        <f>4+1</f>
        <v>5</v>
      </c>
      <c r="WR62" s="2">
        <f>1+2</f>
        <v>3</v>
      </c>
      <c r="WS62" s="2">
        <v>1</v>
      </c>
      <c r="WT62" s="2">
        <f>384+240+384</f>
        <v>1008</v>
      </c>
      <c r="WU62" s="2"/>
      <c r="WV62" s="2">
        <f>192+288+336</f>
        <v>816</v>
      </c>
      <c r="WW62" s="2">
        <v>432</v>
      </c>
      <c r="WX62" s="2">
        <f>384+336</f>
        <v>720</v>
      </c>
      <c r="WY62" s="2">
        <f>50+240</f>
        <v>290</v>
      </c>
      <c r="WZ62" s="2">
        <v>2</v>
      </c>
      <c r="XA62" s="2"/>
      <c r="XB62" s="2">
        <f>1+1</f>
        <v>2</v>
      </c>
      <c r="XC62" s="2">
        <f>1+1+1+1</f>
        <v>4</v>
      </c>
      <c r="XD62" s="2">
        <f>240+192</f>
        <v>432</v>
      </c>
      <c r="XE62" s="2"/>
      <c r="XF62" s="2">
        <f>1+240</f>
        <v>241</v>
      </c>
      <c r="XG62" s="2"/>
      <c r="XH62" s="2">
        <v>144</v>
      </c>
      <c r="XI62" s="2"/>
      <c r="XJ62" s="2">
        <v>2</v>
      </c>
      <c r="XK62" s="2"/>
      <c r="XL62" s="2"/>
      <c r="XM62" s="2">
        <v>336</v>
      </c>
      <c r="XN62" s="2">
        <f>288+192+2+240</f>
        <v>722</v>
      </c>
      <c r="XO62" s="2">
        <v>144</v>
      </c>
      <c r="XP62" s="2">
        <v>96</v>
      </c>
      <c r="XQ62" s="2">
        <f>144+384</f>
        <v>528</v>
      </c>
      <c r="XR62" s="2">
        <v>432</v>
      </c>
      <c r="XS62" s="2">
        <f>240+480+336+384</f>
        <v>1440</v>
      </c>
      <c r="XT62" s="2"/>
      <c r="XU62" s="2">
        <v>1</v>
      </c>
      <c r="XV62" s="2">
        <v>1</v>
      </c>
      <c r="XW62" s="2">
        <v>1</v>
      </c>
      <c r="XX62" s="2">
        <f>1+1+2</f>
        <v>4</v>
      </c>
      <c r="XY62" s="2">
        <f>240+192+96+336</f>
        <v>864</v>
      </c>
      <c r="XZ62" s="2">
        <f>480+1</f>
        <v>481</v>
      </c>
      <c r="YA62" s="2">
        <f>96+1</f>
        <v>97</v>
      </c>
      <c r="YB62" s="2">
        <v>528</v>
      </c>
      <c r="YC62" s="2">
        <v>1</v>
      </c>
      <c r="YD62" s="2"/>
      <c r="YE62" s="2">
        <f>1+240+384+1</f>
        <v>626</v>
      </c>
      <c r="YF62" s="2">
        <v>2</v>
      </c>
      <c r="YG62" s="2">
        <f>480+2+1+1</f>
        <v>484</v>
      </c>
      <c r="YH62" s="2">
        <v>288</v>
      </c>
      <c r="YI62" s="2"/>
      <c r="YJ62" s="2"/>
      <c r="YK62" s="2">
        <v>576</v>
      </c>
      <c r="YL62" s="2">
        <f>96+432+480</f>
        <v>1008</v>
      </c>
      <c r="YM62" s="2">
        <f>1+1+1+1+1+1</f>
        <v>6</v>
      </c>
      <c r="YN62" s="2">
        <f>1+1+1+144</f>
        <v>147</v>
      </c>
      <c r="YO62" s="2">
        <v>1</v>
      </c>
      <c r="YP62" s="2">
        <f>3+320+13</f>
        <v>336</v>
      </c>
      <c r="YQ62" s="2">
        <v>1</v>
      </c>
      <c r="YR62" s="2">
        <v>1</v>
      </c>
      <c r="YS62" s="2"/>
      <c r="YT62" s="2">
        <f>336+240+144+1+1</f>
        <v>722</v>
      </c>
      <c r="YU62" s="2">
        <f>2+336+336+168</f>
        <v>842</v>
      </c>
      <c r="YV62" s="2"/>
      <c r="YW62" s="2">
        <f>240+240</f>
        <v>480</v>
      </c>
      <c r="YX62" s="2"/>
      <c r="YY62" s="2">
        <f>336+192</f>
        <v>528</v>
      </c>
      <c r="YZ62" s="2">
        <f>336+2+1+1</f>
        <v>340</v>
      </c>
      <c r="ZA62" s="2">
        <f>240+48+240</f>
        <v>528</v>
      </c>
      <c r="ZB62" s="2">
        <v>384</v>
      </c>
      <c r="ZC62" s="2">
        <v>480</v>
      </c>
      <c r="ZD62" s="2">
        <v>576</v>
      </c>
      <c r="ZE62" s="2"/>
      <c r="ZF62" s="2"/>
      <c r="ZG62" s="2">
        <v>2</v>
      </c>
      <c r="ZH62" s="2"/>
      <c r="ZI62" s="2">
        <f>1+1+1+1+5</f>
        <v>9</v>
      </c>
      <c r="ZJ62" s="2">
        <f>2+96</f>
        <v>98</v>
      </c>
      <c r="ZK62" s="2"/>
      <c r="ZL62" s="2"/>
      <c r="ZM62" s="2">
        <v>1</v>
      </c>
      <c r="ZN62" s="2"/>
      <c r="ZO62" s="2">
        <v>1</v>
      </c>
      <c r="ZP62" s="2">
        <v>2</v>
      </c>
      <c r="ZQ62" s="2"/>
      <c r="ZR62" s="2"/>
      <c r="ZS62" s="2">
        <f>1+1</f>
        <v>2</v>
      </c>
      <c r="ZT62" s="2"/>
      <c r="ZU62" s="2">
        <v>240</v>
      </c>
      <c r="ZV62" s="2">
        <v>192</v>
      </c>
      <c r="ZW62" s="2">
        <f>144+144+144</f>
        <v>432</v>
      </c>
      <c r="ZX62" s="2"/>
      <c r="ZY62" s="2">
        <f>1+1+1</f>
        <v>3</v>
      </c>
      <c r="ZZ62" s="2">
        <f>192+192+2+2+2+2</f>
        <v>392</v>
      </c>
      <c r="AAA62" s="2"/>
      <c r="AAB62" s="2">
        <v>288</v>
      </c>
      <c r="AAC62" s="2">
        <v>1</v>
      </c>
      <c r="AAD62" s="2"/>
      <c r="AAE62" s="2">
        <v>1</v>
      </c>
      <c r="AAF62" s="2">
        <v>96</v>
      </c>
      <c r="AAG62" s="2"/>
      <c r="AAH62" s="2">
        <v>1</v>
      </c>
      <c r="AAI62" s="2">
        <f>1+1+96</f>
        <v>98</v>
      </c>
      <c r="AAJ62" s="2"/>
      <c r="AAK62" s="2"/>
      <c r="AAL62" s="2"/>
      <c r="AAM62" s="2">
        <v>1</v>
      </c>
      <c r="AAN62" s="2">
        <f>1+1+1+1+1+1+1+1</f>
        <v>8</v>
      </c>
      <c r="AAO62" s="2">
        <f>1+2</f>
        <v>3</v>
      </c>
      <c r="AAP62" s="2">
        <f>192+480+240</f>
        <v>912</v>
      </c>
      <c r="AAQ62" s="2">
        <f>1+1+192+96+48</f>
        <v>338</v>
      </c>
      <c r="AAR62" s="2">
        <v>528</v>
      </c>
      <c r="AAS62" s="2"/>
      <c r="AAT62" s="2">
        <f>192+528</f>
        <v>720</v>
      </c>
      <c r="AAU62" s="2">
        <f>192+48+720+336</f>
        <v>1296</v>
      </c>
      <c r="AAV62" s="2">
        <v>144</v>
      </c>
      <c r="AAW62" s="2">
        <v>192</v>
      </c>
      <c r="AAX62" s="2"/>
      <c r="AAY62" s="2">
        <v>240</v>
      </c>
      <c r="AAZ62" s="2">
        <f>288+336+144+1</f>
        <v>769</v>
      </c>
      <c r="ABA62" s="2">
        <f>1+192</f>
        <v>193</v>
      </c>
      <c r="ABB62" s="2">
        <v>288</v>
      </c>
      <c r="ABC62" s="2"/>
      <c r="ABD62" s="2">
        <v>480</v>
      </c>
      <c r="ABE62" s="2"/>
      <c r="ABF62" s="2">
        <v>102</v>
      </c>
      <c r="ABG62" s="2">
        <f>1+1+1</f>
        <v>3</v>
      </c>
      <c r="ABH62" s="2">
        <f>1+1+144</f>
        <v>146</v>
      </c>
      <c r="ABI62" s="2">
        <f>240+240</f>
        <v>480</v>
      </c>
      <c r="ABJ62" s="2">
        <f>624+240</f>
        <v>864</v>
      </c>
      <c r="ABK62" s="2">
        <f>480+384</f>
        <v>864</v>
      </c>
      <c r="ABL62" s="2">
        <f>1+1</f>
        <v>2</v>
      </c>
      <c r="ABM62" s="2">
        <v>1</v>
      </c>
      <c r="ABN62" s="2">
        <f>192+288</f>
        <v>480</v>
      </c>
      <c r="ABO62" s="2">
        <v>480</v>
      </c>
      <c r="ABP62" s="2">
        <v>432</v>
      </c>
      <c r="ABQ62" s="2">
        <f>384+2</f>
        <v>386</v>
      </c>
      <c r="ABR62" s="2">
        <f>2+144</f>
        <v>146</v>
      </c>
      <c r="ABS62" s="2">
        <f>384+288</f>
        <v>672</v>
      </c>
      <c r="ABT62" s="2">
        <f>384+288</f>
        <v>672</v>
      </c>
      <c r="ABU62" s="2">
        <f>5+288</f>
        <v>293</v>
      </c>
      <c r="ABV62" s="2"/>
      <c r="ABW62" s="2"/>
      <c r="ABX62" s="2">
        <f>1+1+1+1+1</f>
        <v>5</v>
      </c>
      <c r="ABY62" s="2">
        <f>1+384</f>
        <v>385</v>
      </c>
      <c r="ABZ62" s="2">
        <f>288+336+432</f>
        <v>1056</v>
      </c>
      <c r="ACA62" s="2">
        <f>240+288+240+336+96</f>
        <v>1200</v>
      </c>
      <c r="ACB62" s="2">
        <f>240+1+1+288</f>
        <v>530</v>
      </c>
      <c r="ACC62" s="2">
        <v>144</v>
      </c>
      <c r="ACD62" s="2">
        <v>480</v>
      </c>
      <c r="ACE62" s="2">
        <f>336+240+288</f>
        <v>864</v>
      </c>
      <c r="ACF62" s="2">
        <v>144</v>
      </c>
      <c r="ACG62" s="2"/>
      <c r="ACH62" s="2">
        <f>432+48+48</f>
        <v>528</v>
      </c>
      <c r="ACI62" s="2">
        <v>2</v>
      </c>
      <c r="ACJ62" s="2">
        <f>1+336+384+432</f>
        <v>1153</v>
      </c>
      <c r="ACK62" s="2">
        <f>96+240</f>
        <v>336</v>
      </c>
      <c r="ACL62" s="2">
        <v>480</v>
      </c>
      <c r="ACM62" s="2">
        <f>624+48</f>
        <v>672</v>
      </c>
      <c r="ACN62" s="2">
        <v>336</v>
      </c>
      <c r="ACO62" s="2">
        <v>384</v>
      </c>
      <c r="ACP62" s="2"/>
      <c r="ACQ62" s="2">
        <f>336+288</f>
        <v>624</v>
      </c>
      <c r="ACR62" s="2">
        <f>288+1+1+2</f>
        <v>292</v>
      </c>
      <c r="ACS62" s="2">
        <f>1+1+432</f>
        <v>434</v>
      </c>
      <c r="ACT62" s="2"/>
      <c r="ACU62" s="2">
        <f>144+96+222</f>
        <v>462</v>
      </c>
      <c r="ACV62" s="2"/>
      <c r="ACW62" s="2">
        <v>1</v>
      </c>
      <c r="ACX62" s="2">
        <f>96+192+48+48+1</f>
        <v>385</v>
      </c>
      <c r="ACY62" s="2"/>
      <c r="ACZ62" s="2">
        <f>336+192</f>
        <v>528</v>
      </c>
      <c r="ADA62" s="2">
        <f>480+2</f>
        <v>482</v>
      </c>
      <c r="ADB62" s="2"/>
      <c r="ADC62" s="2">
        <f>48+192+192</f>
        <v>432</v>
      </c>
      <c r="ADD62" s="2">
        <f>864+48+384+96</f>
        <v>1392</v>
      </c>
      <c r="ADE62" s="2">
        <v>480</v>
      </c>
      <c r="ADF62" s="2">
        <f>144+144</f>
        <v>288</v>
      </c>
      <c r="ADG62" s="2">
        <f>144+288+480</f>
        <v>912</v>
      </c>
      <c r="ADH62" s="2"/>
      <c r="ADI62" s="2">
        <f>1+1+1</f>
        <v>3</v>
      </c>
      <c r="ADJ62" s="2"/>
      <c r="ADK62" s="2">
        <f>480+192+96+1+96+288</f>
        <v>1153</v>
      </c>
      <c r="ADL62" s="2"/>
      <c r="ADM62" s="2">
        <f>11+1</f>
        <v>12</v>
      </c>
      <c r="ADN62" s="2">
        <v>576</v>
      </c>
      <c r="ADO62" s="2">
        <f>336+2</f>
        <v>338</v>
      </c>
      <c r="ADP62" s="2">
        <f>192+1</f>
        <v>193</v>
      </c>
      <c r="ADQ62" s="2">
        <f>1+192</f>
        <v>193</v>
      </c>
      <c r="ADR62" s="2">
        <f>1+480+192</f>
        <v>673</v>
      </c>
      <c r="ADS62" s="2">
        <f>288+144</f>
        <v>432</v>
      </c>
      <c r="ADT62" s="2">
        <v>144</v>
      </c>
      <c r="ADU62" s="2">
        <f>384+576+288+96</f>
        <v>1344</v>
      </c>
      <c r="ADV62" s="2"/>
      <c r="ADW62" s="2">
        <f>288+1+240</f>
        <v>529</v>
      </c>
      <c r="ADX62" s="2">
        <f>480+96+384</f>
        <v>960</v>
      </c>
      <c r="ADY62" s="2">
        <v>336</v>
      </c>
      <c r="ADZ62" s="2"/>
      <c r="AEA62" s="2">
        <v>288</v>
      </c>
      <c r="AEB62" s="2"/>
      <c r="AEC62" s="2"/>
      <c r="AED62" s="2">
        <f>384+1</f>
        <v>385</v>
      </c>
      <c r="AEE62" s="2"/>
      <c r="AEF62" s="2">
        <f>1+48</f>
        <v>49</v>
      </c>
      <c r="AEG62" s="2">
        <f>1+1+288</f>
        <v>290</v>
      </c>
      <c r="AEH62" s="2">
        <v>192</v>
      </c>
      <c r="AEI62" s="2">
        <f>96+240+432</f>
        <v>768</v>
      </c>
      <c r="AEJ62" s="2">
        <v>48</v>
      </c>
      <c r="AEK62" s="2"/>
      <c r="AEL62" s="2"/>
      <c r="AEM62" s="2">
        <v>96</v>
      </c>
      <c r="AEN62" s="2"/>
      <c r="AEO62" s="2"/>
      <c r="AEP62" s="2"/>
      <c r="AEQ62" s="2">
        <f>96+96+96</f>
        <v>288</v>
      </c>
      <c r="AER62" s="2"/>
      <c r="AES62" s="2"/>
      <c r="AET62" s="12">
        <v>1</v>
      </c>
      <c r="AEU62" s="2"/>
      <c r="AEV62" s="2">
        <f>240+48</f>
        <v>288</v>
      </c>
      <c r="AEW62" s="2">
        <v>192</v>
      </c>
      <c r="AEX62" s="2"/>
      <c r="AEY62" s="2"/>
      <c r="AEZ62" s="2"/>
      <c r="AFA62" s="2">
        <f>144+240+288</f>
        <v>672</v>
      </c>
      <c r="AFB62" s="2">
        <f>864+1</f>
        <v>865</v>
      </c>
      <c r="AFC62" s="2">
        <v>864</v>
      </c>
      <c r="AFD62" s="2">
        <v>1</v>
      </c>
      <c r="AFE62" s="2">
        <f>144+288</f>
        <v>432</v>
      </c>
      <c r="AFF62" s="2"/>
      <c r="AFG62" s="2"/>
      <c r="AFH62" s="2"/>
      <c r="AFI62" s="2"/>
      <c r="AFJ62" s="2"/>
      <c r="AFK62" s="2"/>
      <c r="AFL62" s="2">
        <f t="shared" si="0"/>
        <v>377686</v>
      </c>
    </row>
    <row r="63" spans="1:844" s="11" customFormat="1" x14ac:dyDescent="0.3">
      <c r="B63" s="42">
        <v>550044601</v>
      </c>
      <c r="C63" s="20" t="s">
        <v>996</v>
      </c>
      <c r="D63" s="35">
        <v>209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12"/>
      <c r="IR63" s="12"/>
      <c r="IS63" s="12"/>
      <c r="IT63" s="2"/>
      <c r="IU63" s="12"/>
      <c r="IV63" s="12"/>
      <c r="IW63" s="2"/>
      <c r="IX63" s="1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9"/>
      <c r="LD63" s="9"/>
      <c r="LE63" s="2"/>
      <c r="LF63" s="2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  <c r="AAA63" s="2"/>
      <c r="AAB63" s="2"/>
      <c r="AAC63" s="2"/>
      <c r="AAD63" s="2"/>
      <c r="AAE63" s="2"/>
      <c r="AAF63" s="2"/>
      <c r="AAG63" s="2"/>
      <c r="AAH63" s="2"/>
      <c r="AAI63" s="2"/>
      <c r="AAJ63" s="2"/>
      <c r="AAK63" s="2"/>
      <c r="AAL63" s="2"/>
      <c r="AAM63" s="2"/>
      <c r="AAN63" s="2"/>
      <c r="AAO63" s="2"/>
      <c r="AAP63" s="2"/>
      <c r="AAQ63" s="2"/>
      <c r="AAR63" s="2"/>
      <c r="AAS63" s="2"/>
      <c r="AAT63" s="2"/>
      <c r="AAU63" s="2"/>
      <c r="AAV63" s="2"/>
      <c r="AAW63" s="2"/>
      <c r="AAX63" s="2"/>
      <c r="AAY63" s="2"/>
      <c r="AAZ63" s="2"/>
      <c r="ABA63" s="2"/>
      <c r="ABB63" s="2"/>
      <c r="ABC63" s="2"/>
      <c r="ABD63" s="2"/>
      <c r="ABE63" s="2"/>
      <c r="ABF63" s="2"/>
      <c r="ABG63" s="2"/>
      <c r="ABH63" s="2"/>
      <c r="ABI63" s="2"/>
      <c r="ABJ63" s="2"/>
      <c r="ABK63" s="2"/>
      <c r="ABL63" s="2"/>
      <c r="ABM63" s="2"/>
      <c r="ABN63" s="2"/>
      <c r="ABO63" s="2"/>
      <c r="ABP63" s="2"/>
      <c r="ABQ63" s="2"/>
      <c r="ABR63" s="2"/>
      <c r="ABS63" s="2"/>
      <c r="ABT63" s="2">
        <f>16+2</f>
        <v>18</v>
      </c>
      <c r="ABU63" s="2"/>
      <c r="ABV63" s="2">
        <v>2</v>
      </c>
      <c r="ABW63" s="2"/>
      <c r="ABX63" s="2"/>
      <c r="ABY63" s="2"/>
      <c r="ABZ63" s="2">
        <f>8+8</f>
        <v>16</v>
      </c>
      <c r="ACA63" s="2">
        <f>48+12</f>
        <v>60</v>
      </c>
      <c r="ACB63" s="2"/>
      <c r="ACC63" s="2"/>
      <c r="ACD63" s="2"/>
      <c r="ACE63" s="2"/>
      <c r="ACF63" s="2"/>
      <c r="ACG63" s="2"/>
      <c r="ACH63" s="2"/>
      <c r="ACI63" s="2"/>
      <c r="ACJ63" s="2"/>
      <c r="ACK63" s="2"/>
      <c r="ACL63" s="2"/>
      <c r="ACM63" s="2"/>
      <c r="ACN63" s="2"/>
      <c r="ACO63" s="2"/>
      <c r="ACP63" s="2"/>
      <c r="ACQ63" s="2"/>
      <c r="ACR63" s="2"/>
      <c r="ACS63" s="2"/>
      <c r="ACT63" s="2"/>
      <c r="ACU63" s="2"/>
      <c r="ACV63" s="2"/>
      <c r="ACW63" s="2"/>
      <c r="ACX63" s="2"/>
      <c r="ACY63" s="2"/>
      <c r="ACZ63" s="2"/>
      <c r="ADA63" s="2"/>
      <c r="ADB63" s="2"/>
      <c r="ADC63" s="2"/>
      <c r="ADD63" s="2"/>
      <c r="ADE63" s="2"/>
      <c r="ADF63" s="2"/>
      <c r="ADG63" s="2"/>
      <c r="ADH63" s="2"/>
      <c r="ADI63" s="2"/>
      <c r="ADJ63" s="2"/>
      <c r="ADK63" s="2"/>
      <c r="ADL63" s="2"/>
      <c r="ADM63" s="2"/>
      <c r="ADN63" s="2"/>
      <c r="ADO63" s="2">
        <v>8</v>
      </c>
      <c r="ADP63" s="2"/>
      <c r="ADQ63" s="2"/>
      <c r="ADR63" s="2"/>
      <c r="ADS63" s="2">
        <f>8+4</f>
        <v>12</v>
      </c>
      <c r="ADT63" s="2">
        <v>4</v>
      </c>
      <c r="ADU63" s="2">
        <v>68</v>
      </c>
      <c r="ADV63" s="2"/>
      <c r="ADW63" s="2">
        <v>16</v>
      </c>
      <c r="ADX63" s="2"/>
      <c r="ADY63" s="2">
        <v>16</v>
      </c>
      <c r="ADZ63" s="2"/>
      <c r="AEA63" s="2">
        <v>16</v>
      </c>
      <c r="AEB63" s="2"/>
      <c r="AEC63" s="2"/>
      <c r="AED63" s="2"/>
      <c r="AEE63" s="2"/>
      <c r="AEF63" s="2">
        <v>24</v>
      </c>
      <c r="AEG63" s="2">
        <v>4</v>
      </c>
      <c r="AEH63" s="2">
        <f>8+10+8</f>
        <v>26</v>
      </c>
      <c r="AEI63" s="2">
        <f>32+16</f>
        <v>48</v>
      </c>
      <c r="AEJ63" s="2">
        <v>16</v>
      </c>
      <c r="AEK63" s="2">
        <v>16</v>
      </c>
      <c r="AEL63" s="2"/>
      <c r="AEM63" s="2">
        <f>16+1</f>
        <v>17</v>
      </c>
      <c r="AEN63" s="2"/>
      <c r="AEO63" s="2"/>
      <c r="AEP63" s="2">
        <v>32</v>
      </c>
      <c r="AEQ63" s="2">
        <f>8+32+32</f>
        <v>72</v>
      </c>
      <c r="AER63" s="2">
        <v>36</v>
      </c>
      <c r="AES63" s="2">
        <f>4+4</f>
        <v>8</v>
      </c>
      <c r="AET63" s="2"/>
      <c r="AEU63" s="2"/>
      <c r="AEV63" s="2"/>
      <c r="AEW63" s="2">
        <v>8</v>
      </c>
      <c r="AEX63" s="2">
        <v>20</v>
      </c>
      <c r="AEY63" s="2"/>
      <c r="AEZ63" s="2"/>
      <c r="AFA63" s="2">
        <f>4+8</f>
        <v>12</v>
      </c>
      <c r="AFB63" s="2"/>
      <c r="AFC63" s="2"/>
      <c r="AFD63" s="2"/>
      <c r="AFE63" s="2">
        <v>16</v>
      </c>
      <c r="AFF63" s="2"/>
      <c r="AFG63" s="2"/>
      <c r="AFH63" s="2"/>
      <c r="AFI63" s="2"/>
      <c r="AFJ63" s="2"/>
      <c r="AFK63" s="2"/>
      <c r="AFL63" s="2">
        <f t="shared" si="0"/>
        <v>591</v>
      </c>
    </row>
    <row r="64" spans="1:844" s="4" customFormat="1" x14ac:dyDescent="0.3">
      <c r="A64" s="11"/>
      <c r="B64" s="91">
        <v>44245809</v>
      </c>
      <c r="C64" s="52" t="s">
        <v>131</v>
      </c>
      <c r="D64" s="35">
        <v>209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>
        <v>32</v>
      </c>
      <c r="R64" s="2"/>
      <c r="S64" s="2">
        <f>32+24</f>
        <v>56</v>
      </c>
      <c r="T64" s="2">
        <f>16+16</f>
        <v>32</v>
      </c>
      <c r="U64" s="2">
        <v>44</v>
      </c>
      <c r="V64" s="2">
        <v>12</v>
      </c>
      <c r="W64" s="2"/>
      <c r="X64" s="2">
        <v>24</v>
      </c>
      <c r="Y64" s="2"/>
      <c r="Z64" s="2"/>
      <c r="AA64" s="2"/>
      <c r="AB64" s="2">
        <f>24+8</f>
        <v>32</v>
      </c>
      <c r="AC64" s="2"/>
      <c r="AD64" s="2"/>
      <c r="AE64" s="2"/>
      <c r="AF64" s="2">
        <v>16</v>
      </c>
      <c r="AG64" s="2"/>
      <c r="AH64" s="2"/>
      <c r="AI64" s="2"/>
      <c r="AJ64" s="2">
        <f>16+16</f>
        <v>32</v>
      </c>
      <c r="AK64" s="2"/>
      <c r="AL64" s="2"/>
      <c r="AM64" s="2">
        <f>24+16</f>
        <v>40</v>
      </c>
      <c r="AN64" s="2"/>
      <c r="AO64" s="2">
        <v>16</v>
      </c>
      <c r="AP64" s="2">
        <v>16</v>
      </c>
      <c r="AQ64" s="2"/>
      <c r="AR64" s="2">
        <v>36</v>
      </c>
      <c r="AS64" s="2"/>
      <c r="AT64" s="2">
        <f>16+16</f>
        <v>32</v>
      </c>
      <c r="AU64" s="2">
        <f>16+8</f>
        <v>24</v>
      </c>
      <c r="AV64" s="2">
        <v>8</v>
      </c>
      <c r="AW64" s="2">
        <f>16+16+12</f>
        <v>44</v>
      </c>
      <c r="AX64" s="2"/>
      <c r="AY64" s="2"/>
      <c r="AZ64" s="2">
        <f>16+16</f>
        <v>32</v>
      </c>
      <c r="BA64" s="2">
        <v>16</v>
      </c>
      <c r="BB64" s="2">
        <v>24</v>
      </c>
      <c r="BC64" s="2">
        <f>32+28</f>
        <v>60</v>
      </c>
      <c r="BD64" s="2"/>
      <c r="BE64" s="2"/>
      <c r="BF64" s="2">
        <f>36+16</f>
        <v>52</v>
      </c>
      <c r="BG64" s="2"/>
      <c r="BH64" s="2"/>
      <c r="BI64" s="2">
        <v>40</v>
      </c>
      <c r="BJ64" s="2">
        <v>8</v>
      </c>
      <c r="BK64" s="2">
        <v>8</v>
      </c>
      <c r="BL64" s="2"/>
      <c r="BM64" s="2"/>
      <c r="BN64" s="2">
        <v>16</v>
      </c>
      <c r="BO64" s="2">
        <v>12</v>
      </c>
      <c r="BP64" s="2">
        <f>8+8</f>
        <v>16</v>
      </c>
      <c r="BQ64" s="2"/>
      <c r="BR64" s="2">
        <v>16</v>
      </c>
      <c r="BS64" s="2"/>
      <c r="BT64" s="2">
        <v>24</v>
      </c>
      <c r="BU64" s="2">
        <f>48+24+24+24</f>
        <v>120</v>
      </c>
      <c r="BV64" s="2"/>
      <c r="BW64" s="2"/>
      <c r="BX64" s="2"/>
      <c r="BY64" s="2">
        <v>16</v>
      </c>
      <c r="BZ64" s="2"/>
      <c r="CA64" s="2">
        <v>32</v>
      </c>
      <c r="CB64" s="2">
        <v>8</v>
      </c>
      <c r="CC64" s="2"/>
      <c r="CD64" s="2">
        <f>48+16</f>
        <v>64</v>
      </c>
      <c r="CE64" s="2"/>
      <c r="CF64" s="2"/>
      <c r="CG64" s="2">
        <v>24</v>
      </c>
      <c r="CH64" s="2">
        <f>16+16</f>
        <v>32</v>
      </c>
      <c r="CI64" s="2">
        <v>8</v>
      </c>
      <c r="CJ64" s="2"/>
      <c r="CK64" s="2">
        <f>40+24</f>
        <v>64</v>
      </c>
      <c r="CL64" s="2"/>
      <c r="CM64" s="2">
        <f>48+8</f>
        <v>56</v>
      </c>
      <c r="CN64" s="2">
        <v>32</v>
      </c>
      <c r="CO64" s="2">
        <v>32</v>
      </c>
      <c r="CP64" s="2">
        <v>48</v>
      </c>
      <c r="CQ64" s="2">
        <v>8</v>
      </c>
      <c r="CR64" s="2"/>
      <c r="CS64" s="2">
        <f>16+12+40</f>
        <v>68</v>
      </c>
      <c r="CT64" s="2">
        <f>20+20</f>
        <v>40</v>
      </c>
      <c r="CU64" s="2">
        <v>11</v>
      </c>
      <c r="CV64" s="2"/>
      <c r="CW64" s="2">
        <f>40+40+20</f>
        <v>100</v>
      </c>
      <c r="CX64" s="2"/>
      <c r="CY64" s="2"/>
      <c r="CZ64" s="2">
        <f>8+24+1</f>
        <v>33</v>
      </c>
      <c r="DA64" s="2">
        <f>16+12+24</f>
        <v>52</v>
      </c>
      <c r="DB64" s="2"/>
      <c r="DC64" s="2">
        <v>16</v>
      </c>
      <c r="DD64" s="2"/>
      <c r="DE64" s="2"/>
      <c r="DF64" s="2"/>
      <c r="DG64" s="2"/>
      <c r="DH64" s="2"/>
      <c r="DI64" s="2"/>
      <c r="DJ64" s="2">
        <f>32+32+12</f>
        <v>76</v>
      </c>
      <c r="DK64" s="2"/>
      <c r="DL64" s="2">
        <f>40+48</f>
        <v>88</v>
      </c>
      <c r="DM64" s="2">
        <v>32</v>
      </c>
      <c r="DN64" s="2"/>
      <c r="DO64" s="2">
        <v>8</v>
      </c>
      <c r="DP64" s="2">
        <f>64+48</f>
        <v>112</v>
      </c>
      <c r="DQ64" s="2"/>
      <c r="DR64" s="2"/>
      <c r="DS64" s="2"/>
      <c r="DT64" s="2">
        <v>16</v>
      </c>
      <c r="DU64" s="2">
        <v>16</v>
      </c>
      <c r="DV64" s="2">
        <f>40+56</f>
        <v>96</v>
      </c>
      <c r="DW64" s="2"/>
      <c r="DX64" s="2"/>
      <c r="DY64" s="2"/>
      <c r="DZ64" s="2">
        <v>48</v>
      </c>
      <c r="EA64" s="2">
        <v>36</v>
      </c>
      <c r="EB64" s="2">
        <f>16+16</f>
        <v>32</v>
      </c>
      <c r="EC64" s="2"/>
      <c r="ED64" s="2">
        <f>16+8</f>
        <v>24</v>
      </c>
      <c r="EE64" s="2">
        <v>20</v>
      </c>
      <c r="EF64" s="2">
        <f>32+16+16</f>
        <v>64</v>
      </c>
      <c r="EG64" s="2">
        <v>24</v>
      </c>
      <c r="EH64" s="2">
        <v>20</v>
      </c>
      <c r="EI64" s="2"/>
      <c r="EJ64" s="2"/>
      <c r="EK64" s="2">
        <v>32</v>
      </c>
      <c r="EL64" s="2">
        <v>1</v>
      </c>
      <c r="EM64" s="2"/>
      <c r="EN64" s="2">
        <f>10</f>
        <v>10</v>
      </c>
      <c r="EO64" s="2">
        <v>16</v>
      </c>
      <c r="EP64" s="2">
        <f>64+8</f>
        <v>72</v>
      </c>
      <c r="EQ64" s="2">
        <f>8+16+28</f>
        <v>52</v>
      </c>
      <c r="ER64" s="2">
        <v>24</v>
      </c>
      <c r="ES64" s="2"/>
      <c r="ET64" s="2"/>
      <c r="EU64" s="2">
        <v>16</v>
      </c>
      <c r="EV64" s="2">
        <v>40</v>
      </c>
      <c r="EW64" s="2">
        <f>32+16</f>
        <v>48</v>
      </c>
      <c r="EX64" s="2"/>
      <c r="EY64" s="2"/>
      <c r="EZ64" s="2"/>
      <c r="FA64" s="2">
        <v>16</v>
      </c>
      <c r="FB64" s="2"/>
      <c r="FC64" s="2">
        <v>32</v>
      </c>
      <c r="FD64" s="2">
        <f>40+24</f>
        <v>64</v>
      </c>
      <c r="FE64" s="2"/>
      <c r="FF64" s="2">
        <v>8</v>
      </c>
      <c r="FG64" s="2">
        <v>32</v>
      </c>
      <c r="FH64" s="2"/>
      <c r="FI64" s="2">
        <v>12</v>
      </c>
      <c r="FJ64" s="2">
        <v>16</v>
      </c>
      <c r="FK64" s="2"/>
      <c r="FL64" s="2"/>
      <c r="FM64" s="2">
        <v>32</v>
      </c>
      <c r="FN64" s="2"/>
      <c r="FO64" s="2">
        <v>32</v>
      </c>
      <c r="FP64" s="2"/>
      <c r="FQ64" s="2"/>
      <c r="FR64" s="2"/>
      <c r="FS64" s="2"/>
      <c r="FT64" s="2">
        <v>4</v>
      </c>
      <c r="FU64" s="2">
        <v>36</v>
      </c>
      <c r="FV64" s="2"/>
      <c r="FW64" s="2">
        <v>24</v>
      </c>
      <c r="FX64" s="2">
        <v>5</v>
      </c>
      <c r="FY64" s="2">
        <v>32</v>
      </c>
      <c r="FZ64" s="2"/>
      <c r="GA64" s="2"/>
      <c r="GB64" s="2"/>
      <c r="GC64" s="2">
        <v>48</v>
      </c>
      <c r="GD64" s="2"/>
      <c r="GE64" s="2"/>
      <c r="GF64" s="2">
        <f>28+32+8</f>
        <v>68</v>
      </c>
      <c r="GG64" s="2"/>
      <c r="GH64" s="2"/>
      <c r="GI64" s="2">
        <f>16+40</f>
        <v>56</v>
      </c>
      <c r="GJ64" s="2"/>
      <c r="GK64" s="2">
        <v>48</v>
      </c>
      <c r="GL64" s="2">
        <v>8</v>
      </c>
      <c r="GM64" s="2"/>
      <c r="GN64" s="2">
        <v>16</v>
      </c>
      <c r="GO64" s="2">
        <v>16</v>
      </c>
      <c r="GP64" s="2">
        <v>16</v>
      </c>
      <c r="GQ64" s="2"/>
      <c r="GR64" s="2">
        <v>40</v>
      </c>
      <c r="GS64" s="2">
        <f>32+32</f>
        <v>64</v>
      </c>
      <c r="GT64" s="2"/>
      <c r="GU64" s="2"/>
      <c r="GV64" s="2"/>
      <c r="GW64" s="2">
        <v>16</v>
      </c>
      <c r="GX64" s="2"/>
      <c r="GY64" s="2"/>
      <c r="GZ64" s="2"/>
      <c r="HA64" s="2"/>
      <c r="HB64" s="2">
        <f>8+24</f>
        <v>32</v>
      </c>
      <c r="HC64" s="2">
        <f>12+16</f>
        <v>28</v>
      </c>
      <c r="HD64" s="2">
        <v>20</v>
      </c>
      <c r="HE64" s="2"/>
      <c r="HF64" s="2"/>
      <c r="HG64" s="2">
        <f>4+12</f>
        <v>16</v>
      </c>
      <c r="HH64" s="2">
        <v>8</v>
      </c>
      <c r="HI64" s="2"/>
      <c r="HJ64" s="2">
        <v>32</v>
      </c>
      <c r="HK64" s="2">
        <v>24</v>
      </c>
      <c r="HL64" s="2"/>
      <c r="HM64" s="2">
        <f>8+4+8</f>
        <v>20</v>
      </c>
      <c r="HN64" s="2">
        <v>16</v>
      </c>
      <c r="HO64" s="2">
        <v>32</v>
      </c>
      <c r="HP64" s="2">
        <v>32</v>
      </c>
      <c r="HQ64" s="2">
        <v>44</v>
      </c>
      <c r="HR64" s="2">
        <f>32+16</f>
        <v>48</v>
      </c>
      <c r="HS64" s="2">
        <v>16</v>
      </c>
      <c r="HT64" s="2"/>
      <c r="HU64" s="2">
        <f>2+16+28+32</f>
        <v>78</v>
      </c>
      <c r="HV64" s="2">
        <f>16+12</f>
        <v>28</v>
      </c>
      <c r="HW64" s="2"/>
      <c r="HX64" s="2">
        <v>24</v>
      </c>
      <c r="HY64" s="2"/>
      <c r="HZ64" s="2">
        <v>22</v>
      </c>
      <c r="IA64" s="2"/>
      <c r="IB64" s="2"/>
      <c r="IC64" s="2"/>
      <c r="ID64" s="2">
        <v>32</v>
      </c>
      <c r="IE64" s="2">
        <f>32+12</f>
        <v>44</v>
      </c>
      <c r="IF64" s="2"/>
      <c r="IG64" s="2">
        <v>36</v>
      </c>
      <c r="IH64" s="2"/>
      <c r="II64" s="2">
        <f>12+24</f>
        <v>36</v>
      </c>
      <c r="IJ64" s="2"/>
      <c r="IK64" s="2">
        <v>4</v>
      </c>
      <c r="IL64" s="2"/>
      <c r="IM64" s="2">
        <v>1</v>
      </c>
      <c r="IN64" s="2">
        <v>8</v>
      </c>
      <c r="IO64" s="2"/>
      <c r="IP64" s="2">
        <f>24+52+16</f>
        <v>92</v>
      </c>
      <c r="IQ64" s="2"/>
      <c r="IR64" s="2"/>
      <c r="IS64" s="2">
        <v>1</v>
      </c>
      <c r="IT64" s="2">
        <v>24</v>
      </c>
      <c r="IU64" s="2">
        <f>40+8+8</f>
        <v>56</v>
      </c>
      <c r="IV64" s="2">
        <f>24+16+8+16</f>
        <v>64</v>
      </c>
      <c r="IW64" s="2"/>
      <c r="IX64" s="2"/>
      <c r="IY64" s="2"/>
      <c r="IZ64" s="2">
        <v>8</v>
      </c>
      <c r="JA64" s="2"/>
      <c r="JB64" s="2"/>
      <c r="JC64" s="2"/>
      <c r="JD64" s="2">
        <v>16</v>
      </c>
      <c r="JE64" s="2">
        <v>16</v>
      </c>
      <c r="JF64" s="2"/>
      <c r="JG64" s="2"/>
      <c r="JH64" s="2"/>
      <c r="JI64" s="2">
        <f>32+68+54</f>
        <v>154</v>
      </c>
      <c r="JJ64" s="2"/>
      <c r="JK64" s="2">
        <v>20</v>
      </c>
      <c r="JL64" s="2"/>
      <c r="JM64" s="2">
        <v>1</v>
      </c>
      <c r="JN64" s="2">
        <f>16+16</f>
        <v>32</v>
      </c>
      <c r="JO64" s="2">
        <v>8</v>
      </c>
      <c r="JP64" s="2">
        <f>16+48</f>
        <v>64</v>
      </c>
      <c r="JQ64" s="2">
        <f>16+64</f>
        <v>80</v>
      </c>
      <c r="JR64" s="2">
        <f>8+40+2</f>
        <v>50</v>
      </c>
      <c r="JS64" s="2"/>
      <c r="JT64" s="2">
        <f>24+32</f>
        <v>56</v>
      </c>
      <c r="JU64" s="2"/>
      <c r="JV64" s="2">
        <v>8</v>
      </c>
      <c r="JW64" s="2">
        <v>16</v>
      </c>
      <c r="JX64" s="2"/>
      <c r="JY64" s="2">
        <v>13</v>
      </c>
      <c r="JZ64" s="2"/>
      <c r="KA64" s="2">
        <f>4+16+1</f>
        <v>21</v>
      </c>
      <c r="KB64" s="2">
        <v>16</v>
      </c>
      <c r="KC64" s="2"/>
      <c r="KD64" s="2"/>
      <c r="KE64" s="2">
        <f>8+16</f>
        <v>24</v>
      </c>
      <c r="KF64" s="2">
        <f>16+48+48</f>
        <v>112</v>
      </c>
      <c r="KG64" s="2">
        <f>104+16+8</f>
        <v>128</v>
      </c>
      <c r="KH64" s="2">
        <f>16+24</f>
        <v>40</v>
      </c>
      <c r="KI64" s="2"/>
      <c r="KJ64" s="2">
        <v>24</v>
      </c>
      <c r="KK64" s="2">
        <v>16</v>
      </c>
      <c r="KL64" s="2"/>
      <c r="KM64" s="2"/>
      <c r="KN64" s="2"/>
      <c r="KO64" s="2"/>
      <c r="KP64" s="2"/>
      <c r="KQ64" s="2"/>
      <c r="KR64" s="2"/>
      <c r="KS64" s="2"/>
      <c r="KT64" s="2">
        <v>40</v>
      </c>
      <c r="KU64" s="2">
        <v>8</v>
      </c>
      <c r="KV64" s="2"/>
      <c r="KW64" s="2">
        <v>12</v>
      </c>
      <c r="KX64" s="2">
        <v>4</v>
      </c>
      <c r="KY64" s="2">
        <f>32+24+24+32</f>
        <v>112</v>
      </c>
      <c r="KZ64" s="2"/>
      <c r="LA64" s="2"/>
      <c r="LB64" s="2"/>
      <c r="LC64" s="2">
        <f>12+32</f>
        <v>44</v>
      </c>
      <c r="LD64" s="2"/>
      <c r="LE64" s="2"/>
      <c r="LF64" s="2"/>
      <c r="LG64" s="2"/>
      <c r="LH64" s="2"/>
      <c r="LI64" s="2">
        <f>64+12</f>
        <v>76</v>
      </c>
      <c r="LJ64" s="2"/>
      <c r="LK64" s="2"/>
      <c r="LL64" s="2">
        <f>12+18</f>
        <v>30</v>
      </c>
      <c r="LM64" s="2">
        <f>32+32+48</f>
        <v>112</v>
      </c>
      <c r="LN64" s="2">
        <v>80</v>
      </c>
      <c r="LO64" s="2">
        <v>16</v>
      </c>
      <c r="LP64" s="2"/>
      <c r="LQ64" s="2"/>
      <c r="LR64" s="2">
        <v>32</v>
      </c>
      <c r="LS64" s="2">
        <f>16+32+48</f>
        <v>96</v>
      </c>
      <c r="LT64" s="2">
        <v>32</v>
      </c>
      <c r="LU64" s="2">
        <f>20+16+16</f>
        <v>52</v>
      </c>
      <c r="LV64" s="2">
        <f>16+32+12</f>
        <v>60</v>
      </c>
      <c r="LW64" s="2"/>
      <c r="LX64" s="2"/>
      <c r="LY64" s="2">
        <f>8+48+8</f>
        <v>64</v>
      </c>
      <c r="LZ64" s="2"/>
      <c r="MA64" s="2">
        <v>32</v>
      </c>
      <c r="MB64" s="2">
        <v>12</v>
      </c>
      <c r="MC64" s="2">
        <v>2</v>
      </c>
      <c r="MD64" s="2">
        <f>40+16+40+32</f>
        <v>128</v>
      </c>
      <c r="ME64" s="2">
        <v>2</v>
      </c>
      <c r="MF64" s="2">
        <v>8</v>
      </c>
      <c r="MG64" s="2">
        <f>24+48+48+16</f>
        <v>136</v>
      </c>
      <c r="MH64" s="2">
        <f>24+16+16</f>
        <v>56</v>
      </c>
      <c r="MI64" s="2">
        <f>16+24</f>
        <v>40</v>
      </c>
      <c r="MJ64" s="2">
        <f>24+48</f>
        <v>72</v>
      </c>
      <c r="MK64" s="2"/>
      <c r="ML64" s="2">
        <v>44</v>
      </c>
      <c r="MM64" s="2">
        <f>8+4+16</f>
        <v>28</v>
      </c>
      <c r="MN64" s="2"/>
      <c r="MO64" s="2"/>
      <c r="MP64" s="2">
        <f>20+16+32</f>
        <v>68</v>
      </c>
      <c r="MQ64" s="2"/>
      <c r="MR64" s="2">
        <v>32</v>
      </c>
      <c r="MS64" s="2"/>
      <c r="MT64" s="2">
        <v>16</v>
      </c>
      <c r="MU64" s="2"/>
      <c r="MV64" s="2">
        <v>52</v>
      </c>
      <c r="MW64" s="2"/>
      <c r="MX64" s="2">
        <v>36</v>
      </c>
      <c r="MY64" s="2"/>
      <c r="MZ64" s="2">
        <f>32+24</f>
        <v>56</v>
      </c>
      <c r="NA64" s="2">
        <v>16</v>
      </c>
      <c r="NB64" s="2">
        <f>32+24+24</f>
        <v>80</v>
      </c>
      <c r="NC64" s="2"/>
      <c r="ND64" s="2"/>
      <c r="NE64" s="2"/>
      <c r="NF64" s="2">
        <f>32+8+32+32+32</f>
        <v>136</v>
      </c>
      <c r="NG64" s="2">
        <f>12+48</f>
        <v>60</v>
      </c>
      <c r="NH64" s="2">
        <f>24+38</f>
        <v>62</v>
      </c>
      <c r="NI64" s="2">
        <v>8</v>
      </c>
      <c r="NJ64" s="2">
        <v>16</v>
      </c>
      <c r="NK64" s="2"/>
      <c r="NL64" s="2">
        <f>8+32</f>
        <v>40</v>
      </c>
      <c r="NM64" s="2">
        <f>32+16</f>
        <v>48</v>
      </c>
      <c r="NN64" s="2">
        <f>20+56</f>
        <v>76</v>
      </c>
      <c r="NO64" s="2">
        <f>8+1+8+8</f>
        <v>25</v>
      </c>
      <c r="NP64" s="2"/>
      <c r="NQ64" s="2"/>
      <c r="NR64" s="2"/>
      <c r="NS64" s="2">
        <f>48+32</f>
        <v>80</v>
      </c>
      <c r="NT64" s="2">
        <v>32</v>
      </c>
      <c r="NU64" s="2">
        <f>16+20</f>
        <v>36</v>
      </c>
      <c r="NV64" s="2"/>
      <c r="NW64" s="2">
        <f>14+16</f>
        <v>30</v>
      </c>
      <c r="NX64" s="2">
        <v>16</v>
      </c>
      <c r="NY64" s="2"/>
      <c r="NZ64" s="2">
        <v>32</v>
      </c>
      <c r="OA64" s="2">
        <v>31</v>
      </c>
      <c r="OB64" s="2"/>
      <c r="OC64" s="2"/>
      <c r="OD64" s="2"/>
      <c r="OE64" s="2"/>
      <c r="OF64" s="2"/>
      <c r="OG64" s="2"/>
      <c r="OH64" s="2"/>
      <c r="OI64" s="2">
        <v>6</v>
      </c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>
        <f>16+16</f>
        <v>32</v>
      </c>
      <c r="PE64" s="2">
        <f>24+16+20+16</f>
        <v>76</v>
      </c>
      <c r="PF64" s="2">
        <f>8+16+16+32+8</f>
        <v>80</v>
      </c>
      <c r="PG64" s="2">
        <f>32+24</f>
        <v>56</v>
      </c>
      <c r="PH64" s="2"/>
      <c r="PI64" s="2"/>
      <c r="PJ64" s="2"/>
      <c r="PK64" s="2">
        <f>8</f>
        <v>8</v>
      </c>
      <c r="PL64" s="2"/>
      <c r="PM64" s="2"/>
      <c r="PN64" s="2"/>
      <c r="PO64" s="2"/>
      <c r="PP64" s="2"/>
      <c r="PQ64" s="2"/>
      <c r="PR64" s="2">
        <v>4</v>
      </c>
      <c r="PS64" s="2"/>
      <c r="PT64" s="2"/>
      <c r="PU64" s="2"/>
      <c r="PV64" s="2">
        <f>16+24+16+16</f>
        <v>72</v>
      </c>
      <c r="PW64" s="2"/>
      <c r="PX64" s="2">
        <f>16+24+72</f>
        <v>112</v>
      </c>
      <c r="PY64" s="2">
        <v>16</v>
      </c>
      <c r="PZ64" s="2">
        <v>16</v>
      </c>
      <c r="QA64" s="2">
        <f>16+8+1+24</f>
        <v>49</v>
      </c>
      <c r="QB64" s="2">
        <f>12+16</f>
        <v>28</v>
      </c>
      <c r="QC64" s="2">
        <f>8+8+16</f>
        <v>32</v>
      </c>
      <c r="QD64" s="2"/>
      <c r="QE64" s="2">
        <v>20</v>
      </c>
      <c r="QF64" s="2">
        <v>16</v>
      </c>
      <c r="QG64" s="2">
        <v>12</v>
      </c>
      <c r="QH64" s="2"/>
      <c r="QI64" s="2">
        <f>52</f>
        <v>52</v>
      </c>
      <c r="QJ64" s="2"/>
      <c r="QK64" s="2">
        <f>20+16+12+20+20</f>
        <v>88</v>
      </c>
      <c r="QL64" s="2"/>
      <c r="QM64" s="2">
        <f>16+32</f>
        <v>48</v>
      </c>
      <c r="QN64" s="2"/>
      <c r="QO64" s="2"/>
      <c r="QP64" s="2">
        <f>32</f>
        <v>32</v>
      </c>
      <c r="QQ64" s="2">
        <f>32</f>
        <v>32</v>
      </c>
      <c r="QR64" s="2">
        <f>16</f>
        <v>16</v>
      </c>
      <c r="QS64" s="2">
        <f>16+16</f>
        <v>32</v>
      </c>
      <c r="QT64" s="2"/>
      <c r="QU64" s="2"/>
      <c r="QV64" s="2">
        <f>8+8</f>
        <v>16</v>
      </c>
      <c r="QW64" s="2"/>
      <c r="QX64" s="2">
        <f>15</f>
        <v>15</v>
      </c>
      <c r="QY64" s="2">
        <f>24+12</f>
        <v>36</v>
      </c>
      <c r="QZ64" s="2">
        <f>12</f>
        <v>12</v>
      </c>
      <c r="RA64" s="2">
        <f>4+16+24</f>
        <v>44</v>
      </c>
      <c r="RB64" s="2"/>
      <c r="RC64" s="2">
        <f>16</f>
        <v>16</v>
      </c>
      <c r="RD64" s="2"/>
      <c r="RE64" s="2">
        <f>16</f>
        <v>16</v>
      </c>
      <c r="RF64" s="2">
        <f>1</f>
        <v>1</v>
      </c>
      <c r="RG64" s="2">
        <v>16</v>
      </c>
      <c r="RH64" s="2"/>
      <c r="RI64" s="2">
        <f>8</f>
        <v>8</v>
      </c>
      <c r="RJ64" s="2"/>
      <c r="RK64" s="2"/>
      <c r="RL64" s="2"/>
      <c r="RM64" s="2"/>
      <c r="RN64" s="2">
        <f>8</f>
        <v>8</v>
      </c>
      <c r="RO64" s="2"/>
      <c r="RP64" s="2"/>
      <c r="RQ64" s="2">
        <f>16</f>
        <v>16</v>
      </c>
      <c r="RR64" s="2"/>
      <c r="RS64" s="2"/>
      <c r="RT64" s="2"/>
      <c r="RU64" s="2"/>
      <c r="RV64" s="2">
        <f>48</f>
        <v>48</v>
      </c>
      <c r="RW64" s="2"/>
      <c r="RX64" s="2">
        <f>32+3+16</f>
        <v>51</v>
      </c>
      <c r="RY64" s="2"/>
      <c r="RZ64" s="2">
        <f>16</f>
        <v>16</v>
      </c>
      <c r="SA64" s="2">
        <f>16+32+16</f>
        <v>64</v>
      </c>
      <c r="SB64" s="2"/>
      <c r="SC64" s="2">
        <f>1</f>
        <v>1</v>
      </c>
      <c r="SD64" s="2">
        <f>8+8</f>
        <v>16</v>
      </c>
      <c r="SE64" s="2">
        <f>16+1</f>
        <v>17</v>
      </c>
      <c r="SF64" s="2">
        <f>12+16</f>
        <v>28</v>
      </c>
      <c r="SG64" s="2"/>
      <c r="SH64" s="2">
        <f>4+24+16+16</f>
        <v>60</v>
      </c>
      <c r="SI64" s="2">
        <f>48+32+32</f>
        <v>112</v>
      </c>
      <c r="SJ64" s="2">
        <f>24</f>
        <v>24</v>
      </c>
      <c r="SK64" s="2">
        <v>1</v>
      </c>
      <c r="SL64" s="2"/>
      <c r="SM64" s="2"/>
      <c r="SN64" s="2">
        <f>20</f>
        <v>20</v>
      </c>
      <c r="SO64" s="2">
        <f>8</f>
        <v>8</v>
      </c>
      <c r="SP64" s="2"/>
      <c r="SQ64" s="2"/>
      <c r="SR64" s="2"/>
      <c r="SS64" s="2"/>
      <c r="ST64" s="2"/>
      <c r="SU64" s="2">
        <f>36+32</f>
        <v>68</v>
      </c>
      <c r="SV64" s="2">
        <f>20+48+32+40</f>
        <v>140</v>
      </c>
      <c r="SW64" s="2">
        <f>24</f>
        <v>24</v>
      </c>
      <c r="SX64" s="2">
        <f>2+32+8</f>
        <v>42</v>
      </c>
      <c r="SY64" s="2"/>
      <c r="SZ64" s="2"/>
      <c r="TA64" s="2">
        <v>16</v>
      </c>
      <c r="TB64" s="2">
        <f>16+8+16</f>
        <v>40</v>
      </c>
      <c r="TC64" s="2"/>
      <c r="TD64" s="2"/>
      <c r="TE64" s="2">
        <v>4</v>
      </c>
      <c r="TF64" s="2">
        <v>16</v>
      </c>
      <c r="TG64" s="2">
        <f>20+16</f>
        <v>36</v>
      </c>
      <c r="TH64" s="2">
        <f>32+32+16</f>
        <v>80</v>
      </c>
      <c r="TI64" s="2"/>
      <c r="TJ64" s="2">
        <f>16+12+16+72</f>
        <v>116</v>
      </c>
      <c r="TK64" s="2">
        <f>8+24+8</f>
        <v>40</v>
      </c>
      <c r="TL64" s="2"/>
      <c r="TM64" s="2">
        <f>1+12+24+16</f>
        <v>53</v>
      </c>
      <c r="TN64" s="2">
        <v>16</v>
      </c>
      <c r="TO64" s="2"/>
      <c r="TP64" s="2">
        <v>8</v>
      </c>
      <c r="TQ64" s="2">
        <v>24</v>
      </c>
      <c r="TR64" s="2">
        <f>32+32</f>
        <v>64</v>
      </c>
      <c r="TS64" s="2">
        <v>20</v>
      </c>
      <c r="TT64" s="2">
        <v>12</v>
      </c>
      <c r="TU64" s="2">
        <v>20</v>
      </c>
      <c r="TV64" s="2">
        <f>24+24</f>
        <v>48</v>
      </c>
      <c r="TW64" s="2">
        <f>16+32</f>
        <v>48</v>
      </c>
      <c r="TX64" s="2"/>
      <c r="TY64" s="2"/>
      <c r="TZ64" s="2"/>
      <c r="UA64" s="2">
        <f>56</f>
        <v>56</v>
      </c>
      <c r="UB64" s="2">
        <f>2</f>
        <v>2</v>
      </c>
      <c r="UC64" s="2">
        <v>24</v>
      </c>
      <c r="UD64" s="2">
        <v>52</v>
      </c>
      <c r="UE64" s="2">
        <v>12</v>
      </c>
      <c r="UF64" s="2"/>
      <c r="UG64" s="2"/>
      <c r="UH64" s="2"/>
      <c r="UI64" s="9">
        <f>28+24</f>
        <v>52</v>
      </c>
      <c r="UJ64" s="9">
        <f>52+16</f>
        <v>68</v>
      </c>
      <c r="UK64" s="9">
        <v>16</v>
      </c>
      <c r="UL64" s="9">
        <f>16+8+32+32</f>
        <v>88</v>
      </c>
      <c r="UM64" s="2">
        <v>8</v>
      </c>
      <c r="UN64" s="2">
        <f>24+32+16+16+16</f>
        <v>104</v>
      </c>
      <c r="UO64" s="2">
        <f>2+24+16</f>
        <v>42</v>
      </c>
      <c r="UP64" s="2"/>
      <c r="UQ64" s="2">
        <f>16+20+24</f>
        <v>60</v>
      </c>
      <c r="UR64" s="2"/>
      <c r="US64" s="2">
        <v>16</v>
      </c>
      <c r="UT64" s="2">
        <f>24+24</f>
        <v>48</v>
      </c>
      <c r="UU64" s="2">
        <f>16+24</f>
        <v>40</v>
      </c>
      <c r="UV64" s="2">
        <f>24+24</f>
        <v>48</v>
      </c>
      <c r="UW64" s="2">
        <v>1</v>
      </c>
      <c r="UX64" s="2">
        <v>4</v>
      </c>
      <c r="UY64" s="2">
        <v>24</v>
      </c>
      <c r="UZ64" s="2">
        <v>32</v>
      </c>
      <c r="VA64" s="2"/>
      <c r="VB64" s="2"/>
      <c r="VC64" s="2">
        <f>16+32+8+8</f>
        <v>64</v>
      </c>
      <c r="VD64" s="2">
        <v>16</v>
      </c>
      <c r="VE64" s="2"/>
      <c r="VF64" s="2">
        <v>12</v>
      </c>
      <c r="VG64" s="2">
        <f>32+16</f>
        <v>48</v>
      </c>
      <c r="VH64" s="2"/>
      <c r="VI64" s="2">
        <v>8</v>
      </c>
      <c r="VJ64" s="2">
        <v>64</v>
      </c>
      <c r="VK64" s="2">
        <v>1</v>
      </c>
      <c r="VL64" s="2"/>
      <c r="VM64" s="2"/>
      <c r="VN64" s="2"/>
      <c r="VO64" s="2"/>
      <c r="VP64" s="2"/>
      <c r="VQ64" s="2">
        <v>30</v>
      </c>
      <c r="VR64" s="2"/>
      <c r="VS64" s="2">
        <f>16+24</f>
        <v>40</v>
      </c>
      <c r="VT64" s="2">
        <f>3+32</f>
        <v>35</v>
      </c>
      <c r="VU64" s="2">
        <v>24</v>
      </c>
      <c r="VV64" s="2"/>
      <c r="VW64" s="2">
        <v>35</v>
      </c>
      <c r="VX64" s="2"/>
      <c r="VY64" s="2">
        <v>16</v>
      </c>
      <c r="VZ64" s="2"/>
      <c r="WA64" s="2"/>
      <c r="WB64" s="2">
        <v>32</v>
      </c>
      <c r="WC64" s="2">
        <v>32</v>
      </c>
      <c r="WD64" s="2">
        <f>32+36</f>
        <v>68</v>
      </c>
      <c r="WE64" s="2"/>
      <c r="WF64" s="2">
        <v>1</v>
      </c>
      <c r="WG64" s="2">
        <v>16</v>
      </c>
      <c r="WH64" s="2">
        <v>32</v>
      </c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>
        <f>16+32</f>
        <v>48</v>
      </c>
      <c r="WU64" s="2"/>
      <c r="WV64" s="2">
        <v>4</v>
      </c>
      <c r="WW64" s="2"/>
      <c r="WX64" s="2">
        <v>8</v>
      </c>
      <c r="WY64" s="2">
        <v>36</v>
      </c>
      <c r="WZ64" s="2"/>
      <c r="XA64" s="2">
        <v>1</v>
      </c>
      <c r="XB64" s="2"/>
      <c r="XC64" s="2"/>
      <c r="XD64" s="2">
        <v>32</v>
      </c>
      <c r="XE64" s="2"/>
      <c r="XF64" s="2"/>
      <c r="XG64" s="2"/>
      <c r="XH64" s="2">
        <v>44</v>
      </c>
      <c r="XI64" s="2"/>
      <c r="XJ64" s="2"/>
      <c r="XK64" s="2"/>
      <c r="XL64" s="2"/>
      <c r="XM64" s="2">
        <f>16+16</f>
        <v>32</v>
      </c>
      <c r="XN64" s="2"/>
      <c r="XO64" s="2"/>
      <c r="XP64" s="2">
        <v>26</v>
      </c>
      <c r="XQ64" s="2">
        <f>20+1</f>
        <v>21</v>
      </c>
      <c r="XR64" s="2">
        <f>24+48</f>
        <v>72</v>
      </c>
      <c r="XS64" s="2">
        <f>40+6+24</f>
        <v>70</v>
      </c>
      <c r="XT64" s="2"/>
      <c r="XU64" s="2"/>
      <c r="XV64" s="2"/>
      <c r="XW64" s="2"/>
      <c r="XX64" s="2"/>
      <c r="XY64" s="2"/>
      <c r="XZ64" s="2">
        <f>24+16</f>
        <v>40</v>
      </c>
      <c r="YA64" s="2">
        <v>40</v>
      </c>
      <c r="YB64" s="2"/>
      <c r="YC64" s="2"/>
      <c r="YD64" s="2">
        <v>32</v>
      </c>
      <c r="YE64" s="2">
        <f>32+12</f>
        <v>44</v>
      </c>
      <c r="YF64" s="2"/>
      <c r="YG64" s="2">
        <v>16</v>
      </c>
      <c r="YH64" s="2">
        <f>24+16</f>
        <v>40</v>
      </c>
      <c r="YI64" s="2"/>
      <c r="YJ64" s="2"/>
      <c r="YK64" s="2">
        <v>24</v>
      </c>
      <c r="YL64" s="2">
        <f>6+16+4</f>
        <v>26</v>
      </c>
      <c r="YM64" s="2"/>
      <c r="YN64" s="2">
        <v>16</v>
      </c>
      <c r="YO64" s="2">
        <v>2</v>
      </c>
      <c r="YP64" s="2"/>
      <c r="YQ64" s="2"/>
      <c r="YR64" s="2"/>
      <c r="YS64" s="2"/>
      <c r="YT64" s="2">
        <f>8+64+7</f>
        <v>79</v>
      </c>
      <c r="YU64" s="2">
        <f>24+2+38</f>
        <v>64</v>
      </c>
      <c r="YV64" s="2"/>
      <c r="YW64" s="2"/>
      <c r="YX64" s="2"/>
      <c r="YY64" s="2">
        <f>8+8</f>
        <v>16</v>
      </c>
      <c r="YZ64" s="2">
        <v>16</v>
      </c>
      <c r="ZA64" s="2">
        <v>4</v>
      </c>
      <c r="ZB64" s="2"/>
      <c r="ZC64" s="2"/>
      <c r="ZD64" s="2">
        <v>16</v>
      </c>
      <c r="ZE64" s="2"/>
      <c r="ZF64" s="2"/>
      <c r="ZG64" s="2"/>
      <c r="ZH64" s="2"/>
      <c r="ZI64" s="2"/>
      <c r="ZJ64" s="2">
        <f>32+8</f>
        <v>40</v>
      </c>
      <c r="ZK64" s="2"/>
      <c r="ZL64" s="2"/>
      <c r="ZM64" s="2"/>
      <c r="ZN64" s="2"/>
      <c r="ZO64" s="2"/>
      <c r="ZP64" s="2"/>
      <c r="ZQ64" s="2"/>
      <c r="ZR64" s="2"/>
      <c r="ZS64" s="2"/>
      <c r="ZT64" s="2">
        <v>1</v>
      </c>
      <c r="ZU64" s="2">
        <v>24</v>
      </c>
      <c r="ZV64" s="2">
        <f>24+24</f>
        <v>48</v>
      </c>
      <c r="ZW64" s="2">
        <f>8+12+16</f>
        <v>36</v>
      </c>
      <c r="ZX64" s="2"/>
      <c r="ZY64" s="2">
        <v>8</v>
      </c>
      <c r="ZZ64" s="2">
        <f>16+48+5</f>
        <v>69</v>
      </c>
      <c r="AAA64" s="2"/>
      <c r="AAB64" s="2"/>
      <c r="AAC64" s="2"/>
      <c r="AAD64" s="2"/>
      <c r="AAE64" s="2"/>
      <c r="AAF64" s="2">
        <v>44</v>
      </c>
      <c r="AAG64" s="2">
        <v>17</v>
      </c>
      <c r="AAH64" s="2"/>
      <c r="AAI64" s="2"/>
      <c r="AAJ64" s="2"/>
      <c r="AAK64" s="2"/>
      <c r="AAL64" s="2"/>
      <c r="AAM64" s="2"/>
      <c r="AAN64" s="2"/>
      <c r="AAO64" s="2"/>
      <c r="AAP64" s="2">
        <f>40+40</f>
        <v>80</v>
      </c>
      <c r="AAQ64" s="2">
        <f>24+8</f>
        <v>32</v>
      </c>
      <c r="AAR64" s="2"/>
      <c r="AAS64" s="2">
        <v>2</v>
      </c>
      <c r="AAT64" s="2">
        <v>16</v>
      </c>
      <c r="AAU64" s="2"/>
      <c r="AAV64" s="2">
        <f>4+44</f>
        <v>48</v>
      </c>
      <c r="AAW64" s="2"/>
      <c r="AAX64" s="2"/>
      <c r="AAY64" s="2">
        <v>8</v>
      </c>
      <c r="AAZ64" s="2">
        <f>24+32</f>
        <v>56</v>
      </c>
      <c r="ABA64" s="2"/>
      <c r="ABB64" s="2">
        <v>32</v>
      </c>
      <c r="ABC64" s="2"/>
      <c r="ABD64" s="2"/>
      <c r="ABE64" s="2"/>
      <c r="ABF64" s="2">
        <v>40</v>
      </c>
      <c r="ABG64" s="2"/>
      <c r="ABH64" s="2">
        <v>16</v>
      </c>
      <c r="ABI64" s="2">
        <v>24</v>
      </c>
      <c r="ABJ64" s="2"/>
      <c r="ABK64" s="2">
        <f>32+4</f>
        <v>36</v>
      </c>
      <c r="ABL64" s="2">
        <v>16</v>
      </c>
      <c r="ABM64" s="2"/>
      <c r="ABN64" s="2">
        <f>12+24</f>
        <v>36</v>
      </c>
      <c r="ABO64" s="2"/>
      <c r="ABP64" s="2"/>
      <c r="ABQ64" s="2"/>
      <c r="ABR64" s="2"/>
      <c r="ABS64" s="2"/>
      <c r="ABT64" s="2"/>
      <c r="ABU64" s="2"/>
      <c r="ABV64" s="2"/>
      <c r="ABW64" s="2"/>
      <c r="ABX64" s="2"/>
      <c r="ABY64" s="2"/>
      <c r="ABZ64" s="2"/>
      <c r="ACA64" s="2"/>
      <c r="ACB64" s="2"/>
      <c r="ACC64" s="2"/>
      <c r="ACD64" s="2"/>
      <c r="ACE64" s="2"/>
      <c r="ACF64" s="2"/>
      <c r="ACG64" s="2"/>
      <c r="ACH64" s="2"/>
      <c r="ACI64" s="2"/>
      <c r="ACJ64" s="2"/>
      <c r="ACK64" s="2">
        <v>1</v>
      </c>
      <c r="ACL64" s="2"/>
      <c r="ACM64" s="2"/>
      <c r="ACN64" s="2"/>
      <c r="ACO64" s="2"/>
      <c r="ACP64" s="2"/>
      <c r="ACQ64" s="2"/>
      <c r="ACR64" s="2"/>
      <c r="ACS64" s="2"/>
      <c r="ACT64" s="2"/>
      <c r="ACU64" s="2"/>
      <c r="ACV64" s="2"/>
      <c r="ACW64" s="2"/>
      <c r="ACX64" s="2"/>
      <c r="ACY64" s="2"/>
      <c r="ACZ64" s="2"/>
      <c r="ADA64" s="2"/>
      <c r="ADB64" s="2"/>
      <c r="ADC64" s="2"/>
      <c r="ADD64" s="2">
        <f>12+72+32</f>
        <v>116</v>
      </c>
      <c r="ADE64" s="2">
        <v>48</v>
      </c>
      <c r="ADF64" s="2">
        <f>24+36+24+48</f>
        <v>132</v>
      </c>
      <c r="ADG64" s="2">
        <f>80+32+16</f>
        <v>128</v>
      </c>
      <c r="ADH64" s="2"/>
      <c r="ADI64" s="2"/>
      <c r="ADJ64" s="2"/>
      <c r="ADK64" s="2">
        <f>16+8</f>
        <v>24</v>
      </c>
      <c r="ADL64" s="2"/>
      <c r="ADM64" s="2"/>
      <c r="ADN64" s="2"/>
      <c r="ADO64" s="2"/>
      <c r="ADP64" s="2">
        <v>40</v>
      </c>
      <c r="ADQ64" s="2"/>
      <c r="ADR64" s="2"/>
      <c r="ADS64" s="2"/>
      <c r="ADT64" s="2"/>
      <c r="ADU64" s="2"/>
      <c r="ADV64" s="2"/>
      <c r="ADW64" s="2"/>
      <c r="ADX64" s="2"/>
      <c r="ADY64" s="2"/>
      <c r="ADZ64" s="2"/>
      <c r="AEA64" s="2"/>
      <c r="AEB64" s="2"/>
      <c r="AEC64" s="2"/>
      <c r="AED64" s="2"/>
      <c r="AEE64" s="2"/>
      <c r="AEF64" s="2"/>
      <c r="AEG64" s="12">
        <v>24</v>
      </c>
      <c r="AEH64" s="2"/>
      <c r="AEI64" s="2"/>
      <c r="AEJ64" s="2"/>
      <c r="AEK64" s="2"/>
      <c r="AEL64" s="2"/>
      <c r="AEM64" s="2"/>
      <c r="AEN64" s="2"/>
      <c r="AEO64" s="2"/>
      <c r="AEP64" s="2"/>
      <c r="AEQ64" s="2"/>
      <c r="AER64" s="2"/>
      <c r="AES64" s="2"/>
      <c r="AET64" s="2"/>
      <c r="AEU64" s="2"/>
      <c r="AEV64" s="2"/>
      <c r="AEW64" s="2"/>
      <c r="AEX64" s="2"/>
      <c r="AEY64" s="2"/>
      <c r="AEZ64" s="2"/>
      <c r="AFA64" s="2"/>
      <c r="AFB64" s="2"/>
      <c r="AFC64" s="2"/>
      <c r="AFD64" s="2"/>
      <c r="AFE64" s="2"/>
      <c r="AFF64" s="2"/>
      <c r="AFG64" s="2"/>
      <c r="AFH64" s="2"/>
      <c r="AFI64" s="2"/>
      <c r="AFJ64" s="2"/>
      <c r="AFK64" s="2"/>
      <c r="AFL64" s="2">
        <f t="shared" si="0"/>
        <v>13825</v>
      </c>
    </row>
    <row r="65" spans="1:844" x14ac:dyDescent="0.3">
      <c r="B65" s="35">
        <v>550054282</v>
      </c>
      <c r="C65" s="54" t="s">
        <v>178</v>
      </c>
      <c r="D65" s="35" t="s">
        <v>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9"/>
      <c r="UJ65" s="9"/>
      <c r="UK65" s="9"/>
      <c r="UL65" s="9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>
        <v>96</v>
      </c>
      <c r="WE65" s="2"/>
      <c r="WF65" s="2"/>
      <c r="WG65" s="2">
        <v>288</v>
      </c>
      <c r="WH65" s="2">
        <v>360</v>
      </c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>
        <v>180</v>
      </c>
      <c r="WY65" s="2">
        <v>50</v>
      </c>
      <c r="WZ65" s="2"/>
      <c r="XA65" s="2"/>
      <c r="XB65" s="2"/>
      <c r="XC65" s="2"/>
      <c r="XD65" s="2"/>
      <c r="XE65" s="2"/>
      <c r="XF65" s="2"/>
      <c r="XG65" s="2"/>
      <c r="XH65" s="2"/>
      <c r="XI65" s="2">
        <v>50</v>
      </c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>
        <v>31</v>
      </c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  <c r="AAA65" s="2"/>
      <c r="AAB65" s="2"/>
      <c r="AAC65" s="2"/>
      <c r="AAD65" s="2"/>
      <c r="AAE65" s="2"/>
      <c r="AAF65" s="2"/>
      <c r="AAG65" s="2"/>
      <c r="AAH65" s="2"/>
      <c r="AAI65" s="2"/>
      <c r="AAJ65" s="2"/>
      <c r="AAK65" s="2"/>
      <c r="AAL65" s="2"/>
      <c r="AAM65" s="2"/>
      <c r="AAN65" s="2"/>
      <c r="AAO65" s="2"/>
      <c r="AAP65" s="2"/>
      <c r="AAQ65" s="2"/>
      <c r="AAR65" s="2"/>
      <c r="AAS65" s="2"/>
      <c r="AAT65" s="2"/>
      <c r="AAU65" s="2"/>
      <c r="AAV65" s="2"/>
      <c r="AAW65" s="2"/>
      <c r="AAX65" s="2"/>
      <c r="AAY65" s="2"/>
      <c r="AAZ65" s="2"/>
      <c r="ABA65" s="2"/>
      <c r="ABB65" s="2"/>
      <c r="ABC65" s="2"/>
      <c r="ABD65" s="2"/>
      <c r="ABE65" s="2"/>
      <c r="ABF65" s="2"/>
      <c r="ABG65" s="2"/>
      <c r="ABH65" s="2"/>
      <c r="ABI65" s="2"/>
      <c r="ABJ65" s="2"/>
      <c r="ABK65" s="2"/>
      <c r="ABL65" s="2"/>
      <c r="ABM65" s="2"/>
      <c r="ABN65" s="2"/>
      <c r="ABO65" s="2"/>
      <c r="ABP65" s="2"/>
      <c r="ABQ65" s="2"/>
      <c r="ABR65" s="2"/>
      <c r="ABS65" s="2"/>
      <c r="ABT65" s="2"/>
      <c r="ABU65" s="2"/>
      <c r="ABV65" s="2"/>
      <c r="ABW65" s="2"/>
      <c r="ABX65" s="2"/>
      <c r="ABY65" s="2"/>
      <c r="ABZ65" s="2"/>
      <c r="ACA65" s="2"/>
      <c r="ACB65" s="2"/>
      <c r="ACC65" s="2"/>
      <c r="ACD65" s="2"/>
      <c r="ACE65" s="2"/>
      <c r="ACF65" s="2"/>
      <c r="ACG65" s="2"/>
      <c r="ACH65" s="2"/>
      <c r="ACI65" s="2"/>
      <c r="ACJ65" s="2"/>
      <c r="ACK65" s="2"/>
      <c r="ACL65" s="2"/>
      <c r="ACM65" s="2"/>
      <c r="ACN65" s="2"/>
      <c r="ACO65" s="2"/>
      <c r="ACP65" s="2"/>
      <c r="ACQ65" s="2"/>
      <c r="ACR65" s="2"/>
      <c r="ACS65" s="2"/>
      <c r="ACT65" s="2"/>
      <c r="ACU65" s="2"/>
      <c r="ACV65" s="2"/>
      <c r="ACW65" s="2"/>
      <c r="ACX65" s="2"/>
      <c r="ACY65" s="2"/>
      <c r="ACZ65" s="2"/>
      <c r="ADA65" s="2"/>
      <c r="ADB65" s="2"/>
      <c r="ADC65" s="2"/>
      <c r="ADD65" s="2"/>
      <c r="ADE65" s="2"/>
      <c r="ADF65" s="2"/>
      <c r="ADG65" s="2"/>
      <c r="ADH65" s="2"/>
      <c r="ADI65" s="2"/>
      <c r="ADJ65" s="2"/>
      <c r="ADK65" s="2"/>
      <c r="ADL65" s="2"/>
      <c r="ADM65" s="2"/>
      <c r="ADN65" s="2"/>
      <c r="ADO65" s="2"/>
      <c r="ADP65" s="2"/>
      <c r="ADQ65" s="2"/>
      <c r="ADR65" s="2"/>
      <c r="ADS65" s="2"/>
      <c r="ADT65" s="2"/>
      <c r="ADU65" s="2"/>
      <c r="ADV65" s="2"/>
      <c r="ADW65" s="2"/>
      <c r="ADX65" s="2"/>
      <c r="ADY65" s="2"/>
      <c r="ADZ65" s="2"/>
      <c r="AEA65" s="2"/>
      <c r="AEB65" s="2"/>
      <c r="AEC65" s="2"/>
      <c r="AED65" s="2"/>
      <c r="AEE65" s="2"/>
      <c r="AEF65" s="2"/>
      <c r="AEG65" s="2"/>
      <c r="AEH65" s="2"/>
      <c r="AEI65" s="2"/>
      <c r="AEJ65" s="2"/>
      <c r="AEK65" s="2"/>
      <c r="AEL65" s="2"/>
      <c r="AEM65" s="2"/>
      <c r="AEN65" s="2"/>
      <c r="AEO65" s="2"/>
      <c r="AEP65" s="2"/>
      <c r="AEQ65" s="2"/>
      <c r="AER65" s="2"/>
      <c r="AES65" s="2"/>
      <c r="AET65" s="2"/>
      <c r="AEU65" s="2"/>
      <c r="AEV65" s="2"/>
      <c r="AEW65" s="2"/>
      <c r="AEX65" s="2"/>
      <c r="AEY65" s="2"/>
      <c r="AEZ65" s="2"/>
      <c r="AFA65" s="2"/>
      <c r="AFB65" s="2"/>
      <c r="AFC65" s="2"/>
      <c r="AFD65" s="2"/>
      <c r="AFE65" s="2"/>
      <c r="AFF65" s="2"/>
      <c r="AFG65" s="2"/>
      <c r="AFH65" s="2"/>
      <c r="AFI65" s="2"/>
      <c r="AFJ65" s="2"/>
      <c r="AFK65" s="2"/>
      <c r="AFL65" s="2">
        <f t="shared" si="0"/>
        <v>1055</v>
      </c>
    </row>
    <row r="66" spans="1:844" s="11" customFormat="1" x14ac:dyDescent="0.3">
      <c r="B66" s="91">
        <v>550045436</v>
      </c>
      <c r="C66" s="52" t="s">
        <v>137</v>
      </c>
      <c r="D66" s="35" t="s">
        <v>1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>
        <v>1</v>
      </c>
      <c r="NI66" s="2"/>
      <c r="NJ66" s="2">
        <f>80+80+80+80</f>
        <v>320</v>
      </c>
      <c r="NK66" s="2"/>
      <c r="NL66" s="2">
        <f>80+80+80</f>
        <v>240</v>
      </c>
      <c r="NM66" s="2"/>
      <c r="NN66" s="2">
        <v>1</v>
      </c>
      <c r="NO66" s="2"/>
      <c r="NP66" s="2">
        <v>80</v>
      </c>
      <c r="NQ66" s="2"/>
      <c r="NR66" s="2"/>
      <c r="NS66" s="2"/>
      <c r="NT66" s="2">
        <v>160</v>
      </c>
      <c r="NU66" s="2"/>
      <c r="NV66" s="2"/>
      <c r="NW66" s="2"/>
      <c r="NX66" s="2">
        <v>80</v>
      </c>
      <c r="NY66" s="2"/>
      <c r="NZ66" s="2">
        <v>80</v>
      </c>
      <c r="OA66" s="2">
        <v>80</v>
      </c>
      <c r="OB66" s="2"/>
      <c r="OC66" s="2"/>
      <c r="OD66" s="2"/>
      <c r="OE66" s="2"/>
      <c r="OF66" s="2"/>
      <c r="OG66" s="2"/>
      <c r="OH66" s="2">
        <v>160</v>
      </c>
      <c r="OI66" s="2">
        <v>80</v>
      </c>
      <c r="OJ66" s="2">
        <v>80</v>
      </c>
      <c r="OK66" s="2"/>
      <c r="OL66" s="2"/>
      <c r="OM66" s="2"/>
      <c r="ON66" s="2"/>
      <c r="OO66" s="2"/>
      <c r="OP66" s="2"/>
      <c r="OQ66" s="2">
        <v>80</v>
      </c>
      <c r="OR66" s="2"/>
      <c r="OS66" s="2">
        <v>80</v>
      </c>
      <c r="OT66" s="2">
        <v>80</v>
      </c>
      <c r="OU66" s="2">
        <v>78</v>
      </c>
      <c r="OV66" s="2"/>
      <c r="OW66" s="2"/>
      <c r="OX66" s="2"/>
      <c r="OY66" s="2"/>
      <c r="OZ66" s="2">
        <f>80+80+80+80</f>
        <v>320</v>
      </c>
      <c r="PA66" s="2">
        <f>80+80+80</f>
        <v>240</v>
      </c>
      <c r="PB66" s="2"/>
      <c r="PC66" s="2"/>
      <c r="PD66" s="2">
        <f>80+80</f>
        <v>160</v>
      </c>
      <c r="PE66" s="2">
        <v>80</v>
      </c>
      <c r="PF66" s="2">
        <v>80</v>
      </c>
      <c r="PG66" s="2"/>
      <c r="PH66" s="2"/>
      <c r="PI66" s="2"/>
      <c r="PJ66" s="2"/>
      <c r="PK66" s="2"/>
      <c r="PL66" s="2"/>
      <c r="PM66" s="2">
        <f>80</f>
        <v>80</v>
      </c>
      <c r="PN66" s="2"/>
      <c r="PO66" s="2">
        <f>80</f>
        <v>80</v>
      </c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>
        <f>80</f>
        <v>80</v>
      </c>
      <c r="QM66" s="2">
        <f>80</f>
        <v>80</v>
      </c>
      <c r="QN66" s="2"/>
      <c r="QO66" s="2"/>
      <c r="QP66" s="2"/>
      <c r="QQ66" s="2">
        <f>80</f>
        <v>80</v>
      </c>
      <c r="QR66" s="2">
        <f>80</f>
        <v>80</v>
      </c>
      <c r="QS66" s="2"/>
      <c r="QT66" s="2"/>
      <c r="QU66" s="2"/>
      <c r="QV66" s="2">
        <f>80</f>
        <v>80</v>
      </c>
      <c r="QW66" s="2">
        <f>80</f>
        <v>80</v>
      </c>
      <c r="QX66" s="2">
        <f>80</f>
        <v>80</v>
      </c>
      <c r="QY66" s="2"/>
      <c r="QZ66" s="2"/>
      <c r="RA66" s="2"/>
      <c r="RB66" s="2"/>
      <c r="RC66" s="2"/>
      <c r="RD66" s="2"/>
      <c r="RE66" s="2">
        <v>80</v>
      </c>
      <c r="RF66" s="2"/>
      <c r="RG66" s="2"/>
      <c r="RH66" s="2">
        <f>80</f>
        <v>80</v>
      </c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>
        <f>80</f>
        <v>80</v>
      </c>
      <c r="SI66" s="2"/>
      <c r="SJ66" s="2"/>
      <c r="SK66" s="2"/>
      <c r="SL66" s="2"/>
      <c r="SM66" s="2"/>
      <c r="SN66" s="2"/>
      <c r="SO66" s="2"/>
      <c r="SP66" s="2">
        <f>240+80</f>
        <v>320</v>
      </c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>
        <v>80</v>
      </c>
      <c r="TC66" s="2"/>
      <c r="TD66" s="2"/>
      <c r="TE66" s="2"/>
      <c r="TF66" s="2"/>
      <c r="TG66" s="2"/>
      <c r="TH66" s="2"/>
      <c r="TI66" s="2"/>
      <c r="TJ66" s="2">
        <v>80</v>
      </c>
      <c r="TK66" s="2"/>
      <c r="TL66" s="2"/>
      <c r="TM66" s="2"/>
      <c r="TN66" s="2"/>
      <c r="TO66" s="2"/>
      <c r="TP66" s="2">
        <v>80</v>
      </c>
      <c r="TQ66" s="2">
        <v>80</v>
      </c>
      <c r="TR66" s="2"/>
      <c r="TS66" s="2"/>
      <c r="TT66" s="2"/>
      <c r="TU66" s="2">
        <v>80</v>
      </c>
      <c r="TV66" s="2"/>
      <c r="TW66" s="2">
        <v>80</v>
      </c>
      <c r="TX66" s="2">
        <v>80</v>
      </c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>
        <v>80</v>
      </c>
      <c r="UJ66" s="2"/>
      <c r="UK66" s="2">
        <v>80</v>
      </c>
      <c r="UL66" s="2"/>
      <c r="UM66" s="2">
        <v>80</v>
      </c>
      <c r="UN66" s="2">
        <v>80</v>
      </c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>
        <v>80</v>
      </c>
      <c r="VD66" s="2"/>
      <c r="VE66" s="2"/>
      <c r="VF66" s="2"/>
      <c r="VG66" s="2"/>
      <c r="VH66" s="2">
        <v>80</v>
      </c>
      <c r="VI66" s="2"/>
      <c r="VJ66" s="2"/>
      <c r="VK66" s="2">
        <f>80+3</f>
        <v>83</v>
      </c>
      <c r="VL66" s="2"/>
      <c r="VM66" s="2"/>
      <c r="VN66" s="2"/>
      <c r="VO66" s="2"/>
      <c r="VP66" s="2"/>
      <c r="VQ66" s="2"/>
      <c r="VR66" s="2">
        <v>80</v>
      </c>
      <c r="VS66" s="2"/>
      <c r="VT66" s="2"/>
      <c r="VU66" s="2"/>
      <c r="VV66" s="2"/>
      <c r="VW66" s="2"/>
      <c r="VX66" s="2"/>
      <c r="VY66" s="2">
        <v>80</v>
      </c>
      <c r="VZ66" s="2">
        <v>2</v>
      </c>
      <c r="WA66" s="2"/>
      <c r="WB66" s="2"/>
      <c r="WC66" s="2"/>
      <c r="WD66" s="2">
        <v>80</v>
      </c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>
        <v>80</v>
      </c>
      <c r="WP66" s="2"/>
      <c r="WQ66" s="2"/>
      <c r="WR66" s="2"/>
      <c r="WS66" s="2"/>
      <c r="WT66" s="2"/>
      <c r="WU66" s="2"/>
      <c r="WV66" s="2"/>
      <c r="WW66" s="2">
        <v>2</v>
      </c>
      <c r="WX66" s="2">
        <v>80</v>
      </c>
      <c r="WY66" s="2"/>
      <c r="WZ66" s="2"/>
      <c r="XA66" s="2"/>
      <c r="XB66" s="2">
        <v>1</v>
      </c>
      <c r="XC66" s="2">
        <v>1</v>
      </c>
      <c r="XD66" s="2"/>
      <c r="XE66" s="2"/>
      <c r="XF66" s="2">
        <f>1+80</f>
        <v>81</v>
      </c>
      <c r="XG66" s="2"/>
      <c r="XH66" s="2"/>
      <c r="XI66" s="2"/>
      <c r="XJ66" s="2"/>
      <c r="XK66" s="2"/>
      <c r="XL66" s="2"/>
      <c r="XM66" s="2"/>
      <c r="XN66" s="2">
        <v>160</v>
      </c>
      <c r="XO66" s="2">
        <v>160</v>
      </c>
      <c r="XP66" s="2"/>
      <c r="XQ66" s="2">
        <v>80</v>
      </c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>
        <v>2</v>
      </c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  <c r="AAA66" s="2"/>
      <c r="AAB66" s="2"/>
      <c r="AAC66" s="2"/>
      <c r="AAD66" s="2"/>
      <c r="AAE66" s="2"/>
      <c r="AAF66" s="2"/>
      <c r="AAG66" s="2"/>
      <c r="AAH66" s="2"/>
      <c r="AAI66" s="2"/>
      <c r="AAJ66" s="2"/>
      <c r="AAK66" s="2"/>
      <c r="AAL66" s="2"/>
      <c r="AAM66" s="2"/>
      <c r="AAN66" s="2"/>
      <c r="AAO66" s="2"/>
      <c r="AAP66" s="2"/>
      <c r="AAQ66" s="2"/>
      <c r="AAR66" s="2"/>
      <c r="AAS66" s="2"/>
      <c r="AAT66" s="2"/>
      <c r="AAU66" s="2"/>
      <c r="AAV66" s="2"/>
      <c r="AAW66" s="2"/>
      <c r="AAX66" s="2"/>
      <c r="AAY66" s="2"/>
      <c r="AAZ66" s="2"/>
      <c r="ABA66" s="2"/>
      <c r="ABB66" s="2"/>
      <c r="ABC66" s="2"/>
      <c r="ABD66" s="2"/>
      <c r="ABE66" s="2"/>
      <c r="ABF66" s="2"/>
      <c r="ABG66" s="2"/>
      <c r="ABH66" s="2"/>
      <c r="ABI66" s="2"/>
      <c r="ABJ66" s="2"/>
      <c r="ABK66" s="2"/>
      <c r="ABL66" s="2">
        <v>10</v>
      </c>
      <c r="ABM66" s="2"/>
      <c r="ABN66" s="2"/>
      <c r="ABO66" s="2"/>
      <c r="ABP66" s="2"/>
      <c r="ABQ66" s="2"/>
      <c r="ABR66" s="2"/>
      <c r="ABS66" s="2"/>
      <c r="ABT66" s="2">
        <f>80+80</f>
        <v>160</v>
      </c>
      <c r="ABU66" s="2"/>
      <c r="ABV66" s="2"/>
      <c r="ABW66" s="2"/>
      <c r="ABX66" s="2"/>
      <c r="ABY66" s="2"/>
      <c r="ABZ66" s="2">
        <f>80+80</f>
        <v>160</v>
      </c>
      <c r="ACA66" s="2">
        <f>80+80</f>
        <v>160</v>
      </c>
      <c r="ACB66" s="2">
        <v>80</v>
      </c>
      <c r="ACC66" s="2">
        <v>80</v>
      </c>
      <c r="ACD66" s="2"/>
      <c r="ACE66" s="2">
        <v>80</v>
      </c>
      <c r="ACF66" s="2"/>
      <c r="ACG66" s="2"/>
      <c r="ACH66" s="2">
        <v>80</v>
      </c>
      <c r="ACI66" s="2">
        <v>80</v>
      </c>
      <c r="ACJ66" s="2">
        <f>80+80</f>
        <v>160</v>
      </c>
      <c r="ACK66" s="2"/>
      <c r="ACL66" s="2"/>
      <c r="ACM66" s="2"/>
      <c r="ACN66" s="2">
        <v>1</v>
      </c>
      <c r="ACO66" s="2"/>
      <c r="ACP66" s="2"/>
      <c r="ACQ66" s="2">
        <v>80</v>
      </c>
      <c r="ACR66" s="2">
        <v>80</v>
      </c>
      <c r="ACS66" s="2"/>
      <c r="ACT66" s="2"/>
      <c r="ACU66" s="2">
        <f>80+80</f>
        <v>160</v>
      </c>
      <c r="ACV66" s="2"/>
      <c r="ACW66" s="2">
        <v>80</v>
      </c>
      <c r="ACX66" s="2">
        <v>80</v>
      </c>
      <c r="ACY66" s="2"/>
      <c r="ACZ66" s="2"/>
      <c r="ADA66" s="2"/>
      <c r="ADB66" s="2"/>
      <c r="ADC66" s="2"/>
      <c r="ADD66" s="2">
        <v>80</v>
      </c>
      <c r="ADE66" s="2"/>
      <c r="ADF66" s="2">
        <v>80</v>
      </c>
      <c r="ADG66" s="2"/>
      <c r="ADH66" s="2"/>
      <c r="ADI66" s="2"/>
      <c r="ADJ66" s="2"/>
      <c r="ADK66" s="2"/>
      <c r="ADL66" s="2"/>
      <c r="ADM66" s="2">
        <v>80</v>
      </c>
      <c r="ADN66" s="2"/>
      <c r="ADO66" s="2"/>
      <c r="ADP66" s="2"/>
      <c r="ADQ66" s="2">
        <v>80</v>
      </c>
      <c r="ADR66" s="2"/>
      <c r="ADS66" s="2"/>
      <c r="ADT66" s="2"/>
      <c r="ADU66" s="2"/>
      <c r="ADV66" s="2"/>
      <c r="ADW66" s="2"/>
      <c r="ADX66" s="2"/>
      <c r="ADY66" s="2"/>
      <c r="ADZ66" s="2"/>
      <c r="AEA66" s="2"/>
      <c r="AEB66" s="2"/>
      <c r="AEC66" s="2"/>
      <c r="AED66" s="2"/>
      <c r="AEE66" s="2"/>
      <c r="AEF66" s="2"/>
      <c r="AEG66" s="2"/>
      <c r="AEH66" s="2"/>
      <c r="AEI66" s="2"/>
      <c r="AEJ66" s="2"/>
      <c r="AEK66" s="2"/>
      <c r="AEL66" s="2"/>
      <c r="AEM66" s="2"/>
      <c r="AEN66" s="2"/>
      <c r="AEO66" s="2"/>
      <c r="AEP66" s="2"/>
      <c r="AEQ66" s="2"/>
      <c r="AER66" s="2"/>
      <c r="AES66" s="2"/>
      <c r="AET66" s="2"/>
      <c r="AEU66" s="2"/>
      <c r="AEV66" s="2"/>
      <c r="AEW66" s="2"/>
      <c r="AEX66" s="2"/>
      <c r="AEY66" s="2"/>
      <c r="AEZ66" s="2"/>
      <c r="AFA66" s="2"/>
      <c r="AFB66" s="2"/>
      <c r="AFC66" s="2"/>
      <c r="AFD66" s="2"/>
      <c r="AFE66" s="2"/>
      <c r="AFF66" s="2"/>
      <c r="AFG66" s="2"/>
      <c r="AFH66" s="2"/>
      <c r="AFI66" s="2"/>
      <c r="AFJ66" s="2"/>
      <c r="AFK66" s="2"/>
      <c r="AFL66" s="2">
        <f t="shared" si="0"/>
        <v>7703</v>
      </c>
    </row>
    <row r="67" spans="1:844" s="11" customFormat="1" x14ac:dyDescent="0.3">
      <c r="B67" s="91">
        <v>44243855</v>
      </c>
      <c r="C67" s="52" t="s">
        <v>135</v>
      </c>
      <c r="D67" s="35" t="s">
        <v>4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>
        <v>336</v>
      </c>
      <c r="AU67" s="2">
        <f>48+96+96+144</f>
        <v>384</v>
      </c>
      <c r="AV67" s="2">
        <f>48+48</f>
        <v>96</v>
      </c>
      <c r="AW67" s="2">
        <f>96+48+240+240</f>
        <v>624</v>
      </c>
      <c r="AX67" s="2"/>
      <c r="AY67" s="2">
        <v>48</v>
      </c>
      <c r="AZ67" s="2">
        <v>144</v>
      </c>
      <c r="BA67" s="2">
        <v>144</v>
      </c>
      <c r="BB67" s="2">
        <v>144</v>
      </c>
      <c r="BC67" s="2">
        <v>144</v>
      </c>
      <c r="BD67" s="2">
        <v>3</v>
      </c>
      <c r="BE67" s="2">
        <v>384</v>
      </c>
      <c r="BF67" s="2">
        <v>96</v>
      </c>
      <c r="BG67" s="2"/>
      <c r="BH67" s="2"/>
      <c r="BI67" s="2"/>
      <c r="BJ67" s="2">
        <v>144</v>
      </c>
      <c r="BK67" s="2">
        <v>96</v>
      </c>
      <c r="BL67" s="2">
        <v>144</v>
      </c>
      <c r="BM67" s="2">
        <v>192</v>
      </c>
      <c r="BN67" s="2"/>
      <c r="BO67" s="2">
        <v>144</v>
      </c>
      <c r="BP67" s="2"/>
      <c r="BQ67" s="2"/>
      <c r="BR67" s="2">
        <v>96</v>
      </c>
      <c r="BS67" s="2">
        <f>48+96</f>
        <v>144</v>
      </c>
      <c r="BT67" s="2">
        <v>96</v>
      </c>
      <c r="BU67" s="2">
        <v>285</v>
      </c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>
        <f>432+232+192+192+240</f>
        <v>1288</v>
      </c>
      <c r="CT67" s="2">
        <f>96+144</f>
        <v>240</v>
      </c>
      <c r="CU67" s="2">
        <v>192</v>
      </c>
      <c r="CV67" s="2"/>
      <c r="CW67" s="2">
        <f>144+96+1</f>
        <v>241</v>
      </c>
      <c r="CX67" s="2"/>
      <c r="CY67" s="2"/>
      <c r="CZ67" s="2"/>
      <c r="DA67" s="2">
        <f>576+192+192</f>
        <v>960</v>
      </c>
      <c r="DB67" s="2"/>
      <c r="DC67" s="2">
        <v>96</v>
      </c>
      <c r="DD67" s="2"/>
      <c r="DE67" s="2"/>
      <c r="DF67" s="2"/>
      <c r="DG67" s="2">
        <v>2</v>
      </c>
      <c r="DH67" s="2"/>
      <c r="DI67" s="2">
        <f>96+192</f>
        <v>288</v>
      </c>
      <c r="DJ67" s="2">
        <f>96+96+336</f>
        <v>528</v>
      </c>
      <c r="DK67" s="2"/>
      <c r="DL67" s="2">
        <f>144+144+192</f>
        <v>480</v>
      </c>
      <c r="DM67" s="2">
        <v>192</v>
      </c>
      <c r="DN67" s="2">
        <v>1</v>
      </c>
      <c r="DO67" s="2">
        <f>336+144</f>
        <v>480</v>
      </c>
      <c r="DP67" s="2">
        <v>36</v>
      </c>
      <c r="DQ67" s="2">
        <v>1</v>
      </c>
      <c r="DR67" s="2">
        <v>38</v>
      </c>
      <c r="DS67" s="2">
        <v>360</v>
      </c>
      <c r="DT67" s="2">
        <v>360</v>
      </c>
      <c r="DU67" s="2">
        <f>144</f>
        <v>144</v>
      </c>
      <c r="DV67" s="2">
        <f>144+216</f>
        <v>360</v>
      </c>
      <c r="DW67" s="2">
        <v>216</v>
      </c>
      <c r="DX67" s="2"/>
      <c r="DY67" s="2"/>
      <c r="DZ67" s="2">
        <v>252</v>
      </c>
      <c r="EA67" s="2"/>
      <c r="EB67" s="2">
        <f>180+252</f>
        <v>432</v>
      </c>
      <c r="EC67" s="2"/>
      <c r="ED67" s="2">
        <f>108+144+324</f>
        <v>576</v>
      </c>
      <c r="EE67" s="2">
        <v>36</v>
      </c>
      <c r="EF67" s="2">
        <f>144+144+72</f>
        <v>360</v>
      </c>
      <c r="EG67" s="2">
        <f>36+72</f>
        <v>108</v>
      </c>
      <c r="EH67" s="2">
        <f>1+144</f>
        <v>145</v>
      </c>
      <c r="EI67" s="2"/>
      <c r="EJ67" s="2"/>
      <c r="EK67" s="2">
        <f>216+144</f>
        <v>360</v>
      </c>
      <c r="EL67" s="2">
        <v>1</v>
      </c>
      <c r="EM67" s="2"/>
      <c r="EN67" s="2">
        <f>3+108</f>
        <v>111</v>
      </c>
      <c r="EO67" s="2">
        <v>108</v>
      </c>
      <c r="EP67" s="2">
        <v>216</v>
      </c>
      <c r="EQ67" s="2"/>
      <c r="ER67" s="2">
        <v>216</v>
      </c>
      <c r="ES67" s="2"/>
      <c r="ET67" s="2"/>
      <c r="EU67" s="2"/>
      <c r="EV67" s="2">
        <v>144</v>
      </c>
      <c r="EW67" s="2">
        <f>72+144+108</f>
        <v>324</v>
      </c>
      <c r="EX67" s="2"/>
      <c r="EY67" s="2"/>
      <c r="EZ67" s="2">
        <f>108+144</f>
        <v>252</v>
      </c>
      <c r="FA67" s="2">
        <f>72+360</f>
        <v>432</v>
      </c>
      <c r="FB67" s="2"/>
      <c r="FC67" s="2"/>
      <c r="FD67" s="2">
        <v>108</v>
      </c>
      <c r="FE67" s="2"/>
      <c r="FF67" s="2">
        <v>108</v>
      </c>
      <c r="FG67" s="2"/>
      <c r="FH67" s="2"/>
      <c r="FI67" s="2">
        <v>3</v>
      </c>
      <c r="FJ67" s="2">
        <v>180</v>
      </c>
      <c r="FK67" s="2">
        <v>36</v>
      </c>
      <c r="FL67" s="2">
        <f>73+33</f>
        <v>106</v>
      </c>
      <c r="FM67" s="2">
        <v>144</v>
      </c>
      <c r="FN67" s="2">
        <v>7</v>
      </c>
      <c r="FO67" s="2">
        <f>1+144</f>
        <v>145</v>
      </c>
      <c r="FP67" s="2"/>
      <c r="FQ67" s="2">
        <v>468</v>
      </c>
      <c r="FR67" s="2"/>
      <c r="FS67" s="2">
        <v>144</v>
      </c>
      <c r="FT67" s="2">
        <f>180+72</f>
        <v>252</v>
      </c>
      <c r="FU67" s="2">
        <f>36+180+252</f>
        <v>468</v>
      </c>
      <c r="FV67" s="2"/>
      <c r="FW67" s="2">
        <v>288</v>
      </c>
      <c r="FX67" s="2"/>
      <c r="FY67" s="2"/>
      <c r="FZ67" s="2"/>
      <c r="GA67" s="2"/>
      <c r="GB67" s="2"/>
      <c r="GC67" s="2">
        <f>144+108</f>
        <v>252</v>
      </c>
      <c r="GD67" s="2">
        <v>216</v>
      </c>
      <c r="GE67" s="2">
        <v>360</v>
      </c>
      <c r="GF67" s="2">
        <f>72+108+216+72</f>
        <v>468</v>
      </c>
      <c r="GG67" s="2"/>
      <c r="GH67" s="2"/>
      <c r="GI67" s="2">
        <v>72</v>
      </c>
      <c r="GJ67" s="2">
        <v>72</v>
      </c>
      <c r="GK67" s="2">
        <f>72+180</f>
        <v>252</v>
      </c>
      <c r="GL67" s="2">
        <v>72</v>
      </c>
      <c r="GM67" s="2"/>
      <c r="GN67" s="2">
        <f>72+216</f>
        <v>288</v>
      </c>
      <c r="GO67" s="2">
        <f>3*36</f>
        <v>108</v>
      </c>
      <c r="GP67" s="2"/>
      <c r="GQ67" s="2">
        <v>216</v>
      </c>
      <c r="GR67" s="2"/>
      <c r="GS67" s="2">
        <v>1</v>
      </c>
      <c r="GT67" s="2"/>
      <c r="GU67" s="2">
        <f>2+36</f>
        <v>38</v>
      </c>
      <c r="GV67" s="2">
        <f>144+1</f>
        <v>145</v>
      </c>
      <c r="GW67" s="2">
        <v>180</v>
      </c>
      <c r="GX67" s="2">
        <v>108</v>
      </c>
      <c r="GY67" s="2"/>
      <c r="GZ67" s="2">
        <v>72</v>
      </c>
      <c r="HA67" s="2">
        <f>396+432</f>
        <v>828</v>
      </c>
      <c r="HB67" s="2">
        <f>468+324+216</f>
        <v>1008</v>
      </c>
      <c r="HC67" s="2">
        <f>144+324</f>
        <v>468</v>
      </c>
      <c r="HD67" s="2">
        <f>360+540</f>
        <v>900</v>
      </c>
      <c r="HE67" s="2">
        <v>288</v>
      </c>
      <c r="HF67" s="2"/>
      <c r="HG67" s="2">
        <f>144+144+216+288</f>
        <v>792</v>
      </c>
      <c r="HH67" s="2"/>
      <c r="HI67" s="2">
        <v>180</v>
      </c>
      <c r="HJ67" s="2"/>
      <c r="HK67" s="2">
        <f>111+165+360</f>
        <v>636</v>
      </c>
      <c r="HL67" s="2"/>
      <c r="HM67" s="2">
        <v>252</v>
      </c>
      <c r="HN67" s="2">
        <v>72</v>
      </c>
      <c r="HO67" s="2">
        <v>72</v>
      </c>
      <c r="HP67" s="2">
        <v>144</v>
      </c>
      <c r="HQ67" s="2">
        <v>288</v>
      </c>
      <c r="HR67" s="2">
        <f>36+324</f>
        <v>360</v>
      </c>
      <c r="HS67" s="2">
        <f>432+1+360</f>
        <v>793</v>
      </c>
      <c r="HT67" s="2">
        <f>108+1</f>
        <v>109</v>
      </c>
      <c r="HU67" s="2">
        <f>417+432+180+180</f>
        <v>1209</v>
      </c>
      <c r="HV67" s="2"/>
      <c r="HW67" s="2"/>
      <c r="HX67" s="2"/>
      <c r="HY67" s="2"/>
      <c r="HZ67" s="2"/>
      <c r="IA67" s="2"/>
      <c r="IB67" s="2"/>
      <c r="IC67" s="2"/>
      <c r="ID67" s="2">
        <f>72+72+216+144</f>
        <v>504</v>
      </c>
      <c r="IE67" s="2">
        <f>72+792</f>
        <v>864</v>
      </c>
      <c r="IF67" s="2">
        <f>180+144+108</f>
        <v>432</v>
      </c>
      <c r="IG67" s="2">
        <v>180</v>
      </c>
      <c r="IH67" s="2"/>
      <c r="II67" s="2">
        <f>72+144</f>
        <v>216</v>
      </c>
      <c r="IJ67" s="2"/>
      <c r="IK67" s="2"/>
      <c r="IL67" s="2"/>
      <c r="IM67" s="2">
        <v>288</v>
      </c>
      <c r="IN67" s="2">
        <f>72+288</f>
        <v>360</v>
      </c>
      <c r="IO67" s="2"/>
      <c r="IP67" s="2">
        <v>72</v>
      </c>
      <c r="IQ67" s="2"/>
      <c r="IR67" s="2"/>
      <c r="IS67" s="2"/>
      <c r="IT67" s="2"/>
      <c r="IU67" s="2">
        <f>144+108</f>
        <v>252</v>
      </c>
      <c r="IV67" s="2">
        <f>3+108+108+144+252</f>
        <v>615</v>
      </c>
      <c r="IW67" s="2">
        <f>72+36+36</f>
        <v>144</v>
      </c>
      <c r="IX67" s="2"/>
      <c r="IY67" s="2"/>
      <c r="IZ67" s="2">
        <f>240+144</f>
        <v>384</v>
      </c>
      <c r="JA67" s="2"/>
      <c r="JB67" s="2"/>
      <c r="JC67" s="2"/>
      <c r="JD67" s="2"/>
      <c r="JE67" s="2">
        <f>96+48</f>
        <v>144</v>
      </c>
      <c r="JF67" s="2"/>
      <c r="JG67" s="2"/>
      <c r="JH67" s="2">
        <v>384</v>
      </c>
      <c r="JI67" s="2">
        <f>96+384+96</f>
        <v>576</v>
      </c>
      <c r="JJ67" s="2"/>
      <c r="JK67" s="2">
        <f>4+144+240+288</f>
        <v>676</v>
      </c>
      <c r="JL67" s="2"/>
      <c r="JM67" s="2">
        <v>240</v>
      </c>
      <c r="JN67" s="2">
        <f>48+96+144</f>
        <v>288</v>
      </c>
      <c r="JO67" s="2">
        <f>480+144</f>
        <v>624</v>
      </c>
      <c r="JP67" s="2">
        <f>240+336</f>
        <v>576</v>
      </c>
      <c r="JQ67" s="2">
        <f>432+192</f>
        <v>624</v>
      </c>
      <c r="JR67" s="2">
        <f>144+288+240</f>
        <v>672</v>
      </c>
      <c r="JS67" s="2"/>
      <c r="JT67" s="2">
        <f>96+192+96+288+240+192</f>
        <v>1104</v>
      </c>
      <c r="JU67" s="2">
        <v>1</v>
      </c>
      <c r="JV67" s="2"/>
      <c r="JW67" s="2">
        <v>48</v>
      </c>
      <c r="JX67" s="2">
        <v>192</v>
      </c>
      <c r="JY67" s="2">
        <v>144</v>
      </c>
      <c r="JZ67" s="2"/>
      <c r="KA67" s="2">
        <f>192+144+240</f>
        <v>576</v>
      </c>
      <c r="KB67" s="2">
        <f>192+192+66</f>
        <v>450</v>
      </c>
      <c r="KC67" s="17">
        <v>1</v>
      </c>
      <c r="KD67" s="2">
        <v>1</v>
      </c>
      <c r="KE67" s="2"/>
      <c r="KF67" s="2">
        <v>96</v>
      </c>
      <c r="KG67" s="2"/>
      <c r="KH67" s="2">
        <f>192+336</f>
        <v>528</v>
      </c>
      <c r="KI67" s="2"/>
      <c r="KJ67" s="2">
        <v>34</v>
      </c>
      <c r="KK67" s="2"/>
      <c r="KL67" s="2"/>
      <c r="KM67" s="2"/>
      <c r="KN67" s="2"/>
      <c r="KO67" s="2"/>
      <c r="KP67" s="2"/>
      <c r="KQ67" s="2"/>
      <c r="KR67" s="2">
        <f>480+576</f>
        <v>1056</v>
      </c>
      <c r="KS67" s="2">
        <f>240+192</f>
        <v>432</v>
      </c>
      <c r="KT67" s="2">
        <f>240+192+528</f>
        <v>960</v>
      </c>
      <c r="KU67" s="2">
        <v>528</v>
      </c>
      <c r="KV67" s="2"/>
      <c r="KW67" s="2">
        <v>144</v>
      </c>
      <c r="KX67" s="2"/>
      <c r="KY67" s="2">
        <f>96+96</f>
        <v>192</v>
      </c>
      <c r="KZ67" s="2">
        <v>288</v>
      </c>
      <c r="LA67" s="2"/>
      <c r="LB67" s="2"/>
      <c r="LC67" s="2">
        <f>192+96+144</f>
        <v>432</v>
      </c>
      <c r="LD67" s="2">
        <v>48</v>
      </c>
      <c r="LE67" s="2"/>
      <c r="LF67" s="2"/>
      <c r="LG67" s="2"/>
      <c r="LH67" s="2"/>
      <c r="LI67" s="2">
        <f>384+96</f>
        <v>480</v>
      </c>
      <c r="LJ67" s="2"/>
      <c r="LK67" s="2"/>
      <c r="LL67" s="2"/>
      <c r="LM67" s="2">
        <v>1</v>
      </c>
      <c r="LN67" s="2"/>
      <c r="LO67" s="2"/>
      <c r="LP67" s="2">
        <v>288</v>
      </c>
      <c r="LQ67" s="2">
        <f>192+336</f>
        <v>528</v>
      </c>
      <c r="LR67" s="2">
        <f>288+384</f>
        <v>672</v>
      </c>
      <c r="LS67" s="2">
        <f>96+192+288+768</f>
        <v>1344</v>
      </c>
      <c r="LT67" s="2">
        <v>240</v>
      </c>
      <c r="LU67" s="2">
        <f>144+192+96+96+96</f>
        <v>624</v>
      </c>
      <c r="LV67" s="2"/>
      <c r="LW67" s="2"/>
      <c r="LX67" s="2"/>
      <c r="LY67" s="2">
        <f>56+288</f>
        <v>344</v>
      </c>
      <c r="LZ67" s="2"/>
      <c r="MA67" s="2">
        <v>48</v>
      </c>
      <c r="MB67" s="2">
        <f>30+96+48+192</f>
        <v>366</v>
      </c>
      <c r="MC67" s="2"/>
      <c r="MD67" s="2">
        <f>288+288</f>
        <v>576</v>
      </c>
      <c r="ME67" s="2"/>
      <c r="MF67" s="2"/>
      <c r="MG67" s="2">
        <f>96+144+576+96</f>
        <v>912</v>
      </c>
      <c r="MH67" s="2">
        <f>384+432+192+192+288</f>
        <v>1488</v>
      </c>
      <c r="MI67" s="2">
        <f>144+144+336+96+1</f>
        <v>721</v>
      </c>
      <c r="MJ67" s="2">
        <f>48+144</f>
        <v>192</v>
      </c>
      <c r="MK67" s="2">
        <v>384</v>
      </c>
      <c r="ML67" s="2">
        <v>192</v>
      </c>
      <c r="MM67" s="2">
        <f>96+48</f>
        <v>144</v>
      </c>
      <c r="MN67" s="2">
        <v>1</v>
      </c>
      <c r="MO67" s="2"/>
      <c r="MP67" s="2">
        <v>192</v>
      </c>
      <c r="MQ67" s="2">
        <v>20</v>
      </c>
      <c r="MR67" s="2">
        <v>96</v>
      </c>
      <c r="MS67" s="2"/>
      <c r="MT67" s="2">
        <v>48</v>
      </c>
      <c r="MU67" s="2">
        <v>96</v>
      </c>
      <c r="MV67" s="2">
        <v>48</v>
      </c>
      <c r="MW67" s="2">
        <v>192</v>
      </c>
      <c r="MX67" s="2">
        <v>192</v>
      </c>
      <c r="MY67" s="2"/>
      <c r="MZ67" s="2">
        <f>288+192+32</f>
        <v>512</v>
      </c>
      <c r="NA67" s="2">
        <f>96+48</f>
        <v>144</v>
      </c>
      <c r="NB67" s="2">
        <v>240</v>
      </c>
      <c r="NC67" s="2">
        <v>192</v>
      </c>
      <c r="ND67" s="2">
        <v>96</v>
      </c>
      <c r="NE67" s="2">
        <f>96+144+96+144</f>
        <v>480</v>
      </c>
      <c r="NF67" s="2">
        <f>48+48</f>
        <v>96</v>
      </c>
      <c r="NG67" s="2">
        <f>192+288</f>
        <v>480</v>
      </c>
      <c r="NH67" s="2">
        <v>48</v>
      </c>
      <c r="NI67" s="2"/>
      <c r="NJ67" s="2">
        <v>384</v>
      </c>
      <c r="NK67" s="2"/>
      <c r="NL67" s="2">
        <f>192+96+48</f>
        <v>336</v>
      </c>
      <c r="NM67" s="2">
        <f>432+336+480+336+96</f>
        <v>1680</v>
      </c>
      <c r="NN67" s="2"/>
      <c r="NO67" s="2">
        <f>42+144+144+480</f>
        <v>810</v>
      </c>
      <c r="NP67" s="2">
        <f>288+96</f>
        <v>384</v>
      </c>
      <c r="NQ67" s="2"/>
      <c r="NR67" s="2"/>
      <c r="NS67" s="2">
        <v>384</v>
      </c>
      <c r="NT67" s="2"/>
      <c r="NU67" s="2"/>
      <c r="NV67" s="2">
        <f>192+96</f>
        <v>288</v>
      </c>
      <c r="NW67" s="2">
        <f>96+192+96+96</f>
        <v>480</v>
      </c>
      <c r="NX67" s="2"/>
      <c r="NY67" s="2"/>
      <c r="NZ67" s="2">
        <v>288</v>
      </c>
      <c r="OA67" s="2">
        <v>48</v>
      </c>
      <c r="OB67" s="2"/>
      <c r="OC67" s="2"/>
      <c r="OD67" s="2">
        <v>192</v>
      </c>
      <c r="OE67" s="2"/>
      <c r="OF67" s="2"/>
      <c r="OG67" s="2"/>
      <c r="OH67" s="2"/>
      <c r="OI67" s="2">
        <f>2+144</f>
        <v>146</v>
      </c>
      <c r="OJ67" s="2">
        <f>96+240+192</f>
        <v>528</v>
      </c>
      <c r="OK67" s="2">
        <f>96+96</f>
        <v>192</v>
      </c>
      <c r="OL67" s="2">
        <v>192</v>
      </c>
      <c r="OM67" s="2">
        <v>96</v>
      </c>
      <c r="ON67" s="2">
        <v>192</v>
      </c>
      <c r="OO67" s="2">
        <v>192</v>
      </c>
      <c r="OP67" s="2">
        <v>288</v>
      </c>
      <c r="OQ67" s="2">
        <f>1+240+240+144+96+192</f>
        <v>913</v>
      </c>
      <c r="OR67" s="2">
        <f>240+153+96</f>
        <v>489</v>
      </c>
      <c r="OS67" s="2">
        <f>144+72</f>
        <v>216</v>
      </c>
      <c r="OT67" s="2">
        <f>240+96+192</f>
        <v>528</v>
      </c>
      <c r="OU67" s="2">
        <v>192</v>
      </c>
      <c r="OV67" s="2">
        <v>2</v>
      </c>
      <c r="OW67" s="2">
        <f>48+288</f>
        <v>336</v>
      </c>
      <c r="OX67" s="2"/>
      <c r="OY67" s="2"/>
      <c r="OZ67" s="2">
        <f>96+144+48+144+144+192</f>
        <v>768</v>
      </c>
      <c r="PA67" s="2">
        <f>288+144+144+144+192+3</f>
        <v>915</v>
      </c>
      <c r="PB67" s="2"/>
      <c r="PC67" s="2"/>
      <c r="PD67" s="2">
        <f>288+144</f>
        <v>432</v>
      </c>
      <c r="PE67" s="2">
        <f>144+144+96</f>
        <v>384</v>
      </c>
      <c r="PF67" s="2">
        <f>48+96+192+144</f>
        <v>480</v>
      </c>
      <c r="PG67" s="2">
        <f>96+96+192</f>
        <v>384</v>
      </c>
      <c r="PH67" s="2"/>
      <c r="PI67" s="2"/>
      <c r="PJ67" s="2">
        <f>432+144</f>
        <v>576</v>
      </c>
      <c r="PK67" s="2">
        <f>96+144</f>
        <v>240</v>
      </c>
      <c r="PL67" s="2"/>
      <c r="PM67" s="2">
        <f>48</f>
        <v>48</v>
      </c>
      <c r="PN67" s="2"/>
      <c r="PO67" s="2"/>
      <c r="PP67" s="2"/>
      <c r="PQ67" s="2"/>
      <c r="PR67" s="2">
        <f>96+48</f>
        <v>144</v>
      </c>
      <c r="PS67" s="2">
        <v>144</v>
      </c>
      <c r="PT67" s="2">
        <v>96</v>
      </c>
      <c r="PU67" s="2"/>
      <c r="PV67" s="2">
        <f>96+96+2+144</f>
        <v>338</v>
      </c>
      <c r="PW67" s="2"/>
      <c r="PX67" s="2">
        <f>96+144</f>
        <v>240</v>
      </c>
      <c r="PY67" s="2">
        <v>144</v>
      </c>
      <c r="PZ67" s="2">
        <v>192</v>
      </c>
      <c r="QA67" s="2">
        <f>48+144+144+96</f>
        <v>432</v>
      </c>
      <c r="QB67" s="2">
        <v>96</v>
      </c>
      <c r="QC67" s="2">
        <f>96+288+48+48+48+48</f>
        <v>576</v>
      </c>
      <c r="QD67" s="2">
        <f>336+4</f>
        <v>340</v>
      </c>
      <c r="QE67" s="2"/>
      <c r="QF67" s="2">
        <v>1</v>
      </c>
      <c r="QG67" s="2"/>
      <c r="QH67" s="2"/>
      <c r="QI67" s="2">
        <f>96+240+1</f>
        <v>337</v>
      </c>
      <c r="QJ67" s="2">
        <f>4</f>
        <v>4</v>
      </c>
      <c r="QK67" s="2">
        <f>96+96</f>
        <v>192</v>
      </c>
      <c r="QL67" s="2"/>
      <c r="QM67" s="2">
        <f>144</f>
        <v>144</v>
      </c>
      <c r="QN67" s="2"/>
      <c r="QO67" s="2"/>
      <c r="QP67" s="2">
        <f>48+144</f>
        <v>192</v>
      </c>
      <c r="QQ67" s="2">
        <f>96</f>
        <v>96</v>
      </c>
      <c r="QR67" s="2"/>
      <c r="QS67" s="2">
        <f>144+144</f>
        <v>288</v>
      </c>
      <c r="QT67" s="2"/>
      <c r="QU67" s="2"/>
      <c r="QV67" s="2">
        <f>96</f>
        <v>96</v>
      </c>
      <c r="QW67" s="2"/>
      <c r="QX67" s="2">
        <f>240</f>
        <v>240</v>
      </c>
      <c r="QY67" s="2">
        <f>96</f>
        <v>96</v>
      </c>
      <c r="QZ67" s="2">
        <f>96</f>
        <v>96</v>
      </c>
      <c r="RA67" s="2">
        <f>96+96</f>
        <v>192</v>
      </c>
      <c r="RB67" s="2"/>
      <c r="RC67" s="2">
        <v>1</v>
      </c>
      <c r="RD67" s="2"/>
      <c r="RE67" s="2">
        <f>96+96+96</f>
        <v>288</v>
      </c>
      <c r="RF67" s="2"/>
      <c r="RG67" s="2">
        <v>96</v>
      </c>
      <c r="RH67" s="2">
        <f>1+144</f>
        <v>145</v>
      </c>
      <c r="RI67" s="2">
        <f>96+48</f>
        <v>144</v>
      </c>
      <c r="RJ67" s="2">
        <f>96</f>
        <v>96</v>
      </c>
      <c r="RK67" s="2">
        <f>96</f>
        <v>96</v>
      </c>
      <c r="RL67" s="2"/>
      <c r="RM67" s="2">
        <f>96</f>
        <v>96</v>
      </c>
      <c r="RN67" s="2">
        <f>96</f>
        <v>96</v>
      </c>
      <c r="RO67" s="2"/>
      <c r="RP67" s="2"/>
      <c r="RQ67" s="2">
        <v>1</v>
      </c>
      <c r="RR67" s="2"/>
      <c r="RS67" s="2"/>
      <c r="RT67" s="2"/>
      <c r="RU67" s="2"/>
      <c r="RV67" s="2"/>
      <c r="RW67" s="2"/>
      <c r="RX67" s="2">
        <f>192</f>
        <v>192</v>
      </c>
      <c r="RY67" s="2"/>
      <c r="RZ67" s="2"/>
      <c r="SA67" s="2">
        <f>144+96+144+1</f>
        <v>385</v>
      </c>
      <c r="SB67" s="2"/>
      <c r="SC67" s="2">
        <f>48</f>
        <v>48</v>
      </c>
      <c r="SD67" s="2">
        <f>144</f>
        <v>144</v>
      </c>
      <c r="SE67" s="2"/>
      <c r="SF67" s="2">
        <f>96+336+144</f>
        <v>576</v>
      </c>
      <c r="SG67" s="2"/>
      <c r="SH67" s="2">
        <f>192+144+144</f>
        <v>480</v>
      </c>
      <c r="SI67" s="2">
        <f>240+144+384+240+144+384</f>
        <v>1536</v>
      </c>
      <c r="SJ67" s="2">
        <f>288+144+1</f>
        <v>433</v>
      </c>
      <c r="SK67" s="2"/>
      <c r="SL67" s="2"/>
      <c r="SM67" s="2">
        <f>384</f>
        <v>384</v>
      </c>
      <c r="SN67" s="2">
        <f>384+144</f>
        <v>528</v>
      </c>
      <c r="SO67" s="2">
        <f>108</f>
        <v>108</v>
      </c>
      <c r="SP67" s="2">
        <f>96</f>
        <v>96</v>
      </c>
      <c r="SQ67" s="2"/>
      <c r="SR67" s="2">
        <f>1</f>
        <v>1</v>
      </c>
      <c r="SS67" s="2"/>
      <c r="ST67" s="2"/>
      <c r="SU67" s="2"/>
      <c r="SV67" s="2">
        <f>240</f>
        <v>240</v>
      </c>
      <c r="SW67" s="2">
        <f>96+240</f>
        <v>336</v>
      </c>
      <c r="SX67" s="2">
        <f>384</f>
        <v>384</v>
      </c>
      <c r="SY67" s="2"/>
      <c r="SZ67" s="2"/>
      <c r="TA67" s="2">
        <v>384</v>
      </c>
      <c r="TB67" s="2">
        <f>144+192+240+48+96+1+1</f>
        <v>722</v>
      </c>
      <c r="TC67" s="2"/>
      <c r="TD67" s="2">
        <v>1</v>
      </c>
      <c r="TE67" s="2">
        <f>1+48</f>
        <v>49</v>
      </c>
      <c r="TF67" s="2">
        <f>96+144+336</f>
        <v>576</v>
      </c>
      <c r="TG67" s="2">
        <f>96+240</f>
        <v>336</v>
      </c>
      <c r="TH67" s="2">
        <f>288+288+50+48</f>
        <v>674</v>
      </c>
      <c r="TI67" s="2"/>
      <c r="TJ67" s="2">
        <f>192+96</f>
        <v>288</v>
      </c>
      <c r="TK67" s="2">
        <f>144+240+144</f>
        <v>528</v>
      </c>
      <c r="TL67" s="2">
        <f>144+144</f>
        <v>288</v>
      </c>
      <c r="TM67" s="2">
        <f>96+240</f>
        <v>336</v>
      </c>
      <c r="TN67" s="2">
        <f>192+144+144</f>
        <v>480</v>
      </c>
      <c r="TO67" s="2">
        <f>288+96</f>
        <v>384</v>
      </c>
      <c r="TP67" s="2">
        <v>144</v>
      </c>
      <c r="TQ67" s="2">
        <f>192+144</f>
        <v>336</v>
      </c>
      <c r="TR67" s="2">
        <f>192+192</f>
        <v>384</v>
      </c>
      <c r="TS67" s="2">
        <v>96</v>
      </c>
      <c r="TT67" s="2">
        <v>144</v>
      </c>
      <c r="TU67" s="2">
        <v>96</v>
      </c>
      <c r="TV67" s="2">
        <v>288</v>
      </c>
      <c r="TW67" s="2">
        <f>240+1+1</f>
        <v>242</v>
      </c>
      <c r="TX67" s="2">
        <f>2+144+240</f>
        <v>386</v>
      </c>
      <c r="TY67" s="2"/>
      <c r="TZ67" s="2"/>
      <c r="UA67" s="2">
        <v>672</v>
      </c>
      <c r="UB67" s="2">
        <f>96+1</f>
        <v>97</v>
      </c>
      <c r="UC67" s="2">
        <v>2</v>
      </c>
      <c r="UD67" s="2">
        <v>192</v>
      </c>
      <c r="UE67" s="2"/>
      <c r="UF67" s="2">
        <v>1</v>
      </c>
      <c r="UG67" s="2"/>
      <c r="UH67" s="2"/>
      <c r="UI67" s="9">
        <f>288+384+144+144</f>
        <v>960</v>
      </c>
      <c r="UJ67" s="9">
        <f>96+144</f>
        <v>240</v>
      </c>
      <c r="UK67" s="9">
        <f>144+144</f>
        <v>288</v>
      </c>
      <c r="UL67" s="9">
        <f>48+96+192+384+240</f>
        <v>960</v>
      </c>
      <c r="UM67" s="2">
        <f>96+192</f>
        <v>288</v>
      </c>
      <c r="UN67" s="2">
        <f>144+384+96+144</f>
        <v>768</v>
      </c>
      <c r="UO67" s="2"/>
      <c r="UP67" s="2"/>
      <c r="UQ67" s="2">
        <f>480+2+96</f>
        <v>578</v>
      </c>
      <c r="UR67" s="2"/>
      <c r="US67" s="2">
        <f>1+144</f>
        <v>145</v>
      </c>
      <c r="UT67" s="2">
        <f>336+336</f>
        <v>672</v>
      </c>
      <c r="UU67" s="2">
        <v>96</v>
      </c>
      <c r="UV67" s="2">
        <v>144</v>
      </c>
      <c r="UW67" s="2"/>
      <c r="UX67" s="2">
        <v>1</v>
      </c>
      <c r="UY67" s="2">
        <f>144+144+144</f>
        <v>432</v>
      </c>
      <c r="UZ67" s="2"/>
      <c r="VA67" s="2"/>
      <c r="VB67" s="2"/>
      <c r="VC67" s="2">
        <f>48+96+48+1</f>
        <v>193</v>
      </c>
      <c r="VD67" s="2">
        <f>2+4</f>
        <v>6</v>
      </c>
      <c r="VE67" s="2"/>
      <c r="VF67" s="2"/>
      <c r="VG67" s="2">
        <v>96</v>
      </c>
      <c r="VH67" s="2"/>
      <c r="VI67" s="2"/>
      <c r="VJ67" s="2"/>
      <c r="VK67" s="2"/>
      <c r="VL67" s="2"/>
      <c r="VM67" s="2">
        <v>42</v>
      </c>
      <c r="VN67" s="2"/>
      <c r="VO67" s="2"/>
      <c r="VP67" s="2"/>
      <c r="VQ67" s="2">
        <f>1+2</f>
        <v>3</v>
      </c>
      <c r="VR67" s="2">
        <f>144+144</f>
        <v>288</v>
      </c>
      <c r="VS67" s="2">
        <f>96+144</f>
        <v>240</v>
      </c>
      <c r="VT67" s="2">
        <f>1+96+144</f>
        <v>241</v>
      </c>
      <c r="VU67" s="2">
        <v>144</v>
      </c>
      <c r="VV67" s="2">
        <v>96</v>
      </c>
      <c r="VW67" s="2">
        <v>144</v>
      </c>
      <c r="VX67" s="2">
        <f>144+336+96</f>
        <v>576</v>
      </c>
      <c r="VY67" s="2">
        <v>96</v>
      </c>
      <c r="VZ67" s="2">
        <f>144+144</f>
        <v>288</v>
      </c>
      <c r="WA67" s="2">
        <v>144</v>
      </c>
      <c r="WB67" s="2">
        <f>192+96+96</f>
        <v>384</v>
      </c>
      <c r="WC67" s="2">
        <f>96+48+96+144</f>
        <v>384</v>
      </c>
      <c r="WD67" s="2">
        <f>96+144+96+96</f>
        <v>432</v>
      </c>
      <c r="WE67" s="2">
        <f>144+96</f>
        <v>240</v>
      </c>
      <c r="WF67" s="2">
        <f>48+1</f>
        <v>49</v>
      </c>
      <c r="WG67" s="2"/>
      <c r="WH67" s="2"/>
      <c r="WI67" s="2">
        <v>42</v>
      </c>
      <c r="WJ67" s="2"/>
      <c r="WK67" s="2"/>
      <c r="WL67" s="2"/>
      <c r="WM67" s="2">
        <v>1</v>
      </c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>
        <v>192</v>
      </c>
      <c r="XR67" s="2">
        <f>48+192</f>
        <v>240</v>
      </c>
      <c r="XS67" s="2">
        <f>144+192+192+192</f>
        <v>720</v>
      </c>
      <c r="XT67" s="2"/>
      <c r="XU67" s="2"/>
      <c r="XV67" s="2">
        <v>1</v>
      </c>
      <c r="XW67" s="2"/>
      <c r="XX67" s="2">
        <f>1+1</f>
        <v>2</v>
      </c>
      <c r="XY67" s="2">
        <f>240+336+384+96</f>
        <v>1056</v>
      </c>
      <c r="XZ67" s="2">
        <v>432</v>
      </c>
      <c r="YA67" s="2">
        <v>192</v>
      </c>
      <c r="YB67" s="2">
        <f>384+384+1</f>
        <v>769</v>
      </c>
      <c r="YC67" s="2"/>
      <c r="YD67" s="2">
        <v>576</v>
      </c>
      <c r="YE67" s="2">
        <f>1+384+1</f>
        <v>386</v>
      </c>
      <c r="YF67" s="2"/>
      <c r="YG67" s="2">
        <v>384</v>
      </c>
      <c r="YH67" s="2">
        <f>240+288</f>
        <v>528</v>
      </c>
      <c r="YI67" s="2"/>
      <c r="YJ67" s="2"/>
      <c r="YK67" s="2">
        <f>288+69</f>
        <v>357</v>
      </c>
      <c r="YL67" s="2">
        <f>96+192</f>
        <v>288</v>
      </c>
      <c r="YM67" s="2">
        <f>1+1+1</f>
        <v>3</v>
      </c>
      <c r="YN67" s="2">
        <v>336</v>
      </c>
      <c r="YO67" s="2">
        <v>1</v>
      </c>
      <c r="YP67" s="2"/>
      <c r="YQ67" s="2">
        <v>1</v>
      </c>
      <c r="YR67" s="2"/>
      <c r="YS67" s="2"/>
      <c r="YT67" s="2"/>
      <c r="YU67" s="2"/>
      <c r="YV67" s="2"/>
      <c r="YW67" s="2"/>
      <c r="YX67" s="2"/>
      <c r="YY67" s="2"/>
      <c r="YZ67" s="2">
        <v>1</v>
      </c>
      <c r="ZA67" s="2"/>
      <c r="ZB67" s="2"/>
      <c r="ZC67" s="2"/>
      <c r="ZD67" s="2"/>
      <c r="ZE67" s="2"/>
      <c r="ZF67" s="2">
        <v>192</v>
      </c>
      <c r="ZG67" s="2"/>
      <c r="ZH67" s="2">
        <v>288</v>
      </c>
      <c r="ZI67" s="2"/>
      <c r="ZJ67" s="2">
        <f>288+96+240</f>
        <v>624</v>
      </c>
      <c r="ZK67" s="2">
        <v>144</v>
      </c>
      <c r="ZL67" s="2">
        <f>384+240</f>
        <v>624</v>
      </c>
      <c r="ZM67" s="2"/>
      <c r="ZN67" s="2"/>
      <c r="ZO67" s="2"/>
      <c r="ZP67" s="2"/>
      <c r="ZQ67" s="2">
        <v>192</v>
      </c>
      <c r="ZR67" s="2"/>
      <c r="ZS67" s="2">
        <f>2+48</f>
        <v>50</v>
      </c>
      <c r="ZT67" s="2"/>
      <c r="ZU67" s="2">
        <f>240+192</f>
        <v>432</v>
      </c>
      <c r="ZV67" s="2">
        <f>384+384+528</f>
        <v>1296</v>
      </c>
      <c r="ZW67" s="2">
        <f>384+144+288+144</f>
        <v>960</v>
      </c>
      <c r="ZX67" s="2"/>
      <c r="ZY67" s="2">
        <f>2+1</f>
        <v>3</v>
      </c>
      <c r="ZZ67" s="2">
        <f>288+144+384</f>
        <v>816</v>
      </c>
      <c r="AAA67" s="2">
        <v>384</v>
      </c>
      <c r="AAB67" s="2"/>
      <c r="AAC67" s="2"/>
      <c r="AAD67" s="2">
        <f>144+1+1</f>
        <v>146</v>
      </c>
      <c r="AAE67" s="2"/>
      <c r="AAF67" s="2">
        <v>144</v>
      </c>
      <c r="AAG67" s="2">
        <v>1</v>
      </c>
      <c r="AAH67" s="2"/>
      <c r="AAI67" s="2">
        <v>48</v>
      </c>
      <c r="AAJ67" s="2"/>
      <c r="AAK67" s="2">
        <v>1</v>
      </c>
      <c r="AAL67" s="2"/>
      <c r="AAM67" s="2">
        <f>1+1+1</f>
        <v>3</v>
      </c>
      <c r="AAN67" s="2"/>
      <c r="AAO67" s="2"/>
      <c r="AAP67" s="2">
        <f>384+240+480</f>
        <v>1104</v>
      </c>
      <c r="AAQ67" s="2">
        <f>144+48+144</f>
        <v>336</v>
      </c>
      <c r="AAR67" s="2">
        <v>528</v>
      </c>
      <c r="AAS67" s="2"/>
      <c r="AAT67" s="2">
        <v>528</v>
      </c>
      <c r="AAU67" s="2">
        <f>144+1008+48+240</f>
        <v>1440</v>
      </c>
      <c r="AAV67" s="2">
        <v>96</v>
      </c>
      <c r="AAW67" s="2">
        <v>192</v>
      </c>
      <c r="AAX67" s="2">
        <v>2</v>
      </c>
      <c r="AAY67" s="2">
        <v>48</v>
      </c>
      <c r="AAZ67" s="2">
        <f>48+816+144+192+144+1</f>
        <v>1345</v>
      </c>
      <c r="ABA67" s="2"/>
      <c r="ABB67" s="2">
        <v>144</v>
      </c>
      <c r="ABC67" s="2"/>
      <c r="ABD67" s="2"/>
      <c r="ABE67" s="2">
        <v>48</v>
      </c>
      <c r="ABF67" s="2">
        <v>96</v>
      </c>
      <c r="ABG67" s="2">
        <f>1+1</f>
        <v>2</v>
      </c>
      <c r="ABH67" s="2">
        <v>96</v>
      </c>
      <c r="ABI67" s="2">
        <f>144+192</f>
        <v>336</v>
      </c>
      <c r="ABJ67" s="2">
        <f>240+48</f>
        <v>288</v>
      </c>
      <c r="ABK67" s="2">
        <f>384+336</f>
        <v>720</v>
      </c>
      <c r="ABL67" s="2"/>
      <c r="ABM67" s="2">
        <v>1</v>
      </c>
      <c r="ABN67" s="2">
        <f>144+144+144</f>
        <v>432</v>
      </c>
      <c r="ABO67" s="2"/>
      <c r="ABP67" s="2">
        <f>3+192</f>
        <v>195</v>
      </c>
      <c r="ABQ67" s="2"/>
      <c r="ABR67" s="2">
        <v>96</v>
      </c>
      <c r="ABS67" s="2">
        <f>240+192</f>
        <v>432</v>
      </c>
      <c r="ABT67" s="2">
        <f>96+192</f>
        <v>288</v>
      </c>
      <c r="ABU67" s="2">
        <f>5+96</f>
        <v>101</v>
      </c>
      <c r="ABV67" s="2"/>
      <c r="ABW67" s="2"/>
      <c r="ABX67" s="2"/>
      <c r="ABY67" s="2">
        <f>1+1+288</f>
        <v>290</v>
      </c>
      <c r="ABZ67" s="2">
        <f>192+192</f>
        <v>384</v>
      </c>
      <c r="ACA67" s="2">
        <f>240+48+144+96</f>
        <v>528</v>
      </c>
      <c r="ACB67" s="2">
        <f>144+240</f>
        <v>384</v>
      </c>
      <c r="ACC67" s="2">
        <f>96+1</f>
        <v>97</v>
      </c>
      <c r="ACD67" s="2">
        <v>480</v>
      </c>
      <c r="ACE67" s="2">
        <f>96+144</f>
        <v>240</v>
      </c>
      <c r="ACF67" s="2"/>
      <c r="ACG67" s="2"/>
      <c r="ACH67" s="2"/>
      <c r="ACI67" s="2">
        <v>96</v>
      </c>
      <c r="ACJ67" s="2">
        <f>96+144+96</f>
        <v>336</v>
      </c>
      <c r="ACK67" s="2">
        <f>144+144</f>
        <v>288</v>
      </c>
      <c r="ACL67" s="2">
        <v>480</v>
      </c>
      <c r="ACM67" s="2"/>
      <c r="ACN67" s="2">
        <v>96</v>
      </c>
      <c r="ACO67" s="2">
        <v>96</v>
      </c>
      <c r="ACP67" s="2"/>
      <c r="ACQ67" s="2">
        <f>96+48</f>
        <v>144</v>
      </c>
      <c r="ACR67" s="2">
        <v>48</v>
      </c>
      <c r="ACS67" s="2">
        <f>1+96</f>
        <v>97</v>
      </c>
      <c r="ACT67" s="2"/>
      <c r="ACU67" s="2">
        <f>96+162</f>
        <v>258</v>
      </c>
      <c r="ACV67" s="2"/>
      <c r="ACW67" s="2">
        <f>96+1</f>
        <v>97</v>
      </c>
      <c r="ACX67" s="2"/>
      <c r="ACY67" s="2"/>
      <c r="ACZ67" s="2"/>
      <c r="ADA67" s="2">
        <v>384</v>
      </c>
      <c r="ADB67" s="2"/>
      <c r="ADC67" s="2"/>
      <c r="ADD67" s="2"/>
      <c r="ADE67" s="2"/>
      <c r="ADF67" s="2"/>
      <c r="ADG67" s="2"/>
      <c r="ADH67" s="2"/>
      <c r="ADI67" s="2">
        <v>1</v>
      </c>
      <c r="ADJ67" s="2"/>
      <c r="ADK67" s="2"/>
      <c r="ADL67" s="2"/>
      <c r="ADM67" s="2"/>
      <c r="ADN67" s="2">
        <f>480+192</f>
        <v>672</v>
      </c>
      <c r="ADO67" s="2">
        <v>240</v>
      </c>
      <c r="ADP67" s="2">
        <f>672+48+192+384+336</f>
        <v>1632</v>
      </c>
      <c r="ADQ67" s="2"/>
      <c r="ADR67" s="2">
        <f>384+192</f>
        <v>576</v>
      </c>
      <c r="ADS67" s="2">
        <f>240+144</f>
        <v>384</v>
      </c>
      <c r="ADT67" s="2">
        <f>192+240</f>
        <v>432</v>
      </c>
      <c r="ADU67" s="2">
        <f>48+144</f>
        <v>192</v>
      </c>
      <c r="ADV67" s="2"/>
      <c r="ADW67" s="2">
        <f>192+144</f>
        <v>336</v>
      </c>
      <c r="ADX67" s="2">
        <v>384</v>
      </c>
      <c r="ADY67" s="2">
        <v>192</v>
      </c>
      <c r="ADZ67" s="2"/>
      <c r="AEA67" s="2">
        <v>144</v>
      </c>
      <c r="AEB67" s="2"/>
      <c r="AEC67" s="2"/>
      <c r="AED67" s="2">
        <f>96+48+2</f>
        <v>146</v>
      </c>
      <c r="AEE67" s="2">
        <f>1+1</f>
        <v>2</v>
      </c>
      <c r="AEF67" s="2">
        <v>48</v>
      </c>
      <c r="AEG67" s="2">
        <v>240</v>
      </c>
      <c r="AEH67" s="2">
        <v>144</v>
      </c>
      <c r="AEI67" s="2">
        <f>96+96</f>
        <v>192</v>
      </c>
      <c r="AEJ67" s="2"/>
      <c r="AEK67" s="2">
        <f>48+144</f>
        <v>192</v>
      </c>
      <c r="AEL67" s="2"/>
      <c r="AEM67" s="2"/>
      <c r="AEN67" s="2"/>
      <c r="AEO67" s="2"/>
      <c r="AEP67" s="2">
        <f>144+192+1</f>
        <v>337</v>
      </c>
      <c r="AEQ67" s="2">
        <f>96+192+384+240</f>
        <v>912</v>
      </c>
      <c r="AER67" s="2"/>
      <c r="AES67" s="2">
        <f>144+96</f>
        <v>240</v>
      </c>
      <c r="AET67" s="2"/>
      <c r="AEU67" s="2"/>
      <c r="AEV67" s="2"/>
      <c r="AEW67" s="2">
        <v>96</v>
      </c>
      <c r="AEX67" s="2"/>
      <c r="AEY67" s="2"/>
      <c r="AEZ67" s="2"/>
      <c r="AFA67" s="2">
        <f>192+144+288</f>
        <v>624</v>
      </c>
      <c r="AFB67" s="2">
        <v>192</v>
      </c>
      <c r="AFC67" s="2"/>
      <c r="AFD67" s="2"/>
      <c r="AFE67" s="2">
        <f>144+240</f>
        <v>384</v>
      </c>
      <c r="AFF67" s="2"/>
      <c r="AFG67" s="2"/>
      <c r="AFH67" s="2"/>
      <c r="AFI67" s="2"/>
      <c r="AFJ67" s="2"/>
      <c r="AFK67" s="2"/>
      <c r="AFL67" s="2">
        <f t="shared" si="0"/>
        <v>136267</v>
      </c>
    </row>
    <row r="68" spans="1:844" s="11" customFormat="1" ht="15" customHeight="1" x14ac:dyDescent="0.3">
      <c r="B68" s="91">
        <v>44243809</v>
      </c>
      <c r="C68" s="54" t="s">
        <v>139</v>
      </c>
      <c r="D68" s="35">
        <v>209</v>
      </c>
      <c r="E68" s="2"/>
      <c r="F68" s="2"/>
      <c r="G68" s="2">
        <v>32</v>
      </c>
      <c r="H68" s="2"/>
      <c r="I68" s="2">
        <v>24</v>
      </c>
      <c r="J68" s="2"/>
      <c r="K68" s="2"/>
      <c r="L68" s="2">
        <f>32+64</f>
        <v>96</v>
      </c>
      <c r="M68" s="2">
        <f>32+32+16</f>
        <v>80</v>
      </c>
      <c r="N68" s="2"/>
      <c r="O68" s="2">
        <f>32</f>
        <v>32</v>
      </c>
      <c r="P68" s="2">
        <f>16+16</f>
        <v>32</v>
      </c>
      <c r="Q68" s="2">
        <v>16</v>
      </c>
      <c r="R68" s="2"/>
      <c r="S68" s="2"/>
      <c r="T68" s="2"/>
      <c r="U68" s="2">
        <v>16</v>
      </c>
      <c r="V68" s="2"/>
      <c r="W68" s="2">
        <v>32</v>
      </c>
      <c r="X68" s="2"/>
      <c r="Y68" s="2">
        <v>16</v>
      </c>
      <c r="Z68" s="2"/>
      <c r="AA68" s="2"/>
      <c r="AB68" s="2">
        <f>16+16</f>
        <v>32</v>
      </c>
      <c r="AC68" s="2"/>
      <c r="AD68" s="2"/>
      <c r="AE68" s="2">
        <v>24</v>
      </c>
      <c r="AF68" s="2">
        <f>32+32</f>
        <v>64</v>
      </c>
      <c r="AG68" s="2"/>
      <c r="AH68" s="2">
        <v>20</v>
      </c>
      <c r="AI68" s="2">
        <v>40</v>
      </c>
      <c r="AJ68" s="2">
        <v>16</v>
      </c>
      <c r="AK68" s="2"/>
      <c r="AL68" s="2"/>
      <c r="AM68" s="2">
        <f>24+16</f>
        <v>40</v>
      </c>
      <c r="AN68" s="2"/>
      <c r="AO68" s="2"/>
      <c r="AP68" s="2">
        <v>24</v>
      </c>
      <c r="AQ68" s="2"/>
      <c r="AR68" s="2"/>
      <c r="AS68" s="2"/>
      <c r="AT68" s="2">
        <v>8</v>
      </c>
      <c r="AU68" s="2"/>
      <c r="AV68" s="2"/>
      <c r="AW68" s="2">
        <f>16+16+12</f>
        <v>44</v>
      </c>
      <c r="AX68" s="2"/>
      <c r="AY68" s="2"/>
      <c r="AZ68" s="2">
        <v>16</v>
      </c>
      <c r="BA68" s="2">
        <v>16</v>
      </c>
      <c r="BB68" s="2">
        <v>24</v>
      </c>
      <c r="BC68" s="2">
        <f>16+12</f>
        <v>28</v>
      </c>
      <c r="BD68" s="2"/>
      <c r="BE68" s="2">
        <v>16</v>
      </c>
      <c r="BF68" s="2">
        <f>4+24</f>
        <v>28</v>
      </c>
      <c r="BG68" s="2"/>
      <c r="BH68" s="2"/>
      <c r="BI68" s="2">
        <v>20</v>
      </c>
      <c r="BJ68" s="2"/>
      <c r="BK68" s="2">
        <v>16</v>
      </c>
      <c r="BL68" s="2"/>
      <c r="BM68" s="2"/>
      <c r="BN68" s="2">
        <v>22</v>
      </c>
      <c r="BO68" s="2">
        <v>6</v>
      </c>
      <c r="BP68" s="2"/>
      <c r="BQ68" s="2"/>
      <c r="BR68" s="2"/>
      <c r="BS68" s="2"/>
      <c r="BT68" s="2"/>
      <c r="BU68" s="2">
        <f>40+8</f>
        <v>48</v>
      </c>
      <c r="BV68" s="2"/>
      <c r="BW68" s="2"/>
      <c r="BX68" s="2">
        <v>56</v>
      </c>
      <c r="BY68" s="2">
        <v>6</v>
      </c>
      <c r="BZ68" s="2"/>
      <c r="CA68" s="2"/>
      <c r="CB68" s="2"/>
      <c r="CC68" s="2"/>
      <c r="CD68" s="2">
        <v>48</v>
      </c>
      <c r="CE68" s="2"/>
      <c r="CF68" s="2"/>
      <c r="CG68" s="2">
        <v>8</v>
      </c>
      <c r="CH68" s="2">
        <v>24</v>
      </c>
      <c r="CI68" s="2"/>
      <c r="CJ68" s="2"/>
      <c r="CK68" s="2">
        <f>16+8</f>
        <v>24</v>
      </c>
      <c r="CL68" s="2">
        <v>16</v>
      </c>
      <c r="CM68" s="2">
        <v>24</v>
      </c>
      <c r="CN68" s="2">
        <v>8</v>
      </c>
      <c r="CO68" s="2">
        <v>16</v>
      </c>
      <c r="CP68" s="2"/>
      <c r="CQ68" s="2">
        <v>56</v>
      </c>
      <c r="CR68" s="2"/>
      <c r="CS68" s="2">
        <f>16+8+8</f>
        <v>32</v>
      </c>
      <c r="CT68" s="2">
        <f>12+12</f>
        <v>24</v>
      </c>
      <c r="CU68" s="2">
        <v>8</v>
      </c>
      <c r="CV68" s="2"/>
      <c r="CW68" s="2">
        <f>28+28+20</f>
        <v>76</v>
      </c>
      <c r="CX68" s="2"/>
      <c r="CY68" s="2"/>
      <c r="CZ68" s="2">
        <v>16</v>
      </c>
      <c r="DA68" s="2">
        <f>8+24</f>
        <v>32</v>
      </c>
      <c r="DB68" s="2"/>
      <c r="DC68" s="2"/>
      <c r="DD68" s="2"/>
      <c r="DE68" s="2"/>
      <c r="DF68" s="2"/>
      <c r="DG68" s="2"/>
      <c r="DH68" s="2"/>
      <c r="DI68" s="2">
        <v>16</v>
      </c>
      <c r="DJ68" s="2">
        <v>22</v>
      </c>
      <c r="DK68" s="2"/>
      <c r="DL68" s="2">
        <f>24+16</f>
        <v>40</v>
      </c>
      <c r="DM68" s="2"/>
      <c r="DN68" s="2"/>
      <c r="DO68" s="2"/>
      <c r="DP68" s="2"/>
      <c r="DQ68" s="2"/>
      <c r="DR68" s="2"/>
      <c r="DS68" s="2">
        <v>16</v>
      </c>
      <c r="DT68" s="2">
        <v>8</v>
      </c>
      <c r="DU68" s="2">
        <v>8</v>
      </c>
      <c r="DV68" s="2">
        <v>4</v>
      </c>
      <c r="DW68" s="2"/>
      <c r="DX68" s="2">
        <f>20+2</f>
        <v>22</v>
      </c>
      <c r="DY68" s="2"/>
      <c r="DZ68" s="2">
        <v>32</v>
      </c>
      <c r="EA68" s="2">
        <v>24</v>
      </c>
      <c r="EB68" s="2"/>
      <c r="EC68" s="2"/>
      <c r="ED68" s="2">
        <f>6+48</f>
        <v>54</v>
      </c>
      <c r="EE68" s="2">
        <f>8+20</f>
        <v>28</v>
      </c>
      <c r="EF68" s="2">
        <f>16+16+16+8</f>
        <v>56</v>
      </c>
      <c r="EG68" s="2">
        <v>8</v>
      </c>
      <c r="EH68" s="2">
        <v>12</v>
      </c>
      <c r="EI68" s="2"/>
      <c r="EJ68" s="2"/>
      <c r="EK68" s="2">
        <v>16</v>
      </c>
      <c r="EL68" s="2">
        <v>-1</v>
      </c>
      <c r="EM68" s="2"/>
      <c r="EN68" s="2">
        <v>36</v>
      </c>
      <c r="EO68" s="2"/>
      <c r="EP68" s="2">
        <f>48+8</f>
        <v>56</v>
      </c>
      <c r="EQ68" s="2">
        <v>32</v>
      </c>
      <c r="ER68" s="2">
        <v>12</v>
      </c>
      <c r="ES68" s="2"/>
      <c r="ET68" s="2"/>
      <c r="EU68" s="2">
        <v>26</v>
      </c>
      <c r="EV68" s="2">
        <v>16</v>
      </c>
      <c r="EW68" s="2"/>
      <c r="EX68" s="2"/>
      <c r="EY68" s="2"/>
      <c r="EZ68" s="2"/>
      <c r="FA68" s="2"/>
      <c r="FB68" s="2"/>
      <c r="FC68" s="2">
        <v>32</v>
      </c>
      <c r="FD68" s="2">
        <f>40+40</f>
        <v>80</v>
      </c>
      <c r="FE68" s="2"/>
      <c r="FF68" s="2">
        <v>16</v>
      </c>
      <c r="FG68" s="2"/>
      <c r="FH68" s="2"/>
      <c r="FI68" s="2"/>
      <c r="FJ68" s="2">
        <v>16</v>
      </c>
      <c r="FK68" s="2"/>
      <c r="FL68" s="2">
        <f>16+2</f>
        <v>18</v>
      </c>
      <c r="FM68" s="2">
        <f>16+16</f>
        <v>32</v>
      </c>
      <c r="FN68" s="2"/>
      <c r="FO68" s="2"/>
      <c r="FP68" s="2"/>
      <c r="FQ68" s="2"/>
      <c r="FR68" s="2"/>
      <c r="FS68" s="2"/>
      <c r="FT68" s="2">
        <v>16</v>
      </c>
      <c r="FU68" s="2">
        <v>24</v>
      </c>
      <c r="FV68" s="2"/>
      <c r="FW68" s="2">
        <v>16</v>
      </c>
      <c r="FX68" s="2">
        <f>9+40</f>
        <v>49</v>
      </c>
      <c r="FY68" s="2"/>
      <c r="FZ68" s="2"/>
      <c r="GA68" s="2"/>
      <c r="GB68" s="2"/>
      <c r="GC68" s="2">
        <v>48</v>
      </c>
      <c r="GD68" s="2"/>
      <c r="GE68" s="2"/>
      <c r="GF68" s="2">
        <f>24+8</f>
        <v>32</v>
      </c>
      <c r="GG68" s="2"/>
      <c r="GH68" s="2"/>
      <c r="GI68" s="2">
        <f>16+40</f>
        <v>56</v>
      </c>
      <c r="GJ68" s="2"/>
      <c r="GK68" s="2">
        <f>4+12</f>
        <v>16</v>
      </c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>
        <v>16</v>
      </c>
      <c r="GW68" s="2">
        <v>12</v>
      </c>
      <c r="GX68" s="2"/>
      <c r="GY68" s="2"/>
      <c r="GZ68" s="2"/>
      <c r="HA68" s="2"/>
      <c r="HB68" s="2">
        <f>12+24</f>
        <v>36</v>
      </c>
      <c r="HC68" s="2">
        <f>28+52</f>
        <v>80</v>
      </c>
      <c r="HD68" s="2">
        <v>4</v>
      </c>
      <c r="HE68" s="2">
        <v>8</v>
      </c>
      <c r="HF68" s="2"/>
      <c r="HG68" s="2">
        <f>8+12</f>
        <v>20</v>
      </c>
      <c r="HH68" s="2">
        <f>8+5</f>
        <v>13</v>
      </c>
      <c r="HI68" s="2"/>
      <c r="HJ68" s="2">
        <v>24</v>
      </c>
      <c r="HK68" s="2">
        <v>8</v>
      </c>
      <c r="HL68" s="2"/>
      <c r="HM68" s="2">
        <v>40</v>
      </c>
      <c r="HN68" s="2">
        <v>16</v>
      </c>
      <c r="HO68" s="2">
        <v>24</v>
      </c>
      <c r="HP68" s="2">
        <v>32</v>
      </c>
      <c r="HQ68" s="2">
        <v>20</v>
      </c>
      <c r="HR68" s="2">
        <v>8</v>
      </c>
      <c r="HS68" s="2"/>
      <c r="HT68" s="2"/>
      <c r="HU68" s="2">
        <f>16+28+16</f>
        <v>60</v>
      </c>
      <c r="HV68" s="2">
        <f>16+28+20</f>
        <v>64</v>
      </c>
      <c r="HW68" s="2"/>
      <c r="HX68" s="2">
        <v>24</v>
      </c>
      <c r="HY68" s="2"/>
      <c r="HZ68" s="2">
        <v>32</v>
      </c>
      <c r="IA68" s="2"/>
      <c r="IB68" s="2"/>
      <c r="IC68" s="2"/>
      <c r="ID68" s="2">
        <f>32+8</f>
        <v>40</v>
      </c>
      <c r="IE68" s="2">
        <f>40+16</f>
        <v>56</v>
      </c>
      <c r="IF68" s="2">
        <f>8+12</f>
        <v>20</v>
      </c>
      <c r="IG68" s="2">
        <v>16</v>
      </c>
      <c r="IH68" s="2"/>
      <c r="II68" s="2">
        <f>28+8</f>
        <v>36</v>
      </c>
      <c r="IJ68" s="2"/>
      <c r="IK68" s="2"/>
      <c r="IL68" s="2"/>
      <c r="IM68" s="2"/>
      <c r="IN68" s="2">
        <f>8+20</f>
        <v>28</v>
      </c>
      <c r="IO68" s="2"/>
      <c r="IP68" s="2">
        <v>36</v>
      </c>
      <c r="IQ68" s="2">
        <v>12</v>
      </c>
      <c r="IR68" s="2"/>
      <c r="IS68" s="2"/>
      <c r="IT68" s="2">
        <v>16</v>
      </c>
      <c r="IU68" s="2">
        <v>8</v>
      </c>
      <c r="IV68" s="2">
        <v>12</v>
      </c>
      <c r="IW68" s="2">
        <v>40</v>
      </c>
      <c r="IX68" s="2"/>
      <c r="IY68" s="2">
        <v>40</v>
      </c>
      <c r="IZ68" s="2"/>
      <c r="JA68" s="2"/>
      <c r="JB68" s="2"/>
      <c r="JC68" s="2"/>
      <c r="JD68" s="2">
        <v>40</v>
      </c>
      <c r="JE68" s="2">
        <v>8</v>
      </c>
      <c r="JF68" s="2"/>
      <c r="JG68" s="2"/>
      <c r="JH68" s="2"/>
      <c r="JI68" s="2">
        <v>12</v>
      </c>
      <c r="JJ68" s="2"/>
      <c r="JK68" s="2">
        <v>8</v>
      </c>
      <c r="JL68" s="2"/>
      <c r="JM68" s="2"/>
      <c r="JN68" s="2">
        <v>16</v>
      </c>
      <c r="JO68" s="2">
        <v>16</v>
      </c>
      <c r="JP68" s="2">
        <v>8</v>
      </c>
      <c r="JQ68" s="2"/>
      <c r="JR68" s="2"/>
      <c r="JS68" s="2"/>
      <c r="JT68" s="2">
        <f>8+24</f>
        <v>32</v>
      </c>
      <c r="JU68" s="2"/>
      <c r="JV68" s="2"/>
      <c r="JW68" s="2">
        <v>4</v>
      </c>
      <c r="JX68" s="2"/>
      <c r="JY68" s="2">
        <v>8</v>
      </c>
      <c r="JZ68" s="2"/>
      <c r="KA68" s="2">
        <f>4+8+7</f>
        <v>19</v>
      </c>
      <c r="KB68" s="2"/>
      <c r="KC68" s="2"/>
      <c r="KD68" s="2"/>
      <c r="KE68" s="2"/>
      <c r="KF68" s="2">
        <v>8</v>
      </c>
      <c r="KG68" s="2">
        <v>8</v>
      </c>
      <c r="KH68" s="2">
        <f>16+24</f>
        <v>40</v>
      </c>
      <c r="KI68" s="2"/>
      <c r="KJ68" s="2"/>
      <c r="KK68" s="2"/>
      <c r="KL68" s="2"/>
      <c r="KM68" s="2"/>
      <c r="KN68" s="2"/>
      <c r="KO68" s="2"/>
      <c r="KP68" s="2"/>
      <c r="KQ68" s="2">
        <v>16</v>
      </c>
      <c r="KR68" s="2">
        <f>16+48</f>
        <v>64</v>
      </c>
      <c r="KS68" s="2">
        <f>48+48+32</f>
        <v>128</v>
      </c>
      <c r="KT68" s="2">
        <f>16+26+24</f>
        <v>66</v>
      </c>
      <c r="KU68" s="2">
        <v>8</v>
      </c>
      <c r="KV68" s="2"/>
      <c r="KW68" s="2">
        <v>44</v>
      </c>
      <c r="KX68" s="2"/>
      <c r="KY68" s="2">
        <f>4+32</f>
        <v>36</v>
      </c>
      <c r="KZ68" s="2">
        <v>8</v>
      </c>
      <c r="LA68" s="2"/>
      <c r="LB68" s="2"/>
      <c r="LC68" s="2">
        <f>16+24+4+16</f>
        <v>60</v>
      </c>
      <c r="LD68" s="2"/>
      <c r="LE68" s="2"/>
      <c r="LF68" s="2"/>
      <c r="LG68" s="2"/>
      <c r="LH68" s="2"/>
      <c r="LI68" s="2">
        <f>8+4</f>
        <v>12</v>
      </c>
      <c r="LJ68" s="2">
        <v>8</v>
      </c>
      <c r="LK68" s="2"/>
      <c r="LL68" s="2">
        <v>6</v>
      </c>
      <c r="LM68" s="2"/>
      <c r="LN68" s="2"/>
      <c r="LO68" s="2"/>
      <c r="LP68" s="2">
        <v>32</v>
      </c>
      <c r="LQ68" s="2">
        <v>24</v>
      </c>
      <c r="LR68" s="2">
        <f>8+100</f>
        <v>108</v>
      </c>
      <c r="LS68" s="2">
        <v>16</v>
      </c>
      <c r="LT68" s="2"/>
      <c r="LU68" s="2">
        <f>28+4+16+16+16</f>
        <v>80</v>
      </c>
      <c r="LV68" s="2">
        <f>16+16</f>
        <v>32</v>
      </c>
      <c r="LW68" s="2"/>
      <c r="LX68" s="2"/>
      <c r="LY68" s="2"/>
      <c r="LZ68" s="2"/>
      <c r="MA68" s="2">
        <v>24</v>
      </c>
      <c r="MB68" s="2">
        <v>36</v>
      </c>
      <c r="MC68" s="2"/>
      <c r="MD68" s="2">
        <f>40+8+32+16</f>
        <v>96</v>
      </c>
      <c r="ME68" s="2"/>
      <c r="MF68" s="2"/>
      <c r="MG68" s="2"/>
      <c r="MH68" s="2">
        <f>48+16</f>
        <v>64</v>
      </c>
      <c r="MI68" s="2">
        <v>24</v>
      </c>
      <c r="MJ68" s="2">
        <f>16+16</f>
        <v>32</v>
      </c>
      <c r="MK68" s="2">
        <v>16</v>
      </c>
      <c r="ML68" s="2">
        <v>4</v>
      </c>
      <c r="MM68" s="2">
        <f>8+12</f>
        <v>20</v>
      </c>
      <c r="MN68" s="2"/>
      <c r="MO68" s="2"/>
      <c r="MP68" s="2"/>
      <c r="MQ68" s="2"/>
      <c r="MR68" s="2">
        <f>1+42</f>
        <v>43</v>
      </c>
      <c r="MS68" s="2"/>
      <c r="MT68" s="2"/>
      <c r="MU68" s="2"/>
      <c r="MV68" s="2">
        <v>52</v>
      </c>
      <c r="MW68" s="2"/>
      <c r="MX68" s="2">
        <v>36</v>
      </c>
      <c r="MY68" s="2"/>
      <c r="MZ68" s="2">
        <v>16</v>
      </c>
      <c r="NA68" s="2">
        <v>16</v>
      </c>
      <c r="NB68" s="2">
        <f>12+24</f>
        <v>36</v>
      </c>
      <c r="NC68" s="2"/>
      <c r="ND68" s="2"/>
      <c r="NE68" s="2">
        <f>16</f>
        <v>16</v>
      </c>
      <c r="NF68" s="2">
        <f>4+24+60</f>
        <v>88</v>
      </c>
      <c r="NG68" s="2">
        <v>4</v>
      </c>
      <c r="NH68" s="2">
        <f>24+16</f>
        <v>40</v>
      </c>
      <c r="NI68" s="2">
        <v>8</v>
      </c>
      <c r="NJ68" s="2">
        <f>20+16</f>
        <v>36</v>
      </c>
      <c r="NK68" s="2"/>
      <c r="NL68" s="2">
        <v>16</v>
      </c>
      <c r="NM68" s="2">
        <v>16</v>
      </c>
      <c r="NN68" s="2">
        <f>16+32</f>
        <v>48</v>
      </c>
      <c r="NO68" s="2">
        <v>20</v>
      </c>
      <c r="NP68" s="2">
        <v>16</v>
      </c>
      <c r="NQ68" s="2"/>
      <c r="NR68" s="2"/>
      <c r="NS68" s="2">
        <f>32+32</f>
        <v>64</v>
      </c>
      <c r="NT68" s="2">
        <v>16</v>
      </c>
      <c r="NU68" s="2">
        <v>12</v>
      </c>
      <c r="NV68" s="2">
        <v>4</v>
      </c>
      <c r="NW68" s="2">
        <v>16</v>
      </c>
      <c r="NX68" s="2">
        <v>32</v>
      </c>
      <c r="NY68" s="2"/>
      <c r="NZ68" s="2"/>
      <c r="OA68" s="2">
        <v>33</v>
      </c>
      <c r="OB68" s="2">
        <v>24</v>
      </c>
      <c r="OC68" s="2"/>
      <c r="OD68" s="2">
        <v>16</v>
      </c>
      <c r="OE68" s="2"/>
      <c r="OF68" s="2"/>
      <c r="OG68" s="2"/>
      <c r="OH68" s="2">
        <f>32+8</f>
        <v>40</v>
      </c>
      <c r="OI68" s="2">
        <f>1</f>
        <v>1</v>
      </c>
      <c r="OJ68" s="2"/>
      <c r="OK68" s="2">
        <v>12</v>
      </c>
      <c r="OL68" s="2">
        <v>16</v>
      </c>
      <c r="OM68" s="2">
        <f>21+56</f>
        <v>77</v>
      </c>
      <c r="ON68" s="2"/>
      <c r="OO68" s="2">
        <f>8</f>
        <v>8</v>
      </c>
      <c r="OP68" s="2">
        <f>1+39+24</f>
        <v>64</v>
      </c>
      <c r="OQ68" s="2">
        <f>20+24+16+16+24</f>
        <v>100</v>
      </c>
      <c r="OR68" s="2">
        <f>32+12</f>
        <v>44</v>
      </c>
      <c r="OS68" s="2">
        <f>24+4</f>
        <v>28</v>
      </c>
      <c r="OT68" s="2">
        <f>80+16</f>
        <v>96</v>
      </c>
      <c r="OU68" s="2">
        <v>16</v>
      </c>
      <c r="OV68" s="2"/>
      <c r="OW68" s="2">
        <v>16</v>
      </c>
      <c r="OX68" s="2"/>
      <c r="OY68" s="2"/>
      <c r="OZ68" s="2">
        <f>8+8+16</f>
        <v>32</v>
      </c>
      <c r="PA68" s="2">
        <f>24+8+68+8+16</f>
        <v>124</v>
      </c>
      <c r="PB68" s="2"/>
      <c r="PC68" s="2"/>
      <c r="PD68" s="2">
        <f>16+16</f>
        <v>32</v>
      </c>
      <c r="PE68" s="2">
        <f>52+16+12</f>
        <v>80</v>
      </c>
      <c r="PF68" s="2">
        <f>8+8+8+8</f>
        <v>32</v>
      </c>
      <c r="PG68" s="2">
        <v>24</v>
      </c>
      <c r="PH68" s="2"/>
      <c r="PI68" s="2"/>
      <c r="PJ68" s="2">
        <f>16+20</f>
        <v>36</v>
      </c>
      <c r="PK68" s="2">
        <f>16+8</f>
        <v>24</v>
      </c>
      <c r="PL68" s="2"/>
      <c r="PM68" s="2"/>
      <c r="PN68" s="2">
        <f>8</f>
        <v>8</v>
      </c>
      <c r="PO68" s="2"/>
      <c r="PP68" s="2"/>
      <c r="PQ68" s="2"/>
      <c r="PR68" s="2">
        <f>16+4</f>
        <v>20</v>
      </c>
      <c r="PS68" s="2"/>
      <c r="PT68" s="2"/>
      <c r="PU68" s="2"/>
      <c r="PV68" s="2"/>
      <c r="PW68" s="2"/>
      <c r="PX68" s="2">
        <f>8+16+8</f>
        <v>32</v>
      </c>
      <c r="PY68" s="2"/>
      <c r="PZ68" s="2"/>
      <c r="QA68" s="2">
        <f>4</f>
        <v>4</v>
      </c>
      <c r="QB68" s="2">
        <v>8</v>
      </c>
      <c r="QC68" s="2">
        <f>8</f>
        <v>8</v>
      </c>
      <c r="QD68" s="2"/>
      <c r="QE68" s="2"/>
      <c r="QF68" s="2"/>
      <c r="QG68" s="2">
        <v>12</v>
      </c>
      <c r="QH68" s="2"/>
      <c r="QI68" s="2">
        <f>72</f>
        <v>72</v>
      </c>
      <c r="QJ68" s="2"/>
      <c r="QK68" s="2">
        <f>12+16+12</f>
        <v>40</v>
      </c>
      <c r="QL68" s="2"/>
      <c r="QM68" s="2">
        <f>16+16</f>
        <v>32</v>
      </c>
      <c r="QN68" s="2"/>
      <c r="QO68" s="2"/>
      <c r="QP68" s="2">
        <f>32+16</f>
        <v>48</v>
      </c>
      <c r="QQ68" s="2">
        <f>8</f>
        <v>8</v>
      </c>
      <c r="QR68" s="2">
        <f>8</f>
        <v>8</v>
      </c>
      <c r="QS68" s="2">
        <f>8+24</f>
        <v>32</v>
      </c>
      <c r="QT68" s="2"/>
      <c r="QU68" s="2"/>
      <c r="QV68" s="2">
        <f>8</f>
        <v>8</v>
      </c>
      <c r="QW68" s="2"/>
      <c r="QX68" s="2">
        <f>9</f>
        <v>9</v>
      </c>
      <c r="QY68" s="2">
        <f>20+4</f>
        <v>24</v>
      </c>
      <c r="QZ68" s="2">
        <f>8</f>
        <v>8</v>
      </c>
      <c r="RA68" s="2"/>
      <c r="RB68" s="2"/>
      <c r="RC68" s="2"/>
      <c r="RD68" s="2"/>
      <c r="RE68" s="2">
        <f>16+16</f>
        <v>32</v>
      </c>
      <c r="RF68" s="2"/>
      <c r="RG68" s="2"/>
      <c r="RH68" s="2"/>
      <c r="RI68" s="2"/>
      <c r="RJ68" s="2">
        <f>16</f>
        <v>16</v>
      </c>
      <c r="RK68" s="2"/>
      <c r="RL68" s="2"/>
      <c r="RM68" s="2">
        <f>12</f>
        <v>12</v>
      </c>
      <c r="RN68" s="2">
        <f>8</f>
        <v>8</v>
      </c>
      <c r="RO68" s="2"/>
      <c r="RP68" s="2"/>
      <c r="RQ68" s="2"/>
      <c r="RR68" s="2"/>
      <c r="RS68" s="2"/>
      <c r="RT68" s="2"/>
      <c r="RU68" s="2"/>
      <c r="RV68" s="2">
        <f>49</f>
        <v>49</v>
      </c>
      <c r="RW68" s="2"/>
      <c r="RX68" s="2">
        <f>21+16</f>
        <v>37</v>
      </c>
      <c r="RY68" s="2"/>
      <c r="RZ68" s="2">
        <f>16</f>
        <v>16</v>
      </c>
      <c r="SA68" s="2">
        <f>16+24</f>
        <v>40</v>
      </c>
      <c r="SB68" s="2"/>
      <c r="SC68" s="2">
        <f>16</f>
        <v>16</v>
      </c>
      <c r="SD68" s="2">
        <f>24</f>
        <v>24</v>
      </c>
      <c r="SE68" s="2"/>
      <c r="SF68" s="2">
        <f>3</f>
        <v>3</v>
      </c>
      <c r="SG68" s="2"/>
      <c r="SH68" s="2">
        <f>4+16</f>
        <v>20</v>
      </c>
      <c r="SI68" s="2"/>
      <c r="SJ68" s="2"/>
      <c r="SK68" s="2"/>
      <c r="SL68" s="2"/>
      <c r="SM68" s="2"/>
      <c r="SN68" s="2">
        <f>36</f>
        <v>36</v>
      </c>
      <c r="SO68" s="2">
        <f>8</f>
        <v>8</v>
      </c>
      <c r="SP68" s="2">
        <f>6</f>
        <v>6</v>
      </c>
      <c r="SQ68" s="2"/>
      <c r="SR68" s="2"/>
      <c r="SS68" s="2"/>
      <c r="ST68" s="2"/>
      <c r="SU68" s="2">
        <f>16+24</f>
        <v>40</v>
      </c>
      <c r="SV68" s="2">
        <f>10+64</f>
        <v>74</v>
      </c>
      <c r="SW68" s="2">
        <f>16</f>
        <v>16</v>
      </c>
      <c r="SX68" s="2"/>
      <c r="SY68" s="2"/>
      <c r="SZ68" s="2"/>
      <c r="TA68" s="2">
        <f>16+1</f>
        <v>17</v>
      </c>
      <c r="TB68" s="2">
        <f>8+16</f>
        <v>24</v>
      </c>
      <c r="TC68" s="2"/>
      <c r="TD68" s="2"/>
      <c r="TE68" s="2">
        <v>28</v>
      </c>
      <c r="TF68" s="2">
        <f>12+32</f>
        <v>44</v>
      </c>
      <c r="TG68" s="2">
        <f>8+32</f>
        <v>40</v>
      </c>
      <c r="TH68" s="2">
        <f>8+16</f>
        <v>24</v>
      </c>
      <c r="TI68" s="2"/>
      <c r="TJ68" s="2">
        <f>24+16+56</f>
        <v>96</v>
      </c>
      <c r="TK68" s="2">
        <f>16+8</f>
        <v>24</v>
      </c>
      <c r="TL68" s="2"/>
      <c r="TM68" s="2">
        <f>8+34</f>
        <v>42</v>
      </c>
      <c r="TN68" s="2"/>
      <c r="TO68" s="2"/>
      <c r="TP68" s="2">
        <v>16</v>
      </c>
      <c r="TQ68" s="2">
        <f>16+24</f>
        <v>40</v>
      </c>
      <c r="TR68" s="2"/>
      <c r="TS68" s="2">
        <v>4</v>
      </c>
      <c r="TT68" s="2"/>
      <c r="TU68" s="2">
        <v>12</v>
      </c>
      <c r="TV68" s="2">
        <v>24</v>
      </c>
      <c r="TW68" s="2">
        <f>8+14</f>
        <v>22</v>
      </c>
      <c r="TX68" s="2"/>
      <c r="TY68" s="2"/>
      <c r="TZ68" s="2"/>
      <c r="UA68" s="2"/>
      <c r="UB68" s="2"/>
      <c r="UC68" s="2">
        <v>24</v>
      </c>
      <c r="UD68" s="2">
        <f>48+48</f>
        <v>96</v>
      </c>
      <c r="UE68" s="2">
        <v>40</v>
      </c>
      <c r="UF68" s="2"/>
      <c r="UG68" s="2"/>
      <c r="UH68" s="2"/>
      <c r="UI68" s="9">
        <v>12</v>
      </c>
      <c r="UJ68" s="9">
        <v>32</v>
      </c>
      <c r="UK68" s="9">
        <v>4</v>
      </c>
      <c r="UL68" s="9">
        <f>8+8+16+16+16</f>
        <v>64</v>
      </c>
      <c r="UM68" s="2">
        <f>16+24</f>
        <v>40</v>
      </c>
      <c r="UN68" s="2">
        <f>16+8+8+38+16+16+16</f>
        <v>118</v>
      </c>
      <c r="UO68" s="2">
        <f>2+16</f>
        <v>18</v>
      </c>
      <c r="UP68" s="2"/>
      <c r="UQ68" s="2">
        <f>16+12</f>
        <v>28</v>
      </c>
      <c r="UR68" s="2"/>
      <c r="US68" s="2">
        <v>24</v>
      </c>
      <c r="UT68" s="2">
        <v>8</v>
      </c>
      <c r="UU68" s="2">
        <f>4+16</f>
        <v>20</v>
      </c>
      <c r="UV68" s="2">
        <f>24+24</f>
        <v>48</v>
      </c>
      <c r="UW68" s="2"/>
      <c r="UX68" s="2">
        <v>8</v>
      </c>
      <c r="UY68" s="2">
        <f>16+12</f>
        <v>28</v>
      </c>
      <c r="UZ68" s="2"/>
      <c r="VA68" s="2"/>
      <c r="VB68" s="2"/>
      <c r="VC68" s="2">
        <f>24+16+8</f>
        <v>48</v>
      </c>
      <c r="VD68" s="2">
        <v>24</v>
      </c>
      <c r="VE68" s="2">
        <f>48+16</f>
        <v>64</v>
      </c>
      <c r="VF68" s="2">
        <v>8</v>
      </c>
      <c r="VG68" s="2">
        <f>16+48</f>
        <v>64</v>
      </c>
      <c r="VH68" s="2">
        <v>8</v>
      </c>
      <c r="VI68" s="2">
        <v>8</v>
      </c>
      <c r="VJ68" s="2">
        <v>64</v>
      </c>
      <c r="VK68" s="2">
        <v>23</v>
      </c>
      <c r="VL68" s="2"/>
      <c r="VM68" s="2"/>
      <c r="VN68" s="2"/>
      <c r="VO68" s="2"/>
      <c r="VP68" s="2"/>
      <c r="VQ68" s="2"/>
      <c r="VR68" s="2"/>
      <c r="VS68" s="2">
        <f>16+16</f>
        <v>32</v>
      </c>
      <c r="VT68" s="2">
        <f>2+32</f>
        <v>34</v>
      </c>
      <c r="VU68" s="2">
        <v>8</v>
      </c>
      <c r="VV68" s="2"/>
      <c r="VW68" s="2">
        <v>12</v>
      </c>
      <c r="VX68" s="2"/>
      <c r="VY68" s="2">
        <f>28+8</f>
        <v>36</v>
      </c>
      <c r="VZ68" s="2"/>
      <c r="WA68" s="2"/>
      <c r="WB68" s="2"/>
      <c r="WC68" s="2"/>
      <c r="WD68" s="2">
        <v>40</v>
      </c>
      <c r="WE68" s="2">
        <v>16</v>
      </c>
      <c r="WF68" s="2"/>
      <c r="WG68" s="2">
        <v>16</v>
      </c>
      <c r="WH68" s="2">
        <v>64</v>
      </c>
      <c r="WI68" s="2">
        <f>1+24</f>
        <v>25</v>
      </c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>
        <v>32</v>
      </c>
      <c r="WW68" s="2"/>
      <c r="WX68" s="2">
        <v>20</v>
      </c>
      <c r="WY68" s="2"/>
      <c r="WZ68" s="2"/>
      <c r="XA68" s="2"/>
      <c r="XB68" s="2"/>
      <c r="XC68" s="2"/>
      <c r="XD68" s="2"/>
      <c r="XE68" s="2"/>
      <c r="XF68" s="2"/>
      <c r="XG68" s="2"/>
      <c r="XH68" s="2">
        <v>44</v>
      </c>
      <c r="XI68" s="2"/>
      <c r="XJ68" s="2"/>
      <c r="XK68" s="2"/>
      <c r="XL68" s="2"/>
      <c r="XM68" s="2">
        <f>16+32</f>
        <v>48</v>
      </c>
      <c r="XN68" s="2">
        <v>16</v>
      </c>
      <c r="XO68" s="2"/>
      <c r="XP68" s="2">
        <v>36</v>
      </c>
      <c r="XQ68" s="2"/>
      <c r="XR68" s="2"/>
      <c r="XS68" s="2"/>
      <c r="XT68" s="2"/>
      <c r="XU68" s="2"/>
      <c r="XV68" s="2"/>
      <c r="XW68" s="2">
        <v>4</v>
      </c>
      <c r="XX68" s="2"/>
      <c r="XY68" s="2">
        <v>24</v>
      </c>
      <c r="XZ68" s="2">
        <v>16</v>
      </c>
      <c r="YA68" s="2">
        <v>32</v>
      </c>
      <c r="YB68" s="2">
        <f>16+8</f>
        <v>24</v>
      </c>
      <c r="YC68" s="2"/>
      <c r="YD68" s="2"/>
      <c r="YE68" s="2">
        <f>24+4</f>
        <v>28</v>
      </c>
      <c r="YF68" s="2"/>
      <c r="YG68" s="2"/>
      <c r="YH68" s="2"/>
      <c r="YI68" s="2"/>
      <c r="YJ68" s="2"/>
      <c r="YK68" s="2"/>
      <c r="YL68" s="2">
        <v>1</v>
      </c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>
        <v>80</v>
      </c>
      <c r="ZG68" s="2"/>
      <c r="ZH68" s="2"/>
      <c r="ZI68" s="2"/>
      <c r="ZJ68" s="2">
        <f>24+8+8+24</f>
        <v>64</v>
      </c>
      <c r="ZK68" s="2"/>
      <c r="ZL68" s="2">
        <f>24+16</f>
        <v>40</v>
      </c>
      <c r="ZM68" s="2"/>
      <c r="ZN68" s="2"/>
      <c r="ZO68" s="2"/>
      <c r="ZP68" s="2"/>
      <c r="ZQ68" s="2">
        <v>8</v>
      </c>
      <c r="ZR68" s="2"/>
      <c r="ZS68" s="2"/>
      <c r="ZT68" s="2"/>
      <c r="ZU68" s="2">
        <f>16+24</f>
        <v>40</v>
      </c>
      <c r="ZV68" s="2">
        <f>24+32+16</f>
        <v>72</v>
      </c>
      <c r="ZW68" s="2">
        <f>24+16+12+16</f>
        <v>68</v>
      </c>
      <c r="ZX68" s="2"/>
      <c r="ZY68" s="2"/>
      <c r="ZZ68" s="2">
        <v>11</v>
      </c>
      <c r="AAA68" s="2"/>
      <c r="AAB68" s="2"/>
      <c r="AAC68" s="2"/>
      <c r="AAD68" s="2"/>
      <c r="AAE68" s="2"/>
      <c r="AAF68" s="2">
        <v>52</v>
      </c>
      <c r="AAG68" s="2">
        <v>19</v>
      </c>
      <c r="AAH68" s="2"/>
      <c r="AAI68" s="2">
        <v>8</v>
      </c>
      <c r="AAJ68" s="2"/>
      <c r="AAK68" s="2"/>
      <c r="AAL68" s="2"/>
      <c r="AAM68" s="2"/>
      <c r="AAN68" s="2"/>
      <c r="AAO68" s="2"/>
      <c r="AAP68" s="2">
        <f>32+24+24</f>
        <v>80</v>
      </c>
      <c r="AAQ68" s="2">
        <f>16+8</f>
        <v>24</v>
      </c>
      <c r="AAR68" s="2"/>
      <c r="AAS68" s="2">
        <v>4</v>
      </c>
      <c r="AAT68" s="2"/>
      <c r="AAU68" s="2"/>
      <c r="AAV68" s="2">
        <v>64</v>
      </c>
      <c r="AAW68" s="2">
        <v>32</v>
      </c>
      <c r="AAX68" s="2"/>
      <c r="AAY68" s="2"/>
      <c r="AAZ68" s="2">
        <f>26+16+32</f>
        <v>74</v>
      </c>
      <c r="ABA68" s="2"/>
      <c r="ABB68" s="2"/>
      <c r="ABC68" s="2"/>
      <c r="ABD68" s="2">
        <v>48</v>
      </c>
      <c r="ABE68" s="2"/>
      <c r="ABF68" s="2">
        <f>36+16</f>
        <v>52</v>
      </c>
      <c r="ABG68" s="2"/>
      <c r="ABH68" s="2">
        <v>16</v>
      </c>
      <c r="ABI68" s="2">
        <v>64</v>
      </c>
      <c r="ABJ68" s="2">
        <v>8</v>
      </c>
      <c r="ABK68" s="2">
        <v>32</v>
      </c>
      <c r="ABL68" s="2"/>
      <c r="ABM68" s="2"/>
      <c r="ABN68" s="2">
        <f>50+4+8</f>
        <v>62</v>
      </c>
      <c r="ABO68" s="2">
        <v>30</v>
      </c>
      <c r="ABP68" s="2"/>
      <c r="ABQ68" s="2"/>
      <c r="ABR68" s="2"/>
      <c r="ABS68" s="2"/>
      <c r="ABT68" s="2">
        <f>2+2+32+8</f>
        <v>44</v>
      </c>
      <c r="ABU68" s="2"/>
      <c r="ABV68" s="2">
        <v>16</v>
      </c>
      <c r="ABW68" s="2"/>
      <c r="ABX68" s="2"/>
      <c r="ABY68" s="2"/>
      <c r="ABZ68" s="2">
        <f>8+8+42</f>
        <v>58</v>
      </c>
      <c r="ACA68" s="2">
        <f>16+4</f>
        <v>20</v>
      </c>
      <c r="ACB68" s="2">
        <f>16+17+16</f>
        <v>49</v>
      </c>
      <c r="ACC68" s="2">
        <v>8</v>
      </c>
      <c r="ACD68" s="2">
        <f>16+4</f>
        <v>20</v>
      </c>
      <c r="ACE68" s="2">
        <f>48+5+32</f>
        <v>85</v>
      </c>
      <c r="ACF68" s="2"/>
      <c r="ACG68" s="2"/>
      <c r="ACH68" s="2">
        <v>16</v>
      </c>
      <c r="ACI68" s="2">
        <v>24</v>
      </c>
      <c r="ACJ68" s="2">
        <v>8</v>
      </c>
      <c r="ACK68" s="2">
        <f>4+20</f>
        <v>24</v>
      </c>
      <c r="ACL68" s="2"/>
      <c r="ACM68" s="2"/>
      <c r="ACN68" s="2"/>
      <c r="ACO68" s="2">
        <v>48</v>
      </c>
      <c r="ACP68" s="2"/>
      <c r="ACQ68" s="2"/>
      <c r="ACR68" s="2"/>
      <c r="ACS68" s="2"/>
      <c r="ACT68" s="2"/>
      <c r="ACU68" s="2">
        <v>16</v>
      </c>
      <c r="ACV68" s="2"/>
      <c r="ACW68" s="2">
        <v>16</v>
      </c>
      <c r="ACX68" s="2">
        <v>16</v>
      </c>
      <c r="ACY68" s="2"/>
      <c r="ACZ68" s="2">
        <f>8+16</f>
        <v>24</v>
      </c>
      <c r="ADA68" s="2">
        <v>32</v>
      </c>
      <c r="ADB68" s="2"/>
      <c r="ADC68" s="2">
        <f>4+24+4</f>
        <v>32</v>
      </c>
      <c r="ADD68" s="2">
        <f>16+56+4</f>
        <v>76</v>
      </c>
      <c r="ADE68" s="2"/>
      <c r="ADF68" s="2">
        <f>4+12</f>
        <v>16</v>
      </c>
      <c r="ADG68" s="2"/>
      <c r="ADH68" s="2"/>
      <c r="ADI68" s="2"/>
      <c r="ADJ68" s="2"/>
      <c r="ADK68" s="2">
        <f>12+4+8+4</f>
        <v>28</v>
      </c>
      <c r="ADL68" s="2"/>
      <c r="ADM68" s="2">
        <v>48</v>
      </c>
      <c r="ADN68" s="2"/>
      <c r="ADO68" s="2">
        <v>16</v>
      </c>
      <c r="ADP68" s="2">
        <f>6+12</f>
        <v>18</v>
      </c>
      <c r="ADQ68" s="2">
        <f>32+1</f>
        <v>33</v>
      </c>
      <c r="ADR68" s="2">
        <f>38+10</f>
        <v>48</v>
      </c>
      <c r="ADS68" s="2">
        <v>24</v>
      </c>
      <c r="ADT68" s="2">
        <v>4</v>
      </c>
      <c r="ADU68" s="2">
        <f>8+20</f>
        <v>28</v>
      </c>
      <c r="ADV68" s="2"/>
      <c r="ADW68" s="2">
        <v>16</v>
      </c>
      <c r="ADX68" s="2">
        <v>32</v>
      </c>
      <c r="ADY68" s="2">
        <v>4</v>
      </c>
      <c r="ADZ68" s="2">
        <v>3</v>
      </c>
      <c r="AEA68" s="2"/>
      <c r="AEB68" s="2"/>
      <c r="AEC68" s="2"/>
      <c r="AED68" s="2">
        <v>14</v>
      </c>
      <c r="AEE68" s="2"/>
      <c r="AEF68" s="2">
        <v>24</v>
      </c>
      <c r="AEG68" s="2">
        <v>4</v>
      </c>
      <c r="AEH68" s="2">
        <f>6+40+8</f>
        <v>54</v>
      </c>
      <c r="AEI68" s="2">
        <f>32+12</f>
        <v>44</v>
      </c>
      <c r="AEJ68" s="2"/>
      <c r="AEK68" s="2">
        <v>4</v>
      </c>
      <c r="AEL68" s="2">
        <f>20+2</f>
        <v>22</v>
      </c>
      <c r="AEM68" s="2">
        <v>16</v>
      </c>
      <c r="AEN68" s="2"/>
      <c r="AEO68" s="2"/>
      <c r="AEP68" s="2">
        <v>36</v>
      </c>
      <c r="AEQ68" s="2">
        <f>24+16</f>
        <v>40</v>
      </c>
      <c r="AER68" s="2">
        <v>48</v>
      </c>
      <c r="AES68" s="2">
        <f>8</f>
        <v>8</v>
      </c>
      <c r="AET68" s="2"/>
      <c r="AEU68" s="2"/>
      <c r="AEV68" s="2">
        <v>24</v>
      </c>
      <c r="AEW68" s="2"/>
      <c r="AEX68" s="2"/>
      <c r="AEY68" s="2"/>
      <c r="AEZ68" s="2"/>
      <c r="AFA68" s="2"/>
      <c r="AFB68" s="2"/>
      <c r="AFC68" s="2"/>
      <c r="AFD68" s="12">
        <v>5</v>
      </c>
      <c r="AFE68" s="2">
        <v>16</v>
      </c>
      <c r="AFF68" s="2"/>
      <c r="AFG68" s="2"/>
      <c r="AFH68" s="2"/>
      <c r="AFI68" s="2"/>
      <c r="AFJ68" s="2"/>
      <c r="AFK68" s="2"/>
      <c r="AFL68" s="2">
        <f t="shared" si="0"/>
        <v>11397</v>
      </c>
    </row>
    <row r="69" spans="1:844" s="11" customFormat="1" ht="15" customHeight="1" x14ac:dyDescent="0.3">
      <c r="B69" s="42">
        <v>550038020</v>
      </c>
      <c r="C69" s="20" t="s">
        <v>139</v>
      </c>
      <c r="D69" s="35" t="s">
        <v>905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9"/>
      <c r="UJ69" s="9"/>
      <c r="UK69" s="9"/>
      <c r="UL69" s="9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  <c r="AAA69" s="2"/>
      <c r="AAB69" s="2"/>
      <c r="AAC69" s="2"/>
      <c r="AAD69" s="2"/>
      <c r="AAE69" s="2"/>
      <c r="AAF69" s="2"/>
      <c r="AAG69" s="2"/>
      <c r="AAH69" s="2"/>
      <c r="AAI69" s="2"/>
      <c r="AAJ69" s="2"/>
      <c r="AAK69" s="2"/>
      <c r="AAL69" s="2"/>
      <c r="AAM69" s="2"/>
      <c r="AAN69" s="2"/>
      <c r="AAO69" s="2"/>
      <c r="AAP69" s="2"/>
      <c r="AAQ69" s="2"/>
      <c r="AAR69" s="2"/>
      <c r="AAS69" s="2"/>
      <c r="AAT69" s="2"/>
      <c r="AAU69" s="2"/>
      <c r="AAV69" s="2"/>
      <c r="AAW69" s="2"/>
      <c r="AAX69" s="2"/>
      <c r="AAY69" s="2"/>
      <c r="AAZ69" s="2"/>
      <c r="ABA69" s="2"/>
      <c r="ABB69" s="2"/>
      <c r="ABC69" s="2"/>
      <c r="ABD69" s="2"/>
      <c r="ABE69" s="2"/>
      <c r="ABF69" s="2"/>
      <c r="ABG69" s="2"/>
      <c r="ABH69" s="2"/>
      <c r="ABI69" s="2"/>
      <c r="ABJ69" s="2"/>
      <c r="ABK69" s="2"/>
      <c r="ABL69" s="2"/>
      <c r="ABM69" s="2"/>
      <c r="ABN69" s="2"/>
      <c r="ABO69" s="2"/>
      <c r="ABP69" s="2"/>
      <c r="ABQ69" s="2"/>
      <c r="ABR69" s="2"/>
      <c r="ABS69" s="2"/>
      <c r="ABT69" s="2"/>
      <c r="ABU69" s="2"/>
      <c r="ABV69" s="2"/>
      <c r="ABW69" s="2"/>
      <c r="ABX69" s="2"/>
      <c r="ABY69" s="2"/>
      <c r="ABZ69" s="2"/>
      <c r="ACA69" s="2"/>
      <c r="ACB69" s="2"/>
      <c r="ACC69" s="2"/>
      <c r="ACD69" s="2"/>
      <c r="ACE69" s="2"/>
      <c r="ACF69" s="2"/>
      <c r="ACG69" s="2"/>
      <c r="ACH69" s="2"/>
      <c r="ACI69" s="2"/>
      <c r="ACJ69" s="2"/>
      <c r="ACK69" s="2"/>
      <c r="ACL69" s="2"/>
      <c r="ACM69" s="2"/>
      <c r="ACN69" s="2"/>
      <c r="ACO69" s="2"/>
      <c r="ACP69" s="2"/>
      <c r="ACQ69" s="2"/>
      <c r="ACR69" s="2"/>
      <c r="ACS69" s="2"/>
      <c r="ACT69" s="2"/>
      <c r="ACU69" s="2"/>
      <c r="ACV69" s="2"/>
      <c r="ACW69" s="2"/>
      <c r="ACX69" s="2"/>
      <c r="ACY69" s="2"/>
      <c r="ACZ69" s="2"/>
      <c r="ADA69" s="2"/>
      <c r="ADB69" s="2"/>
      <c r="ADC69" s="2"/>
      <c r="ADD69" s="2"/>
      <c r="ADE69" s="2"/>
      <c r="ADF69" s="2"/>
      <c r="ADG69" s="2"/>
      <c r="ADH69" s="2"/>
      <c r="ADI69" s="2"/>
      <c r="ADJ69" s="2"/>
      <c r="ADK69" s="2"/>
      <c r="ADL69" s="2"/>
      <c r="ADM69" s="2"/>
      <c r="ADN69" s="2"/>
      <c r="ADO69" s="2"/>
      <c r="ADP69" s="2"/>
      <c r="ADQ69" s="2"/>
      <c r="ADR69" s="2"/>
      <c r="ADS69" s="2"/>
      <c r="ADT69" s="2"/>
      <c r="ADU69" s="2"/>
      <c r="ADV69" s="2"/>
      <c r="ADW69" s="2"/>
      <c r="ADX69" s="2"/>
      <c r="ADY69" s="2"/>
      <c r="ADZ69" s="2"/>
      <c r="AEA69" s="2"/>
      <c r="AEB69" s="2"/>
      <c r="AEC69" s="2"/>
      <c r="AED69" s="2"/>
      <c r="AEE69" s="2"/>
      <c r="AEF69" s="2"/>
      <c r="AEG69" s="2"/>
      <c r="AEH69" s="2"/>
      <c r="AEI69" s="2"/>
      <c r="AEJ69" s="2"/>
      <c r="AEK69" s="2"/>
      <c r="AEL69" s="2"/>
      <c r="AEM69" s="2"/>
      <c r="AEN69" s="2"/>
      <c r="AEO69" s="2"/>
      <c r="AEP69" s="2"/>
      <c r="AEQ69" s="2"/>
      <c r="AER69" s="2"/>
      <c r="AES69" s="2">
        <v>16</v>
      </c>
      <c r="AET69" s="2"/>
      <c r="AEU69" s="2"/>
      <c r="AEV69" s="2"/>
      <c r="AEW69" s="2">
        <v>16</v>
      </c>
      <c r="AEX69" s="2">
        <v>19</v>
      </c>
      <c r="AEY69" s="2"/>
      <c r="AEZ69" s="2"/>
      <c r="AFA69" s="2">
        <f>8+4</f>
        <v>12</v>
      </c>
      <c r="AFB69" s="2"/>
      <c r="AFC69" s="2"/>
      <c r="AFD69" s="2"/>
      <c r="AFE69" s="2"/>
      <c r="AFF69" s="2"/>
      <c r="AFG69" s="2"/>
      <c r="AFH69" s="2"/>
      <c r="AFI69" s="2"/>
      <c r="AFJ69" s="2"/>
      <c r="AFK69" s="2"/>
      <c r="AFL69" s="2">
        <f t="shared" si="0"/>
        <v>63</v>
      </c>
    </row>
    <row r="70" spans="1:844" s="11" customFormat="1" x14ac:dyDescent="0.3">
      <c r="B70" s="91">
        <v>550045438</v>
      </c>
      <c r="C70" s="18" t="s">
        <v>141</v>
      </c>
      <c r="D70" s="35" t="s">
        <v>1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>
        <f>80+80+80+80+80</f>
        <v>400</v>
      </c>
      <c r="PA70" s="2">
        <f>80+80+80+80</f>
        <v>320</v>
      </c>
      <c r="PB70" s="2"/>
      <c r="PC70" s="2"/>
      <c r="PD70" s="2">
        <v>80</v>
      </c>
      <c r="PE70" s="2"/>
      <c r="PF70" s="2">
        <v>1</v>
      </c>
      <c r="PG70" s="2">
        <v>80</v>
      </c>
      <c r="PH70" s="2"/>
      <c r="PI70" s="2">
        <v>80</v>
      </c>
      <c r="PJ70" s="2"/>
      <c r="PK70" s="2">
        <v>80</v>
      </c>
      <c r="PL70" s="2"/>
      <c r="PM70" s="2"/>
      <c r="PN70" s="2">
        <f>160</f>
        <v>160</v>
      </c>
      <c r="PO70" s="2">
        <f>80</f>
        <v>80</v>
      </c>
      <c r="PP70" s="2"/>
      <c r="PQ70" s="2"/>
      <c r="PR70" s="2"/>
      <c r="PS70" s="2">
        <f>80+80</f>
        <v>160</v>
      </c>
      <c r="PT70" s="2"/>
      <c r="PU70" s="2"/>
      <c r="PV70" s="2">
        <v>80</v>
      </c>
      <c r="PW70" s="2"/>
      <c r="PX70" s="2"/>
      <c r="PY70" s="2"/>
      <c r="PZ70" s="2"/>
      <c r="QA70" s="2"/>
      <c r="QB70" s="2"/>
      <c r="QC70" s="2"/>
      <c r="QD70" s="2"/>
      <c r="QE70" s="2"/>
      <c r="QF70" s="2">
        <v>80</v>
      </c>
      <c r="QG70" s="2"/>
      <c r="QH70" s="2"/>
      <c r="QI70" s="2">
        <f>80</f>
        <v>80</v>
      </c>
      <c r="QJ70" s="2"/>
      <c r="QK70" s="2">
        <f>80</f>
        <v>80</v>
      </c>
      <c r="QL70" s="2">
        <f>80</f>
        <v>80</v>
      </c>
      <c r="QM70" s="2">
        <f>80</f>
        <v>80</v>
      </c>
      <c r="QN70" s="2">
        <v>1</v>
      </c>
      <c r="QO70" s="2"/>
      <c r="QP70" s="2"/>
      <c r="QQ70" s="2">
        <f>80</f>
        <v>80</v>
      </c>
      <c r="QR70" s="2"/>
      <c r="QS70" s="2"/>
      <c r="QT70" s="2"/>
      <c r="QU70" s="2"/>
      <c r="QV70" s="2"/>
      <c r="QW70" s="2">
        <f>80</f>
        <v>80</v>
      </c>
      <c r="QX70" s="2"/>
      <c r="QY70" s="2"/>
      <c r="QZ70" s="2"/>
      <c r="RA70" s="2">
        <f>80</f>
        <v>80</v>
      </c>
      <c r="RB70" s="2"/>
      <c r="RC70" s="2"/>
      <c r="RD70" s="2"/>
      <c r="RE70" s="2">
        <v>80</v>
      </c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>
        <f>1</f>
        <v>1</v>
      </c>
      <c r="SE70" s="2"/>
      <c r="SF70" s="2"/>
      <c r="SG70" s="2"/>
      <c r="SH70" s="2">
        <f>80</f>
        <v>80</v>
      </c>
      <c r="SI70" s="2"/>
      <c r="SJ70" s="2"/>
      <c r="SK70" s="2"/>
      <c r="SL70" s="2"/>
      <c r="SM70" s="2"/>
      <c r="SN70" s="2"/>
      <c r="SO70" s="2"/>
      <c r="SP70" s="2">
        <f>160+160</f>
        <v>320</v>
      </c>
      <c r="SQ70" s="2"/>
      <c r="SR70" s="2"/>
      <c r="SS70" s="2"/>
      <c r="ST70" s="2"/>
      <c r="SU70" s="2"/>
      <c r="SV70" s="2"/>
      <c r="SW70" s="2">
        <f>80+80</f>
        <v>160</v>
      </c>
      <c r="SX70" s="2"/>
      <c r="SY70" s="2">
        <f>80</f>
        <v>80</v>
      </c>
      <c r="SZ70" s="2"/>
      <c r="TA70" s="2"/>
      <c r="TB70" s="2">
        <v>80</v>
      </c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>
        <v>80</v>
      </c>
      <c r="TN70" s="2">
        <v>80</v>
      </c>
      <c r="TO70" s="2">
        <v>80</v>
      </c>
      <c r="TP70" s="2"/>
      <c r="TQ70" s="2">
        <v>80</v>
      </c>
      <c r="TR70" s="2"/>
      <c r="TS70" s="2"/>
      <c r="TT70" s="2"/>
      <c r="TU70" s="2"/>
      <c r="TV70" s="2"/>
      <c r="TW70" s="2"/>
      <c r="TX70" s="2">
        <v>80</v>
      </c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>
        <v>80</v>
      </c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>
        <v>80</v>
      </c>
      <c r="VJ70" s="2"/>
      <c r="VK70" s="2"/>
      <c r="VL70" s="2"/>
      <c r="VM70" s="2"/>
      <c r="VN70" s="2"/>
      <c r="VO70" s="2"/>
      <c r="VP70" s="2"/>
      <c r="VQ70" s="2"/>
      <c r="VR70" s="2"/>
      <c r="VS70" s="2">
        <v>80</v>
      </c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>
        <v>80</v>
      </c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>
        <v>80</v>
      </c>
      <c r="WW70" s="2">
        <v>80</v>
      </c>
      <c r="WX70" s="2"/>
      <c r="WY70" s="2"/>
      <c r="WZ70" s="2"/>
      <c r="XA70" s="2"/>
      <c r="XB70" s="2"/>
      <c r="XC70" s="2"/>
      <c r="XD70" s="2">
        <v>80</v>
      </c>
      <c r="XE70" s="2"/>
      <c r="XF70" s="2">
        <v>80</v>
      </c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>
        <v>160</v>
      </c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>
        <v>80</v>
      </c>
      <c r="YM70" s="2"/>
      <c r="YN70" s="2"/>
      <c r="YO70" s="2"/>
      <c r="YP70" s="2"/>
      <c r="YQ70" s="2"/>
      <c r="YR70" s="2"/>
      <c r="YS70" s="2"/>
      <c r="YT70" s="2"/>
      <c r="YU70" s="2"/>
      <c r="YV70" s="2">
        <v>80</v>
      </c>
      <c r="YW70" s="2"/>
      <c r="YX70" s="2"/>
      <c r="YY70" s="2"/>
      <c r="YZ70" s="2"/>
      <c r="ZA70" s="2">
        <v>1</v>
      </c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  <c r="AAA70" s="2"/>
      <c r="AAB70" s="2"/>
      <c r="AAC70" s="2"/>
      <c r="AAD70" s="2"/>
      <c r="AAE70" s="2"/>
      <c r="AAF70" s="2"/>
      <c r="AAG70" s="2"/>
      <c r="AAH70" s="2">
        <v>1</v>
      </c>
      <c r="AAI70" s="2"/>
      <c r="AAJ70" s="2"/>
      <c r="AAK70" s="2"/>
      <c r="AAL70" s="2"/>
      <c r="AAM70" s="2"/>
      <c r="AAN70" s="2"/>
      <c r="AAO70" s="2"/>
      <c r="AAP70" s="2"/>
      <c r="AAQ70" s="2"/>
      <c r="AAR70" s="2"/>
      <c r="AAS70" s="2"/>
      <c r="AAT70" s="2"/>
      <c r="AAU70" s="2"/>
      <c r="AAV70" s="2"/>
      <c r="AAW70" s="2"/>
      <c r="AAX70" s="2"/>
      <c r="AAY70" s="2"/>
      <c r="AAZ70" s="2"/>
      <c r="ABA70" s="2"/>
      <c r="ABB70" s="2"/>
      <c r="ABC70" s="2"/>
      <c r="ABD70" s="2"/>
      <c r="ABE70" s="2"/>
      <c r="ABF70" s="2"/>
      <c r="ABG70" s="2"/>
      <c r="ABH70" s="2"/>
      <c r="ABI70" s="2"/>
      <c r="ABJ70" s="2">
        <v>1</v>
      </c>
      <c r="ABK70" s="2">
        <v>80</v>
      </c>
      <c r="ABL70" s="2"/>
      <c r="ABM70" s="2"/>
      <c r="ABN70" s="2"/>
      <c r="ABO70" s="2"/>
      <c r="ABP70" s="2"/>
      <c r="ABQ70" s="2">
        <v>80</v>
      </c>
      <c r="ABR70" s="2"/>
      <c r="ABS70" s="2"/>
      <c r="ABT70" s="2"/>
      <c r="ABU70" s="2"/>
      <c r="ABV70" s="2"/>
      <c r="ABW70" s="2"/>
      <c r="ABX70" s="2"/>
      <c r="ABY70" s="2"/>
      <c r="ABZ70" s="2"/>
      <c r="ACA70" s="2"/>
      <c r="ACB70" s="2"/>
      <c r="ACC70" s="2"/>
      <c r="ACD70" s="2"/>
      <c r="ACE70" s="2">
        <f>80+80</f>
        <v>160</v>
      </c>
      <c r="ACF70" s="2"/>
      <c r="ACG70" s="2"/>
      <c r="ACH70" s="2"/>
      <c r="ACI70" s="2">
        <v>80</v>
      </c>
      <c r="ACJ70" s="2"/>
      <c r="ACK70" s="2"/>
      <c r="ACL70" s="2"/>
      <c r="ACM70" s="2"/>
      <c r="ACN70" s="2">
        <v>1</v>
      </c>
      <c r="ACO70" s="2"/>
      <c r="ACP70" s="2"/>
      <c r="ACQ70" s="2"/>
      <c r="ACR70" s="2"/>
      <c r="ACS70" s="2"/>
      <c r="ACT70" s="2"/>
      <c r="ACU70" s="2"/>
      <c r="ACV70" s="2"/>
      <c r="ACW70" s="2">
        <v>80</v>
      </c>
      <c r="ACX70" s="2"/>
      <c r="ACY70" s="2"/>
      <c r="ACZ70" s="2"/>
      <c r="ADA70" s="2"/>
      <c r="ADB70" s="2"/>
      <c r="ADC70" s="2">
        <v>80</v>
      </c>
      <c r="ADD70" s="2"/>
      <c r="ADE70" s="2"/>
      <c r="ADF70" s="2">
        <v>80</v>
      </c>
      <c r="ADG70" s="2"/>
      <c r="ADH70" s="2"/>
      <c r="ADI70" s="2"/>
      <c r="ADJ70" s="2"/>
      <c r="ADK70" s="2"/>
      <c r="ADL70" s="2">
        <v>1</v>
      </c>
      <c r="ADM70" s="2"/>
      <c r="ADN70" s="2"/>
      <c r="ADO70" s="2"/>
      <c r="ADP70" s="2"/>
      <c r="ADQ70" s="2"/>
      <c r="ADR70" s="2"/>
      <c r="ADS70" s="2"/>
      <c r="ADT70" s="2"/>
      <c r="ADU70" s="2"/>
      <c r="ADV70" s="2"/>
      <c r="ADW70" s="2"/>
      <c r="ADX70" s="2"/>
      <c r="ADY70" s="2"/>
      <c r="ADZ70" s="2"/>
      <c r="AEA70" s="2"/>
      <c r="AEB70" s="2"/>
      <c r="AEC70" s="2"/>
      <c r="AED70" s="2"/>
      <c r="AEE70" s="2"/>
      <c r="AEF70" s="2"/>
      <c r="AEG70" s="2"/>
      <c r="AEH70" s="2"/>
      <c r="AEI70" s="2">
        <v>40</v>
      </c>
      <c r="AEJ70" s="2"/>
      <c r="AEK70" s="2"/>
      <c r="AEL70" s="2"/>
      <c r="AEM70" s="2"/>
      <c r="AEN70" s="2"/>
      <c r="AEO70" s="2"/>
      <c r="AEP70" s="2"/>
      <c r="AEQ70" s="2"/>
      <c r="AER70" s="2"/>
      <c r="AES70" s="2"/>
      <c r="AET70" s="12">
        <v>1</v>
      </c>
      <c r="AEU70" s="2"/>
      <c r="AEV70" s="2"/>
      <c r="AEW70" s="2"/>
      <c r="AEX70" s="2"/>
      <c r="AEY70" s="2"/>
      <c r="AEZ70" s="2"/>
      <c r="AFA70" s="2"/>
      <c r="AFB70" s="2"/>
      <c r="AFC70" s="2"/>
      <c r="AFD70" s="2"/>
      <c r="AFE70" s="2"/>
      <c r="AFF70" s="2"/>
      <c r="AFG70" s="2"/>
      <c r="AFH70" s="2"/>
      <c r="AFI70" s="2"/>
      <c r="AFJ70" s="2"/>
      <c r="AFK70" s="2"/>
      <c r="AFL70" s="2">
        <f t="shared" si="0"/>
        <v>5009</v>
      </c>
    </row>
    <row r="71" spans="1:844" s="11" customFormat="1" x14ac:dyDescent="0.3">
      <c r="B71" s="91">
        <v>44414855</v>
      </c>
      <c r="C71" s="13" t="s">
        <v>143</v>
      </c>
      <c r="D71" s="35" t="s">
        <v>4</v>
      </c>
      <c r="E71" s="2"/>
      <c r="F71" s="2"/>
      <c r="G71" s="2"/>
      <c r="H71" s="2">
        <v>240</v>
      </c>
      <c r="I71" s="2">
        <f>48+48+48+336</f>
        <v>480</v>
      </c>
      <c r="J71" s="2"/>
      <c r="K71" s="2"/>
      <c r="L71" s="2"/>
      <c r="M71" s="2">
        <v>48</v>
      </c>
      <c r="N71" s="2">
        <v>192</v>
      </c>
      <c r="O71" s="2"/>
      <c r="P71" s="2">
        <v>144</v>
      </c>
      <c r="Q71" s="2">
        <v>192</v>
      </c>
      <c r="R71" s="2"/>
      <c r="S71" s="2"/>
      <c r="T71" s="2"/>
      <c r="U71" s="2">
        <v>240</v>
      </c>
      <c r="V71" s="2"/>
      <c r="W71" s="2">
        <v>48</v>
      </c>
      <c r="X71" s="2"/>
      <c r="Y71" s="2">
        <v>144</v>
      </c>
      <c r="Z71" s="2">
        <f>240</f>
        <v>240</v>
      </c>
      <c r="AA71" s="2">
        <v>192</v>
      </c>
      <c r="AB71" s="2">
        <v>192</v>
      </c>
      <c r="AC71" s="2"/>
      <c r="AD71" s="2">
        <v>48</v>
      </c>
      <c r="AE71" s="2">
        <v>192</v>
      </c>
      <c r="AF71" s="2">
        <v>144</v>
      </c>
      <c r="AG71" s="2"/>
      <c r="AH71" s="2">
        <v>192</v>
      </c>
      <c r="AI71" s="2"/>
      <c r="AJ71" s="2">
        <v>48</v>
      </c>
      <c r="AK71" s="2">
        <v>1</v>
      </c>
      <c r="AL71" s="2"/>
      <c r="AM71" s="2">
        <f>144+96+96</f>
        <v>336</v>
      </c>
      <c r="AN71" s="2"/>
      <c r="AO71" s="2"/>
      <c r="AP71" s="2">
        <v>96</v>
      </c>
      <c r="AQ71" s="2"/>
      <c r="AR71" s="2"/>
      <c r="AS71" s="2">
        <v>48</v>
      </c>
      <c r="AT71" s="2">
        <v>144</v>
      </c>
      <c r="AU71" s="2"/>
      <c r="AV71" s="2">
        <v>1</v>
      </c>
      <c r="AW71" s="2"/>
      <c r="AX71" s="2"/>
      <c r="AY71" s="2"/>
      <c r="AZ71" s="2"/>
      <c r="BA71" s="2"/>
      <c r="BB71" s="2"/>
      <c r="BC71" s="2"/>
      <c r="BD71" s="2">
        <v>-3</v>
      </c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  <c r="AAA71" s="2"/>
      <c r="AAB71" s="2"/>
      <c r="AAC71" s="2"/>
      <c r="AAD71" s="2"/>
      <c r="AAE71" s="2"/>
      <c r="AAF71" s="2"/>
      <c r="AAG71" s="2"/>
      <c r="AAH71" s="2"/>
      <c r="AAI71" s="2"/>
      <c r="AAJ71" s="2"/>
      <c r="AAK71" s="2"/>
      <c r="AAL71" s="2"/>
      <c r="AAM71" s="2"/>
      <c r="AAN71" s="2"/>
      <c r="AAO71" s="2"/>
      <c r="AAP71" s="2"/>
      <c r="AAQ71" s="2"/>
      <c r="AAR71" s="2"/>
      <c r="AAS71" s="2"/>
      <c r="AAT71" s="2"/>
      <c r="AAU71" s="2"/>
      <c r="AAV71" s="2"/>
      <c r="AAW71" s="2"/>
      <c r="AAX71" s="2"/>
      <c r="AAY71" s="2"/>
      <c r="AAZ71" s="2"/>
      <c r="ABA71" s="2"/>
      <c r="ABB71" s="2"/>
      <c r="ABC71" s="2"/>
      <c r="ABD71" s="2"/>
      <c r="ABE71" s="2"/>
      <c r="ABF71" s="2"/>
      <c r="ABG71" s="2"/>
      <c r="ABH71" s="2"/>
      <c r="ABI71" s="2"/>
      <c r="ABJ71" s="2"/>
      <c r="ABK71" s="2"/>
      <c r="ABL71" s="2"/>
      <c r="ABM71" s="2"/>
      <c r="ABN71" s="2"/>
      <c r="ABO71" s="2"/>
      <c r="ABP71" s="2"/>
      <c r="ABQ71" s="2"/>
      <c r="ABR71" s="2"/>
      <c r="ABS71" s="2"/>
      <c r="ABT71" s="2"/>
      <c r="ABU71" s="2"/>
      <c r="ABV71" s="2"/>
      <c r="ABW71" s="2"/>
      <c r="ABX71" s="2"/>
      <c r="ABY71" s="2"/>
      <c r="ABZ71" s="2"/>
      <c r="ACA71" s="2"/>
      <c r="ACB71" s="2"/>
      <c r="ACC71" s="2"/>
      <c r="ACD71" s="2"/>
      <c r="ACE71" s="2"/>
      <c r="ACF71" s="2"/>
      <c r="ACG71" s="2"/>
      <c r="ACH71" s="2"/>
      <c r="ACI71" s="2"/>
      <c r="ACJ71" s="2"/>
      <c r="ACK71" s="2"/>
      <c r="ACL71" s="2"/>
      <c r="ACM71" s="2"/>
      <c r="ACN71" s="2"/>
      <c r="ACO71" s="2"/>
      <c r="ACP71" s="2"/>
      <c r="ACQ71" s="2"/>
      <c r="ACR71" s="2"/>
      <c r="ACS71" s="2"/>
      <c r="ACT71" s="2"/>
      <c r="ACU71" s="2"/>
      <c r="ACV71" s="2"/>
      <c r="ACW71" s="2"/>
      <c r="ACX71" s="2"/>
      <c r="ACY71" s="2"/>
      <c r="ACZ71" s="2"/>
      <c r="ADA71" s="2"/>
      <c r="ADB71" s="2"/>
      <c r="ADC71" s="2"/>
      <c r="ADD71" s="2"/>
      <c r="ADE71" s="2"/>
      <c r="ADF71" s="2"/>
      <c r="ADG71" s="2"/>
      <c r="ADH71" s="2"/>
      <c r="ADI71" s="2"/>
      <c r="ADJ71" s="2"/>
      <c r="ADK71" s="2"/>
      <c r="ADL71" s="2"/>
      <c r="ADM71" s="2"/>
      <c r="ADN71" s="2"/>
      <c r="ADO71" s="2"/>
      <c r="ADP71" s="2"/>
      <c r="ADQ71" s="2"/>
      <c r="ADR71" s="2"/>
      <c r="ADS71" s="2"/>
      <c r="ADT71" s="2"/>
      <c r="ADU71" s="2"/>
      <c r="ADV71" s="2"/>
      <c r="ADW71" s="2"/>
      <c r="ADX71" s="2"/>
      <c r="ADY71" s="2"/>
      <c r="ADZ71" s="2"/>
      <c r="AEA71" s="2"/>
      <c r="AEB71" s="2"/>
      <c r="AEC71" s="2"/>
      <c r="AED71" s="2"/>
      <c r="AEE71" s="2"/>
      <c r="AEF71" s="2"/>
      <c r="AEG71" s="2"/>
      <c r="AEH71" s="2"/>
      <c r="AEI71" s="2"/>
      <c r="AEJ71" s="2"/>
      <c r="AEK71" s="2"/>
      <c r="AEL71" s="2"/>
      <c r="AEM71" s="2"/>
      <c r="AEN71" s="2"/>
      <c r="AEO71" s="2"/>
      <c r="AEP71" s="2"/>
      <c r="AEQ71" s="2"/>
      <c r="AER71" s="2"/>
      <c r="AES71" s="2"/>
      <c r="AET71" s="2"/>
      <c r="AEU71" s="2"/>
      <c r="AEV71" s="2"/>
      <c r="AEW71" s="2"/>
      <c r="AEX71" s="2"/>
      <c r="AEY71" s="2"/>
      <c r="AEZ71" s="2"/>
      <c r="AFA71" s="2"/>
      <c r="AFB71" s="2"/>
      <c r="AFC71" s="2"/>
      <c r="AFD71" s="2"/>
      <c r="AFE71" s="2"/>
      <c r="AFF71" s="2"/>
      <c r="AFG71" s="2"/>
      <c r="AFH71" s="2"/>
      <c r="AFI71" s="2"/>
      <c r="AFJ71" s="2"/>
      <c r="AFK71" s="2"/>
      <c r="AFL71" s="2">
        <f t="shared" ref="AFL71:AFL97" si="1">SUM(E71:AFK71)</f>
        <v>3599</v>
      </c>
    </row>
    <row r="72" spans="1:844" x14ac:dyDescent="0.3">
      <c r="B72" s="91">
        <v>550032121</v>
      </c>
      <c r="C72" s="52" t="s">
        <v>145</v>
      </c>
      <c r="D72" s="35" t="s">
        <v>18</v>
      </c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>
        <v>8</v>
      </c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  <c r="AAA72" s="2"/>
      <c r="AAB72" s="2"/>
      <c r="AAC72" s="2"/>
      <c r="AAD72" s="2"/>
      <c r="AAE72" s="2"/>
      <c r="AAF72" s="2"/>
      <c r="AAG72" s="2"/>
      <c r="AAH72" s="2"/>
      <c r="AAI72" s="2"/>
      <c r="AAJ72" s="2"/>
      <c r="AAK72" s="2"/>
      <c r="AAL72" s="2"/>
      <c r="AAM72" s="2"/>
      <c r="AAN72" s="2"/>
      <c r="AAO72" s="2"/>
      <c r="AAP72" s="2"/>
      <c r="AAQ72" s="2"/>
      <c r="AAR72" s="2"/>
      <c r="AAS72" s="2"/>
      <c r="AAT72" s="2"/>
      <c r="AAU72" s="2"/>
      <c r="AAV72" s="2"/>
      <c r="AAW72" s="2"/>
      <c r="AAX72" s="2"/>
      <c r="AAY72" s="2"/>
      <c r="AAZ72" s="2"/>
      <c r="ABA72" s="2"/>
      <c r="ABB72" s="2"/>
      <c r="ABC72" s="2"/>
      <c r="ABD72" s="2"/>
      <c r="ABE72" s="2"/>
      <c r="ABF72" s="2"/>
      <c r="ABG72" s="2"/>
      <c r="ABH72" s="2"/>
      <c r="ABI72" s="2"/>
      <c r="ABJ72" s="2"/>
      <c r="ABK72" s="2"/>
      <c r="ABL72" s="2"/>
      <c r="ABM72" s="2"/>
      <c r="ABN72" s="2"/>
      <c r="ABO72" s="2"/>
      <c r="ABP72" s="2"/>
      <c r="ABQ72" s="2"/>
      <c r="ABR72" s="2"/>
      <c r="ABS72" s="2"/>
      <c r="ABT72" s="2"/>
      <c r="ABU72" s="2"/>
      <c r="ABV72" s="2"/>
      <c r="ABW72" s="2"/>
      <c r="ABX72" s="2"/>
      <c r="ABY72" s="2"/>
      <c r="ABZ72" s="2"/>
      <c r="ACA72" s="2"/>
      <c r="ACB72" s="2"/>
      <c r="ACC72" s="2"/>
      <c r="ACD72" s="2"/>
      <c r="ACE72" s="2"/>
      <c r="ACF72" s="2"/>
      <c r="ACG72" s="2"/>
      <c r="ACH72" s="2"/>
      <c r="ACI72" s="2"/>
      <c r="ACJ72" s="2"/>
      <c r="ACK72" s="2"/>
      <c r="ACL72" s="2"/>
      <c r="ACM72" s="2"/>
      <c r="ACN72" s="2"/>
      <c r="ACO72" s="2"/>
      <c r="ACP72" s="2"/>
      <c r="ACQ72" s="2"/>
      <c r="ACR72" s="2"/>
      <c r="ACS72" s="2"/>
      <c r="ACT72" s="2"/>
      <c r="ACU72" s="2"/>
      <c r="ACV72" s="2"/>
      <c r="ACW72" s="2"/>
      <c r="ACX72" s="2"/>
      <c r="ACY72" s="2"/>
      <c r="ACZ72" s="2"/>
      <c r="ADA72" s="2"/>
      <c r="ADB72" s="2"/>
      <c r="ADC72" s="2"/>
      <c r="ADD72" s="2"/>
      <c r="ADE72" s="2"/>
      <c r="ADF72" s="2"/>
      <c r="ADG72" s="2"/>
      <c r="ADH72" s="2"/>
      <c r="ADI72" s="2"/>
      <c r="ADJ72" s="2"/>
      <c r="ADK72" s="2"/>
      <c r="ADL72" s="2"/>
      <c r="ADM72" s="2"/>
      <c r="ADN72" s="2"/>
      <c r="ADO72" s="2"/>
      <c r="ADP72" s="2"/>
      <c r="ADQ72" s="2"/>
      <c r="ADR72" s="2"/>
      <c r="ADS72" s="2"/>
      <c r="ADT72" s="2"/>
      <c r="ADU72" s="2"/>
      <c r="ADV72" s="2"/>
      <c r="ADW72" s="2"/>
      <c r="ADX72" s="2"/>
      <c r="ADY72" s="2"/>
      <c r="ADZ72" s="2"/>
      <c r="AEA72" s="2"/>
      <c r="AEB72" s="2"/>
      <c r="AEC72" s="2"/>
      <c r="AED72" s="2"/>
      <c r="AEE72" s="2"/>
      <c r="AEF72" s="2"/>
      <c r="AEG72" s="2"/>
      <c r="AEH72" s="2"/>
      <c r="AEI72" s="2"/>
      <c r="AEJ72" s="2"/>
      <c r="AEK72" s="2"/>
      <c r="AEL72" s="2"/>
      <c r="AEM72" s="2"/>
      <c r="AEN72" s="2"/>
      <c r="AEO72" s="2"/>
      <c r="AEP72" s="2"/>
      <c r="AEQ72" s="2"/>
      <c r="AER72" s="2"/>
      <c r="AES72" s="2"/>
      <c r="AET72" s="2"/>
      <c r="AEU72" s="2"/>
      <c r="AEV72" s="2"/>
      <c r="AEW72" s="2"/>
      <c r="AEX72" s="2"/>
      <c r="AEY72" s="2"/>
      <c r="AEZ72" s="2"/>
      <c r="AFA72" s="2"/>
      <c r="AFB72" s="2"/>
      <c r="AFC72" s="2"/>
      <c r="AFD72" s="2"/>
      <c r="AFE72" s="2"/>
      <c r="AFF72" s="2"/>
      <c r="AFG72" s="2"/>
      <c r="AFH72" s="2"/>
      <c r="AFI72" s="2"/>
      <c r="AFJ72" s="2"/>
      <c r="AFK72" s="2"/>
      <c r="AFL72" s="2">
        <f t="shared" si="1"/>
        <v>8</v>
      </c>
    </row>
    <row r="73" spans="1:844" s="11" customFormat="1" x14ac:dyDescent="0.3">
      <c r="B73" s="91">
        <v>45387905</v>
      </c>
      <c r="C73" s="52" t="s">
        <v>147</v>
      </c>
      <c r="D73" s="35" t="s">
        <v>3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>
        <v>77</v>
      </c>
      <c r="S73" s="2">
        <f>77+154</f>
        <v>231</v>
      </c>
      <c r="T73" s="2">
        <f>77+154</f>
        <v>231</v>
      </c>
      <c r="U73" s="2"/>
      <c r="V73" s="2"/>
      <c r="W73" s="2">
        <v>154</v>
      </c>
      <c r="X73" s="2">
        <v>77</v>
      </c>
      <c r="Y73" s="2">
        <v>77</v>
      </c>
      <c r="Z73" s="2"/>
      <c r="AA73" s="2"/>
      <c r="AB73" s="2">
        <v>77</v>
      </c>
      <c r="AC73" s="2"/>
      <c r="AD73" s="2"/>
      <c r="AE73" s="2"/>
      <c r="AF73" s="2">
        <f>77+77</f>
        <v>154</v>
      </c>
      <c r="AG73" s="2">
        <v>231</v>
      </c>
      <c r="AH73" s="2"/>
      <c r="AI73" s="2"/>
      <c r="AJ73" s="2"/>
      <c r="AK73" s="2"/>
      <c r="AL73" s="2"/>
      <c r="AM73" s="2">
        <f>154+77</f>
        <v>231</v>
      </c>
      <c r="AN73" s="2"/>
      <c r="AO73" s="2"/>
      <c r="AP73" s="2">
        <f>77+1</f>
        <v>78</v>
      </c>
      <c r="AQ73" s="2"/>
      <c r="AR73" s="2"/>
      <c r="AS73" s="2">
        <f>154+77</f>
        <v>231</v>
      </c>
      <c r="AT73" s="2">
        <v>154</v>
      </c>
      <c r="AU73" s="2"/>
      <c r="AV73" s="2"/>
      <c r="AW73" s="2">
        <v>77</v>
      </c>
      <c r="AX73" s="2"/>
      <c r="AY73" s="2">
        <v>77</v>
      </c>
      <c r="AZ73" s="2">
        <f>77+77</f>
        <v>154</v>
      </c>
      <c r="BA73" s="2"/>
      <c r="BB73" s="2">
        <v>77</v>
      </c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>
        <v>77</v>
      </c>
      <c r="BN73" s="2"/>
      <c r="BO73" s="2"/>
      <c r="BP73" s="2"/>
      <c r="BQ73" s="2"/>
      <c r="BR73" s="2"/>
      <c r="BS73" s="2"/>
      <c r="BT73" s="2">
        <v>77</v>
      </c>
      <c r="BU73" s="2"/>
      <c r="BV73" s="2"/>
      <c r="BW73" s="2"/>
      <c r="BX73" s="2"/>
      <c r="BY73" s="2"/>
      <c r="BZ73" s="2"/>
      <c r="CA73" s="2">
        <v>77</v>
      </c>
      <c r="CB73" s="2"/>
      <c r="CC73" s="2"/>
      <c r="CD73" s="2"/>
      <c r="CE73" s="2"/>
      <c r="CF73" s="2"/>
      <c r="CG73" s="2"/>
      <c r="CH73" s="2">
        <v>77</v>
      </c>
      <c r="CI73" s="2">
        <v>77</v>
      </c>
      <c r="CJ73" s="2">
        <v>77</v>
      </c>
      <c r="CK73" s="2">
        <v>77</v>
      </c>
      <c r="CL73" s="2">
        <v>154</v>
      </c>
      <c r="CM73" s="2">
        <v>77</v>
      </c>
      <c r="CN73" s="2"/>
      <c r="CO73" s="2"/>
      <c r="CP73" s="2">
        <v>77</v>
      </c>
      <c r="CQ73" s="2"/>
      <c r="CR73" s="2"/>
      <c r="CS73" s="2">
        <v>154</v>
      </c>
      <c r="CT73" s="2"/>
      <c r="CU73" s="2"/>
      <c r="CV73" s="2"/>
      <c r="CW73" s="2">
        <f>77+77</f>
        <v>154</v>
      </c>
      <c r="CX73" s="2"/>
      <c r="CY73" s="2"/>
      <c r="CZ73" s="2"/>
      <c r="DA73" s="2">
        <f>77+77</f>
        <v>154</v>
      </c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>
        <v>2</v>
      </c>
      <c r="DW73" s="2"/>
      <c r="DX73" s="2">
        <v>77</v>
      </c>
      <c r="DY73" s="2"/>
      <c r="DZ73" s="2"/>
      <c r="EA73" s="2"/>
      <c r="EB73" s="2">
        <v>1</v>
      </c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>
        <v>1</v>
      </c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>
        <v>77</v>
      </c>
      <c r="FA73" s="2">
        <f>77+77</f>
        <v>154</v>
      </c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>
        <v>77</v>
      </c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>
        <v>77</v>
      </c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>
        <v>77</v>
      </c>
      <c r="GO73" s="2"/>
      <c r="GP73" s="2"/>
      <c r="GQ73" s="2"/>
      <c r="GR73" s="2"/>
      <c r="GS73" s="2"/>
      <c r="GT73" s="2">
        <v>77</v>
      </c>
      <c r="GU73" s="2"/>
      <c r="GV73" s="2">
        <v>77</v>
      </c>
      <c r="GW73" s="2"/>
      <c r="GX73" s="2"/>
      <c r="GY73" s="2"/>
      <c r="GZ73" s="2"/>
      <c r="HA73" s="2"/>
      <c r="HB73" s="2">
        <v>77</v>
      </c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>
        <f>77+77</f>
        <v>154</v>
      </c>
      <c r="HS73" s="2">
        <v>77</v>
      </c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>
        <v>77</v>
      </c>
      <c r="IF73" s="2"/>
      <c r="IG73" s="2"/>
      <c r="IH73" s="2"/>
      <c r="II73" s="2"/>
      <c r="IJ73" s="2"/>
      <c r="IK73" s="2">
        <v>4</v>
      </c>
      <c r="IL73" s="2"/>
      <c r="IM73" s="2"/>
      <c r="IN73" s="2"/>
      <c r="IO73" s="2"/>
      <c r="IP73" s="2"/>
      <c r="IQ73" s="2"/>
      <c r="IR73" s="2"/>
      <c r="IS73" s="2"/>
      <c r="IT73" s="2">
        <v>77</v>
      </c>
      <c r="IU73" s="2"/>
      <c r="IV73" s="2"/>
      <c r="IW73" s="2"/>
      <c r="IX73" s="2"/>
      <c r="IY73" s="2"/>
      <c r="IZ73" s="2">
        <v>77</v>
      </c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>
        <v>77</v>
      </c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>
        <v>77</v>
      </c>
      <c r="KA73" s="2">
        <v>77</v>
      </c>
      <c r="KB73" s="2"/>
      <c r="KC73" s="2"/>
      <c r="KD73" s="2"/>
      <c r="KE73" s="2">
        <v>77</v>
      </c>
      <c r="KF73" s="2"/>
      <c r="KG73" s="2"/>
      <c r="KH73" s="2"/>
      <c r="KI73" s="2"/>
      <c r="KJ73" s="2">
        <v>77</v>
      </c>
      <c r="KK73" s="2"/>
      <c r="KL73" s="2"/>
      <c r="KM73" s="2"/>
      <c r="KN73" s="2"/>
      <c r="KO73" s="2"/>
      <c r="KP73" s="2"/>
      <c r="KQ73" s="2"/>
      <c r="KR73" s="2">
        <v>77</v>
      </c>
      <c r="KS73" s="2"/>
      <c r="KT73" s="2">
        <f>154+77+77</f>
        <v>308</v>
      </c>
      <c r="KU73" s="2"/>
      <c r="KV73" s="2"/>
      <c r="KW73" s="2"/>
      <c r="KX73" s="2"/>
      <c r="KY73" s="2"/>
      <c r="KZ73" s="2"/>
      <c r="LA73" s="2">
        <v>30</v>
      </c>
      <c r="LB73" s="2"/>
      <c r="LC73" s="2">
        <v>77</v>
      </c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>
        <v>77</v>
      </c>
      <c r="LO73" s="2"/>
      <c r="LP73" s="2"/>
      <c r="LQ73" s="2"/>
      <c r="LR73" s="2"/>
      <c r="LS73" s="2">
        <v>77</v>
      </c>
      <c r="LT73" s="2"/>
      <c r="LU73" s="2">
        <v>77</v>
      </c>
      <c r="LV73" s="2"/>
      <c r="LW73" s="2"/>
      <c r="LX73" s="2"/>
      <c r="LY73" s="2"/>
      <c r="LZ73" s="2">
        <v>77</v>
      </c>
      <c r="MA73" s="2"/>
      <c r="MB73" s="2">
        <v>29</v>
      </c>
      <c r="MC73" s="2"/>
      <c r="MD73" s="2"/>
      <c r="ME73" s="2"/>
      <c r="MF73" s="2"/>
      <c r="MG73" s="2"/>
      <c r="MH73" s="2">
        <f>77+77+77</f>
        <v>231</v>
      </c>
      <c r="MI73" s="2"/>
      <c r="MJ73" s="2"/>
      <c r="MK73" s="2"/>
      <c r="ML73" s="2"/>
      <c r="MM73" s="2">
        <v>1</v>
      </c>
      <c r="MN73" s="2">
        <v>3</v>
      </c>
      <c r="MO73" s="2"/>
      <c r="MP73" s="2"/>
      <c r="MQ73" s="2"/>
      <c r="MR73" s="2"/>
      <c r="MS73" s="2"/>
      <c r="MT73" s="2">
        <v>154</v>
      </c>
      <c r="MU73" s="2"/>
      <c r="MV73" s="2"/>
      <c r="MW73" s="2">
        <v>77</v>
      </c>
      <c r="MX73" s="2"/>
      <c r="MY73" s="2"/>
      <c r="MZ73" s="2"/>
      <c r="NA73" s="2">
        <v>77</v>
      </c>
      <c r="NB73" s="2"/>
      <c r="NC73" s="2"/>
      <c r="ND73" s="2"/>
      <c r="NE73" s="2"/>
      <c r="NF73" s="2"/>
      <c r="NG73" s="2">
        <v>77</v>
      </c>
      <c r="NH73" s="2">
        <v>77</v>
      </c>
      <c r="NI73" s="2"/>
      <c r="NJ73" s="2">
        <v>77</v>
      </c>
      <c r="NK73" s="2"/>
      <c r="NL73" s="2"/>
      <c r="NM73" s="2"/>
      <c r="NN73" s="2"/>
      <c r="NO73" s="2"/>
      <c r="NP73" s="2">
        <v>77</v>
      </c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>
        <f>30+8</f>
        <v>38</v>
      </c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>
        <v>77</v>
      </c>
      <c r="QB73" s="2">
        <v>77</v>
      </c>
      <c r="QC73" s="2">
        <f>77+77</f>
        <v>154</v>
      </c>
      <c r="QD73" s="2"/>
      <c r="QE73" s="2"/>
      <c r="QF73" s="2"/>
      <c r="QG73" s="2"/>
      <c r="QH73" s="2"/>
      <c r="QI73" s="2"/>
      <c r="QJ73" s="2"/>
      <c r="QK73" s="2">
        <f>77+53</f>
        <v>130</v>
      </c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>
        <f>77</f>
        <v>77</v>
      </c>
      <c r="SB73" s="2"/>
      <c r="SC73" s="2">
        <f>77</f>
        <v>77</v>
      </c>
      <c r="SD73" s="2">
        <f>154+77</f>
        <v>231</v>
      </c>
      <c r="SE73" s="2">
        <f>55</f>
        <v>55</v>
      </c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>
        <v>77</v>
      </c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>
        <v>13</v>
      </c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>
        <v>154</v>
      </c>
      <c r="YE73" s="2"/>
      <c r="YF73" s="2"/>
      <c r="YG73" s="2"/>
      <c r="YH73" s="2">
        <f>154+154+154</f>
        <v>462</v>
      </c>
      <c r="YI73" s="2"/>
      <c r="YJ73" s="2"/>
      <c r="YK73" s="2"/>
      <c r="YL73" s="2"/>
      <c r="YM73" s="2"/>
      <c r="YN73" s="2">
        <v>154</v>
      </c>
      <c r="YO73" s="2"/>
      <c r="YP73" s="2"/>
      <c r="YQ73" s="2"/>
      <c r="YR73" s="2"/>
      <c r="YS73" s="2"/>
      <c r="YT73" s="2">
        <v>33</v>
      </c>
      <c r="YU73" s="2"/>
      <c r="YV73" s="2"/>
      <c r="YW73" s="2">
        <v>77</v>
      </c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>
        <v>154</v>
      </c>
      <c r="ZR73" s="2"/>
      <c r="ZS73" s="2"/>
      <c r="ZT73" s="2"/>
      <c r="ZU73" s="2"/>
      <c r="ZV73" s="2"/>
      <c r="ZW73" s="2">
        <f>77+77</f>
        <v>154</v>
      </c>
      <c r="ZX73" s="2"/>
      <c r="ZY73" s="2"/>
      <c r="ZZ73" s="2"/>
      <c r="AAA73" s="2"/>
      <c r="AAB73" s="2"/>
      <c r="AAC73" s="2"/>
      <c r="AAD73" s="2"/>
      <c r="AAE73" s="2"/>
      <c r="AAF73" s="2"/>
      <c r="AAG73" s="2"/>
      <c r="AAH73" s="2"/>
      <c r="AAI73" s="2"/>
      <c r="AAJ73" s="2"/>
      <c r="AAK73" s="2"/>
      <c r="AAL73" s="2"/>
      <c r="AAM73" s="2"/>
      <c r="AAN73" s="2"/>
      <c r="AAO73" s="2"/>
      <c r="AAP73" s="2"/>
      <c r="AAQ73" s="2"/>
      <c r="AAR73" s="2"/>
      <c r="AAS73" s="2"/>
      <c r="AAT73" s="2">
        <v>154</v>
      </c>
      <c r="AAU73" s="2"/>
      <c r="AAV73" s="2"/>
      <c r="AAW73" s="2"/>
      <c r="AAX73" s="2"/>
      <c r="AAY73" s="2"/>
      <c r="AAZ73" s="2">
        <v>154</v>
      </c>
      <c r="ABA73" s="2"/>
      <c r="ABB73" s="2">
        <v>154</v>
      </c>
      <c r="ABC73" s="2"/>
      <c r="ABD73" s="2"/>
      <c r="ABE73" s="2"/>
      <c r="ABF73" s="2"/>
      <c r="ABG73" s="2"/>
      <c r="ABH73" s="2">
        <v>4</v>
      </c>
      <c r="ABI73" s="2"/>
      <c r="ABJ73" s="2"/>
      <c r="ABK73" s="2"/>
      <c r="ABL73" s="2">
        <v>77</v>
      </c>
      <c r="ABM73" s="2"/>
      <c r="ABN73" s="2"/>
      <c r="ABO73" s="2"/>
      <c r="ABP73" s="2"/>
      <c r="ABQ73" s="2"/>
      <c r="ABR73" s="2"/>
      <c r="ABS73" s="2"/>
      <c r="ABT73" s="2"/>
      <c r="ABU73" s="2"/>
      <c r="ABV73" s="2"/>
      <c r="ABW73" s="2"/>
      <c r="ABX73" s="2"/>
      <c r="ABY73" s="2"/>
      <c r="ABZ73" s="2"/>
      <c r="ACA73" s="2"/>
      <c r="ACB73" s="2"/>
      <c r="ACC73" s="2"/>
      <c r="ACD73" s="2"/>
      <c r="ACE73" s="2"/>
      <c r="ACF73" s="2"/>
      <c r="ACG73" s="2"/>
      <c r="ACH73" s="2"/>
      <c r="ACI73" s="2"/>
      <c r="ACJ73" s="2"/>
      <c r="ACK73" s="2"/>
      <c r="ACL73" s="2"/>
      <c r="ACM73" s="2">
        <v>77</v>
      </c>
      <c r="ACN73" s="2"/>
      <c r="ACO73" s="2"/>
      <c r="ACP73" s="2"/>
      <c r="ACQ73" s="2"/>
      <c r="ACR73" s="2"/>
      <c r="ACS73" s="2"/>
      <c r="ACT73" s="2"/>
      <c r="ACU73" s="2"/>
      <c r="ACV73" s="2"/>
      <c r="ACW73" s="2"/>
      <c r="ACX73" s="2"/>
      <c r="ACY73" s="2"/>
      <c r="ACZ73" s="2">
        <f>77+77</f>
        <v>154</v>
      </c>
      <c r="ADA73" s="2"/>
      <c r="ADB73" s="2"/>
      <c r="ADC73" s="2"/>
      <c r="ADD73" s="2"/>
      <c r="ADE73" s="2"/>
      <c r="ADF73" s="2"/>
      <c r="ADG73" s="2"/>
      <c r="ADH73" s="2"/>
      <c r="ADI73" s="2"/>
      <c r="ADJ73" s="2"/>
      <c r="ADK73" s="2">
        <v>77</v>
      </c>
      <c r="ADL73" s="2"/>
      <c r="ADM73" s="2"/>
      <c r="ADN73" s="2"/>
      <c r="ADO73" s="2">
        <v>77</v>
      </c>
      <c r="ADP73" s="2"/>
      <c r="ADQ73" s="2"/>
      <c r="ADR73" s="2"/>
      <c r="ADS73" s="2"/>
      <c r="ADT73" s="2"/>
      <c r="ADU73" s="2"/>
      <c r="ADV73" s="2"/>
      <c r="ADW73" s="2"/>
      <c r="ADX73" s="2"/>
      <c r="ADY73" s="2"/>
      <c r="ADZ73" s="2"/>
      <c r="AEA73" s="2"/>
      <c r="AEB73" s="2"/>
      <c r="AEC73" s="2"/>
      <c r="AED73" s="2"/>
      <c r="AEE73" s="2"/>
      <c r="AEF73" s="2"/>
      <c r="AEG73" s="2"/>
      <c r="AEH73" s="2"/>
      <c r="AEI73" s="2"/>
      <c r="AEJ73" s="2"/>
      <c r="AEK73" s="2"/>
      <c r="AEL73" s="2"/>
      <c r="AEM73" s="2"/>
      <c r="AEN73" s="2"/>
      <c r="AEO73" s="2"/>
      <c r="AEP73" s="2">
        <v>77</v>
      </c>
      <c r="AEQ73" s="2"/>
      <c r="AER73" s="2"/>
      <c r="AES73" s="2"/>
      <c r="AET73" s="2"/>
      <c r="AEU73" s="2"/>
      <c r="AEV73" s="2"/>
      <c r="AEW73" s="2"/>
      <c r="AEX73" s="2"/>
      <c r="AEY73" s="2"/>
      <c r="AEZ73" s="2"/>
      <c r="AFA73" s="2"/>
      <c r="AFB73" s="2"/>
      <c r="AFC73" s="2"/>
      <c r="AFD73" s="2"/>
      <c r="AFE73" s="2"/>
      <c r="AFF73" s="2"/>
      <c r="AFG73" s="2"/>
      <c r="AFH73" s="2"/>
      <c r="AFI73" s="2"/>
      <c r="AFJ73" s="2"/>
      <c r="AFK73" s="2"/>
      <c r="AFL73" s="2">
        <f t="shared" si="1"/>
        <v>10201</v>
      </c>
    </row>
    <row r="74" spans="1:844" s="4" customFormat="1" x14ac:dyDescent="0.3">
      <c r="A74" s="11"/>
      <c r="B74" s="35"/>
      <c r="C74" s="52" t="s">
        <v>988</v>
      </c>
      <c r="D74" s="35">
        <v>209</v>
      </c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  <c r="AAA74" s="2"/>
      <c r="AAB74" s="2"/>
      <c r="AAC74" s="2"/>
      <c r="AAD74" s="2"/>
      <c r="AAE74" s="2"/>
      <c r="AAF74" s="2"/>
      <c r="AAG74" s="2"/>
      <c r="AAH74" s="2"/>
      <c r="AAI74" s="2"/>
      <c r="AAJ74" s="2"/>
      <c r="AAK74" s="2"/>
      <c r="AAL74" s="2"/>
      <c r="AAM74" s="2"/>
      <c r="AAN74" s="2"/>
      <c r="AAO74" s="2"/>
      <c r="AAP74" s="2"/>
      <c r="AAQ74" s="2"/>
      <c r="AAR74" s="2"/>
      <c r="AAS74" s="2"/>
      <c r="AAT74" s="2"/>
      <c r="AAU74" s="2"/>
      <c r="AAV74" s="2"/>
      <c r="AAW74" s="2"/>
      <c r="AAX74" s="2"/>
      <c r="AAY74" s="2"/>
      <c r="AAZ74" s="2"/>
      <c r="ABA74" s="2"/>
      <c r="ABB74" s="2"/>
      <c r="ABC74" s="2"/>
      <c r="ABD74" s="2"/>
      <c r="ABE74" s="2"/>
      <c r="ABF74" s="2"/>
      <c r="ABG74" s="2"/>
      <c r="ABH74" s="2"/>
      <c r="ABI74" s="2"/>
      <c r="ABJ74" s="2"/>
      <c r="ABK74" s="2"/>
      <c r="ABL74" s="2"/>
      <c r="ABM74" s="2"/>
      <c r="ABN74" s="2"/>
      <c r="ABO74" s="2"/>
      <c r="ABP74" s="2"/>
      <c r="ABQ74" s="2"/>
      <c r="ABR74" s="2"/>
      <c r="ABS74" s="2"/>
      <c r="ABT74" s="2"/>
      <c r="ABU74" s="2"/>
      <c r="ABV74" s="2"/>
      <c r="ABW74" s="2"/>
      <c r="ABX74" s="2"/>
      <c r="ABY74" s="2"/>
      <c r="ABZ74" s="2"/>
      <c r="ACA74" s="2"/>
      <c r="ACB74" s="2"/>
      <c r="ACC74" s="2"/>
      <c r="ACD74" s="2"/>
      <c r="ACE74" s="2"/>
      <c r="ACF74" s="2"/>
      <c r="ACG74" s="2"/>
      <c r="ACH74" s="2"/>
      <c r="ACI74" s="2"/>
      <c r="ACJ74" s="2"/>
      <c r="ACK74" s="2"/>
      <c r="ACL74" s="2"/>
      <c r="ACM74" s="2"/>
      <c r="ACN74" s="2"/>
      <c r="ACO74" s="2"/>
      <c r="ACP74" s="2"/>
      <c r="ACQ74" s="2"/>
      <c r="ACR74" s="2"/>
      <c r="ACS74" s="2"/>
      <c r="ACT74" s="2"/>
      <c r="ACU74" s="2"/>
      <c r="ACV74" s="2"/>
      <c r="ACW74" s="2"/>
      <c r="ACX74" s="2"/>
      <c r="ACY74" s="2"/>
      <c r="ACZ74" s="2"/>
      <c r="ADA74" s="2"/>
      <c r="ADB74" s="2"/>
      <c r="ADC74" s="2"/>
      <c r="ADD74" s="2"/>
      <c r="ADE74" s="2"/>
      <c r="ADF74" s="2"/>
      <c r="ADG74" s="2"/>
      <c r="ADH74" s="2"/>
      <c r="ADI74" s="2"/>
      <c r="ADJ74" s="2"/>
      <c r="ADK74" s="2"/>
      <c r="ADL74" s="2"/>
      <c r="ADM74" s="2"/>
      <c r="ADN74" s="2"/>
      <c r="ADO74" s="2"/>
      <c r="ADP74" s="2"/>
      <c r="ADQ74" s="2"/>
      <c r="ADR74" s="2"/>
      <c r="ADS74" s="2"/>
      <c r="ADT74" s="2"/>
      <c r="ADU74" s="2"/>
      <c r="ADV74" s="2"/>
      <c r="ADW74" s="2"/>
      <c r="ADX74" s="2"/>
      <c r="ADY74" s="2"/>
      <c r="ADZ74" s="2"/>
      <c r="AEA74" s="2"/>
      <c r="AEB74" s="2">
        <v>13</v>
      </c>
      <c r="AEC74" s="2"/>
      <c r="AED74" s="2"/>
      <c r="AEE74" s="2"/>
      <c r="AEF74" s="2"/>
      <c r="AEG74" s="2"/>
      <c r="AEH74" s="2"/>
      <c r="AEI74" s="2"/>
      <c r="AEJ74" s="2"/>
      <c r="AEK74" s="2"/>
      <c r="AEL74" s="2"/>
      <c r="AEM74" s="2"/>
      <c r="AEN74" s="2"/>
      <c r="AEO74" s="2"/>
      <c r="AEP74" s="2"/>
      <c r="AEQ74" s="2"/>
      <c r="AER74" s="2"/>
      <c r="AES74" s="2"/>
      <c r="AET74" s="2"/>
      <c r="AEU74" s="2"/>
      <c r="AEV74" s="2"/>
      <c r="AEW74" s="2"/>
      <c r="AEX74" s="2"/>
      <c r="AEY74" s="2"/>
      <c r="AEZ74" s="2"/>
      <c r="AFA74" s="2"/>
      <c r="AFB74" s="2"/>
      <c r="AFC74" s="2"/>
      <c r="AFD74" s="2"/>
      <c r="AFE74" s="2"/>
      <c r="AFF74" s="2"/>
      <c r="AFG74" s="2"/>
      <c r="AFH74" s="2"/>
      <c r="AFI74" s="2"/>
      <c r="AFJ74" s="2"/>
      <c r="AFK74" s="2"/>
      <c r="AFL74" s="2">
        <f t="shared" si="1"/>
        <v>13</v>
      </c>
    </row>
    <row r="75" spans="1:844" s="11" customFormat="1" x14ac:dyDescent="0.3">
      <c r="B75" s="91">
        <v>550029925</v>
      </c>
      <c r="C75" s="13" t="s">
        <v>149</v>
      </c>
      <c r="D75" s="35" t="s">
        <v>18</v>
      </c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>
        <v>2</v>
      </c>
      <c r="EE75" s="2"/>
      <c r="EF75" s="2"/>
      <c r="EG75" s="2"/>
      <c r="EH75" s="2"/>
      <c r="EI75" s="2"/>
      <c r="EJ75" s="2"/>
      <c r="EK75" s="2"/>
      <c r="EL75" s="2"/>
      <c r="EM75" s="2"/>
      <c r="EN75" s="2">
        <v>2</v>
      </c>
      <c r="EO75" s="2"/>
      <c r="EP75" s="2"/>
      <c r="EQ75" s="2"/>
      <c r="ER75" s="2"/>
      <c r="ES75" s="2"/>
      <c r="ET75" s="2"/>
      <c r="EU75" s="2"/>
      <c r="EV75" s="2"/>
      <c r="EW75" s="2"/>
      <c r="EX75" s="2">
        <f>6-6</f>
        <v>0</v>
      </c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>
        <v>8</v>
      </c>
      <c r="IF75" s="2">
        <f>8+8</f>
        <v>16</v>
      </c>
      <c r="IG75" s="2"/>
      <c r="IH75" s="2"/>
      <c r="II75" s="2">
        <v>10</v>
      </c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>
        <v>2</v>
      </c>
      <c r="KK75" s="2"/>
      <c r="KL75" s="2"/>
      <c r="KM75" s="2"/>
      <c r="KN75" s="2"/>
      <c r="KO75" s="2"/>
      <c r="KP75" s="2"/>
      <c r="KQ75" s="2"/>
      <c r="KR75" s="2"/>
      <c r="KS75" s="2"/>
      <c r="KT75" s="2">
        <v>8</v>
      </c>
      <c r="KU75" s="2"/>
      <c r="KV75" s="2"/>
      <c r="KW75" s="2">
        <v>4</v>
      </c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>
        <v>4</v>
      </c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>
        <v>8</v>
      </c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>
        <v>4</v>
      </c>
      <c r="MQ75" s="2"/>
      <c r="MR75" s="2">
        <v>2</v>
      </c>
      <c r="MS75" s="2"/>
      <c r="MT75" s="2"/>
      <c r="MU75" s="2"/>
      <c r="MV75" s="2"/>
      <c r="MW75" s="2"/>
      <c r="MX75" s="2"/>
      <c r="MY75" s="2"/>
      <c r="MZ75" s="2">
        <v>8</v>
      </c>
      <c r="NA75" s="2"/>
      <c r="NB75" s="2"/>
      <c r="NC75" s="2"/>
      <c r="ND75" s="2"/>
      <c r="NE75" s="2">
        <v>8</v>
      </c>
      <c r="NF75" s="2"/>
      <c r="NG75" s="2"/>
      <c r="NH75" s="2"/>
      <c r="NI75" s="2"/>
      <c r="NJ75" s="2">
        <v>8</v>
      </c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>
        <v>2</v>
      </c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>
        <f>4</f>
        <v>4</v>
      </c>
      <c r="SB75" s="2"/>
      <c r="SC75" s="2"/>
      <c r="SD75" s="2"/>
      <c r="SE75" s="2"/>
      <c r="SF75" s="2">
        <f>1+8</f>
        <v>9</v>
      </c>
      <c r="SG75" s="2"/>
      <c r="SH75" s="2"/>
      <c r="SI75" s="2"/>
      <c r="SJ75" s="2"/>
      <c r="SK75" s="2"/>
      <c r="SL75" s="2"/>
      <c r="SM75" s="2"/>
      <c r="SN75" s="2">
        <f>8</f>
        <v>8</v>
      </c>
      <c r="SO75" s="2"/>
      <c r="SP75" s="2">
        <f>2</f>
        <v>2</v>
      </c>
      <c r="SQ75" s="2"/>
      <c r="SR75" s="2"/>
      <c r="SS75" s="2"/>
      <c r="ST75" s="2"/>
      <c r="SU75" s="2"/>
      <c r="SV75" s="2">
        <f>2</f>
        <v>2</v>
      </c>
      <c r="SW75" s="2"/>
      <c r="SX75" s="2"/>
      <c r="SY75" s="2"/>
      <c r="SZ75" s="2"/>
      <c r="TA75" s="2"/>
      <c r="TB75" s="2">
        <v>20</v>
      </c>
      <c r="TC75" s="2"/>
      <c r="TD75" s="2"/>
      <c r="TE75" s="2">
        <v>2</v>
      </c>
      <c r="TF75" s="2"/>
      <c r="TG75" s="2"/>
      <c r="TH75" s="2"/>
      <c r="TI75" s="2"/>
      <c r="TJ75" s="2"/>
      <c r="TK75" s="2">
        <v>8</v>
      </c>
      <c r="TL75" s="2">
        <v>8</v>
      </c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>
        <v>8</v>
      </c>
      <c r="UD75" s="2"/>
      <c r="UE75" s="2">
        <v>5</v>
      </c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>
        <v>8</v>
      </c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>
        <v>4</v>
      </c>
      <c r="VR75" s="2"/>
      <c r="VS75" s="2"/>
      <c r="VT75" s="2">
        <v>8</v>
      </c>
      <c r="VU75" s="2"/>
      <c r="VV75" s="2"/>
      <c r="VW75" s="2"/>
      <c r="VX75" s="2">
        <v>8</v>
      </c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>
        <v>8</v>
      </c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>
        <v>2</v>
      </c>
      <c r="YM75" s="2"/>
      <c r="YN75" s="2"/>
      <c r="YO75" s="2"/>
      <c r="YP75" s="2"/>
      <c r="YQ75" s="2"/>
      <c r="YR75" s="2"/>
      <c r="YS75" s="2"/>
      <c r="YT75" s="2"/>
      <c r="YU75" s="2">
        <v>6</v>
      </c>
      <c r="YV75" s="2"/>
      <c r="YW75" s="2">
        <v>8</v>
      </c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  <c r="AAA75" s="2"/>
      <c r="AAB75" s="2"/>
      <c r="AAC75" s="2"/>
      <c r="AAD75" s="2"/>
      <c r="AAE75" s="2"/>
      <c r="AAF75" s="2"/>
      <c r="AAG75" s="2"/>
      <c r="AAH75" s="2"/>
      <c r="AAI75" s="2"/>
      <c r="AAJ75" s="2"/>
      <c r="AAK75" s="2"/>
      <c r="AAL75" s="2"/>
      <c r="AAM75" s="2"/>
      <c r="AAN75" s="2"/>
      <c r="AAO75" s="2"/>
      <c r="AAP75" s="2"/>
      <c r="AAQ75" s="2"/>
      <c r="AAR75" s="2"/>
      <c r="AAS75" s="2"/>
      <c r="AAT75" s="2"/>
      <c r="AAU75" s="2"/>
      <c r="AAV75" s="2"/>
      <c r="AAW75" s="2"/>
      <c r="AAX75" s="2"/>
      <c r="AAY75" s="2"/>
      <c r="AAZ75" s="2"/>
      <c r="ABA75" s="2"/>
      <c r="ABB75" s="2"/>
      <c r="ABC75" s="2"/>
      <c r="ABD75" s="2"/>
      <c r="ABE75" s="2"/>
      <c r="ABF75" s="2"/>
      <c r="ABG75" s="2"/>
      <c r="ABH75" s="2"/>
      <c r="ABI75" s="2">
        <v>8</v>
      </c>
      <c r="ABJ75" s="2">
        <v>8</v>
      </c>
      <c r="ABK75" s="2">
        <v>8</v>
      </c>
      <c r="ABL75" s="2"/>
      <c r="ABM75" s="2"/>
      <c r="ABN75" s="2"/>
      <c r="ABO75" s="2">
        <v>2</v>
      </c>
      <c r="ABP75" s="2"/>
      <c r="ABQ75" s="2"/>
      <c r="ABR75" s="2"/>
      <c r="ABS75" s="2"/>
      <c r="ABT75" s="2">
        <v>2</v>
      </c>
      <c r="ABU75" s="2"/>
      <c r="ABV75" s="2"/>
      <c r="ABW75" s="2"/>
      <c r="ABX75" s="2"/>
      <c r="ABY75" s="2"/>
      <c r="ABZ75" s="2">
        <v>2</v>
      </c>
      <c r="ACA75" s="2"/>
      <c r="ACB75" s="2"/>
      <c r="ACC75" s="2"/>
      <c r="ACD75" s="2"/>
      <c r="ACE75" s="2"/>
      <c r="ACF75" s="2"/>
      <c r="ACG75" s="2"/>
      <c r="ACH75" s="2"/>
      <c r="ACI75" s="2"/>
      <c r="ACJ75" s="2"/>
      <c r="ACK75" s="2"/>
      <c r="ACL75" s="2"/>
      <c r="ACM75" s="2"/>
      <c r="ACN75" s="2"/>
      <c r="ACO75" s="2"/>
      <c r="ACP75" s="2"/>
      <c r="ACQ75" s="2"/>
      <c r="ACR75" s="2"/>
      <c r="ACS75" s="2"/>
      <c r="ACT75" s="2"/>
      <c r="ACU75" s="2"/>
      <c r="ACV75" s="2"/>
      <c r="ACW75" s="2"/>
      <c r="ACX75" s="2"/>
      <c r="ACY75" s="2"/>
      <c r="ACZ75" s="2"/>
      <c r="ADA75" s="2"/>
      <c r="ADB75" s="2"/>
      <c r="ADC75" s="2"/>
      <c r="ADD75" s="2"/>
      <c r="ADE75" s="2"/>
      <c r="ADF75" s="2"/>
      <c r="ADG75" s="2"/>
      <c r="ADH75" s="2"/>
      <c r="ADI75" s="2"/>
      <c r="ADJ75" s="2"/>
      <c r="ADK75" s="2"/>
      <c r="ADL75" s="2"/>
      <c r="ADM75" s="2"/>
      <c r="ADN75" s="2">
        <v>3</v>
      </c>
      <c r="ADO75" s="2"/>
      <c r="ADP75" s="2"/>
      <c r="ADQ75" s="2"/>
      <c r="ADR75" s="2"/>
      <c r="ADS75" s="2"/>
      <c r="ADT75" s="2"/>
      <c r="ADU75" s="2"/>
      <c r="ADV75" s="2"/>
      <c r="ADW75" s="2"/>
      <c r="ADX75" s="2"/>
      <c r="ADY75" s="2"/>
      <c r="ADZ75" s="2"/>
      <c r="AEA75" s="2"/>
      <c r="AEB75" s="2"/>
      <c r="AEC75" s="2"/>
      <c r="AED75" s="2"/>
      <c r="AEE75" s="2"/>
      <c r="AEF75" s="2"/>
      <c r="AEG75" s="2"/>
      <c r="AEH75" s="2">
        <v>8</v>
      </c>
      <c r="AEI75" s="2"/>
      <c r="AEJ75" s="2"/>
      <c r="AEK75" s="2"/>
      <c r="AEL75" s="2"/>
      <c r="AEM75" s="2"/>
      <c r="AEN75" s="2"/>
      <c r="AEO75" s="2"/>
      <c r="AEP75" s="2"/>
      <c r="AEQ75" s="2"/>
      <c r="AER75" s="2"/>
      <c r="AES75" s="2"/>
      <c r="AET75" s="2"/>
      <c r="AEU75" s="2"/>
      <c r="AEV75" s="2"/>
      <c r="AEW75" s="2"/>
      <c r="AEX75" s="2">
        <v>8</v>
      </c>
      <c r="AEY75" s="2"/>
      <c r="AEZ75" s="2"/>
      <c r="AFA75" s="2"/>
      <c r="AFB75" s="2"/>
      <c r="AFC75" s="2"/>
      <c r="AFD75" s="2"/>
      <c r="AFE75" s="2"/>
      <c r="AFF75" s="2"/>
      <c r="AFG75" s="2"/>
      <c r="AFH75" s="2"/>
      <c r="AFI75" s="2"/>
      <c r="AFJ75" s="2"/>
      <c r="AFK75" s="2"/>
      <c r="AFL75" s="2">
        <f t="shared" si="1"/>
        <v>273</v>
      </c>
    </row>
    <row r="76" spans="1:844" x14ac:dyDescent="0.3">
      <c r="B76" s="91">
        <v>550049811</v>
      </c>
      <c r="C76" s="52" t="s">
        <v>975</v>
      </c>
      <c r="D76" s="35" t="s">
        <v>2</v>
      </c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  <c r="AAA76" s="2"/>
      <c r="AAB76" s="2"/>
      <c r="AAC76" s="2"/>
      <c r="AAD76" s="2"/>
      <c r="AAE76" s="2"/>
      <c r="AAF76" s="2"/>
      <c r="AAG76" s="2"/>
      <c r="AAH76" s="2"/>
      <c r="AAI76" s="2"/>
      <c r="AAJ76" s="2"/>
      <c r="AAK76" s="2"/>
      <c r="AAL76" s="2"/>
      <c r="AAM76" s="2"/>
      <c r="AAN76" s="2"/>
      <c r="AAO76" s="2"/>
      <c r="AAP76" s="2"/>
      <c r="AAQ76" s="2"/>
      <c r="AAR76" s="2"/>
      <c r="AAS76" s="2"/>
      <c r="AAT76" s="2"/>
      <c r="AAU76" s="2"/>
      <c r="AAV76" s="2"/>
      <c r="AAW76" s="2"/>
      <c r="AAX76" s="2"/>
      <c r="AAY76" s="2"/>
      <c r="AAZ76" s="2"/>
      <c r="ABA76" s="2"/>
      <c r="ABB76" s="2"/>
      <c r="ABC76" s="2"/>
      <c r="ABD76" s="2"/>
      <c r="ABE76" s="2"/>
      <c r="ABF76" s="2"/>
      <c r="ABG76" s="2"/>
      <c r="ABH76" s="2"/>
      <c r="ABI76" s="2"/>
      <c r="ABJ76" s="2"/>
      <c r="ABK76" s="2"/>
      <c r="ABL76" s="2"/>
      <c r="ABM76" s="2"/>
      <c r="ABN76" s="2"/>
      <c r="ABO76" s="2"/>
      <c r="ABP76" s="2"/>
      <c r="ABQ76" s="2"/>
      <c r="ABR76" s="2"/>
      <c r="ABS76" s="2"/>
      <c r="ABT76" s="2"/>
      <c r="ABU76" s="2"/>
      <c r="ABV76" s="2"/>
      <c r="ABW76" s="2"/>
      <c r="ABX76" s="2"/>
      <c r="ABY76" s="2"/>
      <c r="ABZ76" s="2"/>
      <c r="ACA76" s="2"/>
      <c r="ACB76" s="2"/>
      <c r="ACC76" s="2"/>
      <c r="ACD76" s="2"/>
      <c r="ACE76" s="2"/>
      <c r="ACF76" s="2"/>
      <c r="ACG76" s="2"/>
      <c r="ACH76" s="2"/>
      <c r="ACI76" s="2"/>
      <c r="ACJ76" s="2"/>
      <c r="ACK76" s="2"/>
      <c r="ACL76" s="2"/>
      <c r="ACM76" s="2"/>
      <c r="ACN76" s="2"/>
      <c r="ACO76" s="2"/>
      <c r="ACP76" s="2"/>
      <c r="ACQ76" s="2"/>
      <c r="ACR76" s="2"/>
      <c r="ACS76" s="2"/>
      <c r="ACT76" s="2"/>
      <c r="ACU76" s="2"/>
      <c r="ACV76" s="2"/>
      <c r="ACW76" s="2"/>
      <c r="ACX76" s="2"/>
      <c r="ACY76" s="2"/>
      <c r="ACZ76" s="2"/>
      <c r="ADA76" s="2"/>
      <c r="ADB76" s="2"/>
      <c r="ADC76" s="2"/>
      <c r="ADD76" s="2"/>
      <c r="ADE76" s="2"/>
      <c r="ADF76" s="2"/>
      <c r="ADG76" s="2"/>
      <c r="ADH76" s="2"/>
      <c r="ADI76" s="2"/>
      <c r="ADJ76" s="2"/>
      <c r="ADK76" s="2"/>
      <c r="ADL76" s="2"/>
      <c r="ADM76" s="2"/>
      <c r="ADN76" s="2"/>
      <c r="ADO76" s="2"/>
      <c r="ADP76" s="2"/>
      <c r="ADQ76" s="2"/>
      <c r="ADR76" s="2"/>
      <c r="ADS76" s="2"/>
      <c r="ADT76" s="2"/>
      <c r="ADU76" s="2"/>
      <c r="ADV76" s="2"/>
      <c r="ADW76" s="2"/>
      <c r="ADX76" s="2"/>
      <c r="ADY76" s="2"/>
      <c r="ADZ76" s="2"/>
      <c r="AEA76" s="2"/>
      <c r="AEB76" s="2"/>
      <c r="AEC76" s="2"/>
      <c r="AED76" s="2"/>
      <c r="AEE76" s="2"/>
      <c r="AEF76" s="2">
        <v>175</v>
      </c>
      <c r="AEG76" s="2">
        <v>175</v>
      </c>
      <c r="AEH76" s="2"/>
      <c r="AEI76" s="2">
        <v>175</v>
      </c>
      <c r="AEJ76" s="2"/>
      <c r="AEK76" s="2"/>
      <c r="AEL76" s="2"/>
      <c r="AEM76" s="2"/>
      <c r="AEN76" s="2"/>
      <c r="AEO76" s="2"/>
      <c r="AEP76" s="2">
        <v>175</v>
      </c>
      <c r="AEQ76" s="2"/>
      <c r="AER76" s="2"/>
      <c r="AES76" s="2"/>
      <c r="AET76" s="2"/>
      <c r="AEU76" s="2"/>
      <c r="AEV76" s="2">
        <v>175</v>
      </c>
      <c r="AEW76" s="2"/>
      <c r="AEX76" s="2"/>
      <c r="AEY76" s="2"/>
      <c r="AEZ76" s="2"/>
      <c r="AFA76" s="2"/>
      <c r="AFB76" s="2"/>
      <c r="AFC76" s="2"/>
      <c r="AFD76" s="2"/>
      <c r="AFE76" s="2"/>
      <c r="AFF76" s="2"/>
      <c r="AFG76" s="2"/>
      <c r="AFH76" s="2"/>
      <c r="AFI76" s="2"/>
      <c r="AFJ76" s="2"/>
      <c r="AFK76" s="2"/>
      <c r="AFL76" s="2">
        <f t="shared" si="1"/>
        <v>875</v>
      </c>
    </row>
    <row r="77" spans="1:844" s="11" customFormat="1" x14ac:dyDescent="0.3">
      <c r="B77" s="91">
        <v>45372905</v>
      </c>
      <c r="C77" s="52" t="s">
        <v>151</v>
      </c>
      <c r="D77" s="35" t="s">
        <v>3</v>
      </c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>
        <v>77</v>
      </c>
      <c r="S77" s="2">
        <f>77+77</f>
        <v>154</v>
      </c>
      <c r="T77" s="2">
        <f>77+154</f>
        <v>231</v>
      </c>
      <c r="U77" s="2"/>
      <c r="V77" s="2"/>
      <c r="W77" s="2">
        <v>154</v>
      </c>
      <c r="X77" s="2">
        <f>154+77</f>
        <v>231</v>
      </c>
      <c r="Y77" s="2">
        <v>77</v>
      </c>
      <c r="Z77" s="2"/>
      <c r="AA77" s="2"/>
      <c r="AB77" s="2">
        <v>77</v>
      </c>
      <c r="AC77" s="2"/>
      <c r="AD77" s="2"/>
      <c r="AE77" s="2"/>
      <c r="AF77" s="2">
        <f>77+77</f>
        <v>154</v>
      </c>
      <c r="AG77" s="2">
        <f>77*4</f>
        <v>308</v>
      </c>
      <c r="AH77" s="2"/>
      <c r="AI77" s="2"/>
      <c r="AJ77" s="2"/>
      <c r="AK77" s="2"/>
      <c r="AL77" s="2"/>
      <c r="AM77" s="2">
        <f>154+77</f>
        <v>231</v>
      </c>
      <c r="AN77" s="2"/>
      <c r="AO77" s="2"/>
      <c r="AP77" s="2"/>
      <c r="AQ77" s="2"/>
      <c r="AR77" s="2"/>
      <c r="AS77" s="2">
        <f>154+77</f>
        <v>231</v>
      </c>
      <c r="AT77" s="2">
        <v>77</v>
      </c>
      <c r="AU77" s="2"/>
      <c r="AV77" s="2"/>
      <c r="AW77" s="2">
        <v>77</v>
      </c>
      <c r="AX77" s="2"/>
      <c r="AY77" s="2">
        <v>77</v>
      </c>
      <c r="AZ77" s="2">
        <v>77</v>
      </c>
      <c r="BA77" s="2"/>
      <c r="BB77" s="2">
        <v>77</v>
      </c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>
        <v>77</v>
      </c>
      <c r="BU77" s="2">
        <v>77</v>
      </c>
      <c r="BV77" s="2"/>
      <c r="BW77" s="2"/>
      <c r="BX77" s="2"/>
      <c r="BY77" s="2"/>
      <c r="BZ77" s="2"/>
      <c r="CA77" s="2">
        <v>77</v>
      </c>
      <c r="CB77" s="2"/>
      <c r="CC77" s="2">
        <v>1</v>
      </c>
      <c r="CD77" s="2"/>
      <c r="CE77" s="2"/>
      <c r="CF77" s="2"/>
      <c r="CG77" s="2"/>
      <c r="CH77" s="2">
        <v>77</v>
      </c>
      <c r="CI77" s="2"/>
      <c r="CJ77" s="2"/>
      <c r="CK77" s="2">
        <v>77</v>
      </c>
      <c r="CL77" s="2">
        <v>154</v>
      </c>
      <c r="CM77" s="2">
        <v>77</v>
      </c>
      <c r="CN77" s="2"/>
      <c r="CO77" s="2"/>
      <c r="CP77" s="2">
        <v>77</v>
      </c>
      <c r="CQ77" s="2"/>
      <c r="CR77" s="2"/>
      <c r="CS77" s="2">
        <v>154</v>
      </c>
      <c r="CT77" s="2"/>
      <c r="CU77" s="2"/>
      <c r="CV77" s="2"/>
      <c r="CW77" s="2">
        <f>77+77</f>
        <v>154</v>
      </c>
      <c r="CX77" s="2"/>
      <c r="CY77" s="2"/>
      <c r="CZ77" s="2">
        <v>77</v>
      </c>
      <c r="DA77" s="2">
        <f>77+77+77</f>
        <v>231</v>
      </c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>
        <v>-77</v>
      </c>
      <c r="DY77" s="2"/>
      <c r="DZ77" s="2"/>
      <c r="EA77" s="2"/>
      <c r="EB77" s="2"/>
      <c r="EC77" s="2"/>
      <c r="ED77" s="2"/>
      <c r="EE77" s="2">
        <v>1</v>
      </c>
      <c r="EF77" s="2"/>
      <c r="EG77" s="2"/>
      <c r="EH77" s="2"/>
      <c r="EI77" s="2"/>
      <c r="EJ77" s="2"/>
      <c r="EK77" s="2">
        <v>154</v>
      </c>
      <c r="EL77" s="2"/>
      <c r="EM77" s="2"/>
      <c r="EN77" s="2"/>
      <c r="EO77" s="2"/>
      <c r="EP77" s="2"/>
      <c r="EQ77" s="2">
        <v>77</v>
      </c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>
        <v>77</v>
      </c>
      <c r="FM77" s="2">
        <v>77</v>
      </c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>
        <v>77</v>
      </c>
      <c r="GL77" s="2"/>
      <c r="GM77" s="2"/>
      <c r="GN77" s="2"/>
      <c r="GO77" s="2"/>
      <c r="GP77" s="2"/>
      <c r="GQ77" s="2"/>
      <c r="GR77" s="2"/>
      <c r="GS77" s="2">
        <v>77</v>
      </c>
      <c r="GT77" s="2"/>
      <c r="GU77" s="2"/>
      <c r="GV77" s="2">
        <v>77</v>
      </c>
      <c r="GW77" s="2"/>
      <c r="GX77" s="2"/>
      <c r="GY77" s="2"/>
      <c r="GZ77" s="2"/>
      <c r="HA77" s="2"/>
      <c r="HB77" s="2">
        <v>77</v>
      </c>
      <c r="HC77" s="2">
        <v>1</v>
      </c>
      <c r="HD77" s="2"/>
      <c r="HE77" s="2"/>
      <c r="HF77" s="2"/>
      <c r="HG77" s="2"/>
      <c r="HH77" s="2"/>
      <c r="HI77" s="2"/>
      <c r="HJ77" s="2"/>
      <c r="HK77" s="2"/>
      <c r="HL77" s="2"/>
      <c r="HM77" s="2">
        <v>77</v>
      </c>
      <c r="HN77" s="2"/>
      <c r="HO77" s="2"/>
      <c r="HP77" s="2"/>
      <c r="HQ77" s="2"/>
      <c r="HR77" s="2">
        <v>77</v>
      </c>
      <c r="HS77" s="2"/>
      <c r="HT77" s="2"/>
      <c r="HU77" s="2">
        <v>77</v>
      </c>
      <c r="HV77" s="2"/>
      <c r="HW77" s="2"/>
      <c r="HX77" s="2"/>
      <c r="HY77" s="2"/>
      <c r="HZ77" s="2"/>
      <c r="IA77" s="2"/>
      <c r="IB77" s="2"/>
      <c r="IC77" s="2"/>
      <c r="ID77" s="2"/>
      <c r="IE77" s="2">
        <v>77</v>
      </c>
      <c r="IF77" s="2"/>
      <c r="IG77" s="2"/>
      <c r="IH77" s="2"/>
      <c r="II77" s="2"/>
      <c r="IJ77" s="2"/>
      <c r="IK77" s="2">
        <v>4</v>
      </c>
      <c r="IL77" s="2"/>
      <c r="IM77" s="2"/>
      <c r="IN77" s="2"/>
      <c r="IO77" s="2"/>
      <c r="IP77" s="2"/>
      <c r="IQ77" s="2"/>
      <c r="IR77" s="2"/>
      <c r="IS77" s="2"/>
      <c r="IT77" s="2">
        <v>77</v>
      </c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>
        <v>154</v>
      </c>
      <c r="JX77" s="2"/>
      <c r="JY77" s="2"/>
      <c r="JZ77" s="2">
        <v>77</v>
      </c>
      <c r="KA77" s="2">
        <v>77</v>
      </c>
      <c r="KB77" s="2"/>
      <c r="KC77" s="2"/>
      <c r="KD77" s="2"/>
      <c r="KE77" s="2">
        <f>77+77</f>
        <v>154</v>
      </c>
      <c r="KF77" s="2"/>
      <c r="KG77" s="2"/>
      <c r="KH77" s="2"/>
      <c r="KI77" s="2"/>
      <c r="KJ77" s="2">
        <v>77</v>
      </c>
      <c r="KK77" s="2"/>
      <c r="KL77" s="2"/>
      <c r="KM77" s="2"/>
      <c r="KN77" s="2"/>
      <c r="KO77" s="2"/>
      <c r="KP77" s="2"/>
      <c r="KQ77" s="2"/>
      <c r="KR77" s="2"/>
      <c r="KS77" s="2"/>
      <c r="KT77" s="2">
        <f>154+77</f>
        <v>231</v>
      </c>
      <c r="KU77" s="2"/>
      <c r="KV77" s="2"/>
      <c r="KW77" s="2"/>
      <c r="KX77" s="2"/>
      <c r="KY77" s="2"/>
      <c r="KZ77" s="2"/>
      <c r="LA77" s="2">
        <v>30</v>
      </c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>
        <v>77</v>
      </c>
      <c r="LT77" s="2"/>
      <c r="LU77" s="2">
        <v>77</v>
      </c>
      <c r="LV77" s="2"/>
      <c r="LW77" s="2"/>
      <c r="LX77" s="2"/>
      <c r="LY77" s="2">
        <v>154</v>
      </c>
      <c r="LZ77" s="2"/>
      <c r="MA77" s="2"/>
      <c r="MB77" s="2">
        <v>154</v>
      </c>
      <c r="MC77" s="2"/>
      <c r="MD77" s="2"/>
      <c r="ME77" s="2"/>
      <c r="MF77" s="2"/>
      <c r="MG77" s="2"/>
      <c r="MH77" s="2">
        <f>154+77</f>
        <v>231</v>
      </c>
      <c r="MI77" s="2"/>
      <c r="MJ77" s="2"/>
      <c r="MK77" s="2"/>
      <c r="ML77" s="2"/>
      <c r="MM77" s="2"/>
      <c r="MN77" s="2">
        <v>2</v>
      </c>
      <c r="MO77" s="2"/>
      <c r="MP77" s="2"/>
      <c r="MQ77" s="2"/>
      <c r="MR77" s="2"/>
      <c r="MS77" s="2"/>
      <c r="MT77" s="2">
        <v>77</v>
      </c>
      <c r="MU77" s="2"/>
      <c r="MV77" s="2"/>
      <c r="MW77" s="2"/>
      <c r="MX77" s="2"/>
      <c r="MY77" s="2"/>
      <c r="MZ77" s="2"/>
      <c r="NA77" s="2"/>
      <c r="NB77" s="2">
        <v>77</v>
      </c>
      <c r="NC77" s="2"/>
      <c r="ND77" s="2"/>
      <c r="NE77" s="2"/>
      <c r="NF77" s="2"/>
      <c r="NG77" s="2"/>
      <c r="NH77" s="2">
        <v>77</v>
      </c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>
        <f>77+4</f>
        <v>81</v>
      </c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>
        <f>77+77+77</f>
        <v>231</v>
      </c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>
        <v>77</v>
      </c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>
        <v>77</v>
      </c>
      <c r="QB77" s="2"/>
      <c r="QC77" s="2"/>
      <c r="QD77" s="2"/>
      <c r="QE77" s="2"/>
      <c r="QF77" s="2">
        <v>77</v>
      </c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>
        <f>77</f>
        <v>77</v>
      </c>
      <c r="RB77" s="2"/>
      <c r="RC77" s="2"/>
      <c r="RD77" s="2"/>
      <c r="RE77" s="2"/>
      <c r="RF77" s="2">
        <v>1</v>
      </c>
      <c r="RG77" s="2"/>
      <c r="RH77" s="2">
        <f>66</f>
        <v>66</v>
      </c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>
        <f>77</f>
        <v>77</v>
      </c>
      <c r="SD77" s="2"/>
      <c r="SE77" s="2">
        <f>77</f>
        <v>77</v>
      </c>
      <c r="SF77" s="2"/>
      <c r="SG77" s="2">
        <f>77+77</f>
        <v>154</v>
      </c>
      <c r="SH77" s="2"/>
      <c r="SI77" s="2">
        <f>77</f>
        <v>77</v>
      </c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>
        <v>55</v>
      </c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>
        <v>1</v>
      </c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>
        <v>43</v>
      </c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>
        <v>154</v>
      </c>
      <c r="YA77" s="2"/>
      <c r="YB77" s="2">
        <v>154</v>
      </c>
      <c r="YC77" s="2"/>
      <c r="YD77" s="2"/>
      <c r="YE77" s="2"/>
      <c r="YF77" s="2"/>
      <c r="YG77" s="2"/>
      <c r="YH77" s="2">
        <v>154</v>
      </c>
      <c r="YI77" s="2"/>
      <c r="YJ77" s="2"/>
      <c r="YK77" s="2"/>
      <c r="YL77" s="2"/>
      <c r="YM77" s="2"/>
      <c r="YN77" s="2">
        <v>154</v>
      </c>
      <c r="YO77" s="2"/>
      <c r="YP77" s="2"/>
      <c r="YQ77" s="2"/>
      <c r="YR77" s="2"/>
      <c r="YS77" s="2"/>
      <c r="YT77" s="2"/>
      <c r="YU77" s="2"/>
      <c r="YV77" s="2"/>
      <c r="YW77" s="2">
        <v>154</v>
      </c>
      <c r="YX77" s="2"/>
      <c r="YY77" s="2">
        <f>26+77</f>
        <v>103</v>
      </c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>
        <v>77</v>
      </c>
      <c r="AAA77" s="2"/>
      <c r="AAB77" s="2"/>
      <c r="AAC77" s="2"/>
      <c r="AAD77" s="2"/>
      <c r="AAE77" s="2"/>
      <c r="AAF77" s="2"/>
      <c r="AAG77" s="2"/>
      <c r="AAH77" s="2"/>
      <c r="AAI77" s="2">
        <v>1</v>
      </c>
      <c r="AAJ77" s="2"/>
      <c r="AAK77" s="2"/>
      <c r="AAL77" s="2"/>
      <c r="AAM77" s="2"/>
      <c r="AAN77" s="2"/>
      <c r="AAO77" s="2"/>
      <c r="AAP77" s="2"/>
      <c r="AAQ77" s="2"/>
      <c r="AAR77" s="2"/>
      <c r="AAS77" s="2"/>
      <c r="AAT77" s="2"/>
      <c r="AAU77" s="2"/>
      <c r="AAV77" s="2"/>
      <c r="AAW77" s="2"/>
      <c r="AAX77" s="2"/>
      <c r="AAY77" s="2"/>
      <c r="AAZ77" s="2">
        <v>154</v>
      </c>
      <c r="ABA77" s="2"/>
      <c r="ABB77" s="2">
        <v>154</v>
      </c>
      <c r="ABC77" s="2"/>
      <c r="ABD77" s="2"/>
      <c r="ABE77" s="2"/>
      <c r="ABF77" s="2"/>
      <c r="ABG77" s="2"/>
      <c r="ABH77" s="2">
        <v>7</v>
      </c>
      <c r="ABI77" s="2"/>
      <c r="ABJ77" s="2"/>
      <c r="ABK77" s="2"/>
      <c r="ABL77" s="2"/>
      <c r="ABM77" s="2"/>
      <c r="ABN77" s="2"/>
      <c r="ABO77" s="2"/>
      <c r="ABP77" s="2"/>
      <c r="ABQ77" s="2"/>
      <c r="ABR77" s="2"/>
      <c r="ABS77" s="2"/>
      <c r="ABT77" s="2"/>
      <c r="ABU77" s="2"/>
      <c r="ABV77" s="2"/>
      <c r="ABW77" s="2"/>
      <c r="ABX77" s="2"/>
      <c r="ABY77" s="2"/>
      <c r="ABZ77" s="2"/>
      <c r="ACA77" s="2"/>
      <c r="ACB77" s="2"/>
      <c r="ACC77" s="2"/>
      <c r="ACD77" s="2"/>
      <c r="ACE77" s="2"/>
      <c r="ACF77" s="2"/>
      <c r="ACG77" s="2"/>
      <c r="ACH77" s="2"/>
      <c r="ACI77" s="2"/>
      <c r="ACJ77" s="2"/>
      <c r="ACK77" s="2">
        <v>50</v>
      </c>
      <c r="ACL77" s="2"/>
      <c r="ACM77" s="2"/>
      <c r="ACN77" s="2"/>
      <c r="ACO77" s="2"/>
      <c r="ACP77" s="2"/>
      <c r="ACQ77" s="2"/>
      <c r="ACR77" s="2"/>
      <c r="ACS77" s="2"/>
      <c r="ACT77" s="2"/>
      <c r="ACU77" s="2"/>
      <c r="ACV77" s="2"/>
      <c r="ACW77" s="2"/>
      <c r="ACX77" s="2"/>
      <c r="ACY77" s="2"/>
      <c r="ACZ77" s="2"/>
      <c r="ADA77" s="2"/>
      <c r="ADB77" s="2"/>
      <c r="ADC77" s="2"/>
      <c r="ADD77" s="2"/>
      <c r="ADE77" s="2"/>
      <c r="ADF77" s="2"/>
      <c r="ADG77" s="2"/>
      <c r="ADH77" s="2">
        <v>1</v>
      </c>
      <c r="ADI77" s="2"/>
      <c r="ADJ77" s="2"/>
      <c r="ADK77" s="2"/>
      <c r="ADL77" s="2"/>
      <c r="ADM77" s="2"/>
      <c r="ADN77" s="2"/>
      <c r="ADO77" s="2"/>
      <c r="ADP77" s="2"/>
      <c r="ADQ77" s="2"/>
      <c r="ADR77" s="2"/>
      <c r="ADS77" s="2"/>
      <c r="ADT77" s="2"/>
      <c r="ADU77" s="2"/>
      <c r="ADV77" s="2"/>
      <c r="ADW77" s="2">
        <v>2</v>
      </c>
      <c r="ADX77" s="2"/>
      <c r="ADY77" s="2"/>
      <c r="ADZ77" s="2"/>
      <c r="AEA77" s="2"/>
      <c r="AEB77" s="2"/>
      <c r="AEC77" s="2"/>
      <c r="AED77" s="2"/>
      <c r="AEE77" s="2"/>
      <c r="AEF77" s="2"/>
      <c r="AEG77" s="2"/>
      <c r="AEH77" s="2"/>
      <c r="AEI77" s="2"/>
      <c r="AEJ77" s="2"/>
      <c r="AEK77" s="2"/>
      <c r="AEL77" s="2"/>
      <c r="AEM77" s="2"/>
      <c r="AEN77" s="2"/>
      <c r="AEO77" s="2"/>
      <c r="AEP77" s="2"/>
      <c r="AEQ77" s="2"/>
      <c r="AER77" s="2"/>
      <c r="AES77" s="2"/>
      <c r="AET77" s="2"/>
      <c r="AEU77" s="2"/>
      <c r="AEV77" s="2"/>
      <c r="AEW77" s="2"/>
      <c r="AEX77" s="2"/>
      <c r="AEY77" s="2"/>
      <c r="AEZ77" s="2"/>
      <c r="AFA77" s="2"/>
      <c r="AFB77" s="2"/>
      <c r="AFC77" s="2"/>
      <c r="AFD77" s="2"/>
      <c r="AFE77" s="2"/>
      <c r="AFF77" s="2"/>
      <c r="AFG77" s="2"/>
      <c r="AFH77" s="2"/>
      <c r="AFI77" s="2"/>
      <c r="AFJ77" s="2"/>
      <c r="AFK77" s="2"/>
      <c r="AFL77" s="2">
        <f t="shared" si="1"/>
        <v>8843</v>
      </c>
    </row>
    <row r="78" spans="1:844" x14ac:dyDescent="0.3">
      <c r="B78" s="91">
        <v>45372855</v>
      </c>
      <c r="C78" s="52" t="s">
        <v>153</v>
      </c>
      <c r="D78" s="35" t="s">
        <v>4</v>
      </c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>
        <v>48</v>
      </c>
      <c r="IE78" s="2">
        <v>96</v>
      </c>
      <c r="IF78" s="2">
        <v>48</v>
      </c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>
        <f>36+36</f>
        <v>72</v>
      </c>
      <c r="JL78" s="2"/>
      <c r="JM78" s="2"/>
      <c r="JN78" s="2"/>
      <c r="JO78" s="2"/>
      <c r="JP78" s="2">
        <f>72+36</f>
        <v>108</v>
      </c>
      <c r="JQ78" s="2">
        <v>72</v>
      </c>
      <c r="JR78" s="2"/>
      <c r="JS78" s="2"/>
      <c r="JT78" s="2"/>
      <c r="JU78" s="2"/>
      <c r="JV78" s="2"/>
      <c r="JW78" s="2"/>
      <c r="JX78" s="2">
        <v>36</v>
      </c>
      <c r="JY78" s="2"/>
      <c r="JZ78" s="2"/>
      <c r="KA78" s="2">
        <f>36+36</f>
        <v>72</v>
      </c>
      <c r="KB78" s="2"/>
      <c r="KC78" s="2">
        <v>72</v>
      </c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>
        <v>23</v>
      </c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>
        <v>72</v>
      </c>
      <c r="MV78" s="2">
        <v>36</v>
      </c>
      <c r="MW78" s="2"/>
      <c r="MX78" s="2"/>
      <c r="MY78" s="2"/>
      <c r="MZ78" s="2">
        <f>36+72</f>
        <v>108</v>
      </c>
      <c r="NA78" s="2"/>
      <c r="NB78" s="2"/>
      <c r="NC78" s="2"/>
      <c r="ND78" s="2">
        <f>36+36</f>
        <v>72</v>
      </c>
      <c r="NE78" s="2">
        <v>72</v>
      </c>
      <c r="NF78" s="2">
        <f>72+72</f>
        <v>144</v>
      </c>
      <c r="NG78" s="2"/>
      <c r="NH78" s="2"/>
      <c r="NI78" s="2">
        <v>36</v>
      </c>
      <c r="NJ78" s="2">
        <v>36</v>
      </c>
      <c r="NK78" s="2"/>
      <c r="NL78" s="2"/>
      <c r="NM78" s="2"/>
      <c r="NN78" s="2"/>
      <c r="NO78" s="2"/>
      <c r="NP78" s="2"/>
      <c r="NQ78" s="2"/>
      <c r="NR78" s="2"/>
      <c r="NS78" s="2">
        <v>72</v>
      </c>
      <c r="NT78" s="2"/>
      <c r="NU78" s="2"/>
      <c r="NV78" s="2"/>
      <c r="NW78" s="2">
        <v>72</v>
      </c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>
        <v>1</v>
      </c>
      <c r="OJ78" s="2"/>
      <c r="OK78" s="2"/>
      <c r="OL78" s="2"/>
      <c r="OM78" s="2">
        <v>108</v>
      </c>
      <c r="ON78" s="2"/>
      <c r="OO78" s="2"/>
      <c r="OP78" s="2">
        <v>36</v>
      </c>
      <c r="OQ78" s="2"/>
      <c r="OR78" s="2"/>
      <c r="OS78" s="2"/>
      <c r="OT78" s="2"/>
      <c r="OU78" s="2"/>
      <c r="OV78" s="2"/>
      <c r="OW78" s="2">
        <v>36</v>
      </c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>
        <v>36</v>
      </c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>
        <f>36</f>
        <v>36</v>
      </c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>
        <f>72</f>
        <v>72</v>
      </c>
      <c r="SB78" s="2"/>
      <c r="SC78" s="2"/>
      <c r="SD78" s="2"/>
      <c r="SE78" s="2"/>
      <c r="SF78" s="2"/>
      <c r="SG78" s="2"/>
      <c r="SH78" s="2">
        <f>72</f>
        <v>72</v>
      </c>
      <c r="SI78" s="2">
        <f>36+72+36</f>
        <v>144</v>
      </c>
      <c r="SJ78" s="2">
        <f>72</f>
        <v>72</v>
      </c>
      <c r="SK78" s="2"/>
      <c r="SL78" s="2"/>
      <c r="SM78" s="2"/>
      <c r="SN78" s="2">
        <f>36</f>
        <v>36</v>
      </c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12">
        <v>1</v>
      </c>
      <c r="TK78" s="2"/>
      <c r="TL78" s="2">
        <v>72</v>
      </c>
      <c r="TM78" s="2">
        <f>36+36</f>
        <v>72</v>
      </c>
      <c r="TN78" s="2"/>
      <c r="TO78" s="2"/>
      <c r="TP78" s="2">
        <v>36</v>
      </c>
      <c r="TQ78" s="2"/>
      <c r="TR78" s="2"/>
      <c r="TS78" s="2"/>
      <c r="TT78" s="2">
        <v>36</v>
      </c>
      <c r="TU78" s="2"/>
      <c r="TV78" s="2"/>
      <c r="TW78" s="2"/>
      <c r="TX78" s="2"/>
      <c r="TY78" s="2"/>
      <c r="TZ78" s="2"/>
      <c r="UA78" s="2"/>
      <c r="UB78" s="2"/>
      <c r="UC78" s="2">
        <v>36</v>
      </c>
      <c r="UD78" s="2"/>
      <c r="UE78" s="2">
        <v>36</v>
      </c>
      <c r="UF78" s="2"/>
      <c r="UG78" s="2"/>
      <c r="UH78" s="2"/>
      <c r="UI78" s="2"/>
      <c r="UJ78" s="2">
        <v>72</v>
      </c>
      <c r="UK78" s="2"/>
      <c r="UL78" s="2"/>
      <c r="UM78" s="2"/>
      <c r="UN78" s="2">
        <f>72+72+36</f>
        <v>180</v>
      </c>
      <c r="UO78" s="2"/>
      <c r="UP78" s="2"/>
      <c r="UQ78" s="2"/>
      <c r="UR78" s="2"/>
      <c r="US78" s="2"/>
      <c r="UT78" s="2"/>
      <c r="UU78" s="2">
        <v>1</v>
      </c>
      <c r="UV78" s="2"/>
      <c r="UW78" s="2"/>
      <c r="UX78" s="2"/>
      <c r="UY78" s="2"/>
      <c r="UZ78" s="2"/>
      <c r="VA78" s="2"/>
      <c r="VB78" s="2"/>
      <c r="VC78" s="2"/>
      <c r="VD78" s="2"/>
      <c r="VE78" s="2">
        <v>72</v>
      </c>
      <c r="VF78" s="2"/>
      <c r="VG78" s="2"/>
      <c r="VH78" s="2"/>
      <c r="VI78" s="2"/>
      <c r="VJ78" s="2"/>
      <c r="VK78" s="2">
        <v>36</v>
      </c>
      <c r="VL78" s="2"/>
      <c r="VM78" s="2">
        <v>2</v>
      </c>
      <c r="VN78" s="2"/>
      <c r="VO78" s="2"/>
      <c r="VP78" s="2"/>
      <c r="VQ78" s="2"/>
      <c r="VR78" s="2">
        <v>11</v>
      </c>
      <c r="VS78" s="2"/>
      <c r="VT78" s="2">
        <v>36</v>
      </c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>
        <v>72</v>
      </c>
      <c r="WW78" s="2"/>
      <c r="WX78" s="2"/>
      <c r="WY78" s="2">
        <v>72</v>
      </c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>
        <v>72</v>
      </c>
      <c r="XP78" s="2">
        <v>72</v>
      </c>
      <c r="XQ78" s="2">
        <v>36</v>
      </c>
      <c r="XR78" s="2">
        <v>36</v>
      </c>
      <c r="XS78" s="2"/>
      <c r="XT78" s="2"/>
      <c r="XU78" s="2"/>
      <c r="XV78" s="2"/>
      <c r="XW78" s="2"/>
      <c r="XX78" s="2"/>
      <c r="XY78" s="2">
        <f>36+20</f>
        <v>56</v>
      </c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  <c r="AAA78" s="2"/>
      <c r="AAB78" s="2"/>
      <c r="AAC78" s="2"/>
      <c r="AAD78" s="2"/>
      <c r="AAE78" s="2"/>
      <c r="AAF78" s="2"/>
      <c r="AAG78" s="2"/>
      <c r="AAH78" s="2"/>
      <c r="AAI78" s="2"/>
      <c r="AAJ78" s="2"/>
      <c r="AAK78" s="2"/>
      <c r="AAL78" s="2"/>
      <c r="AAM78" s="2"/>
      <c r="AAN78" s="2"/>
      <c r="AAO78" s="2"/>
      <c r="AAP78" s="2"/>
      <c r="AAQ78" s="2"/>
      <c r="AAR78" s="2"/>
      <c r="AAS78" s="2"/>
      <c r="AAT78" s="2"/>
      <c r="AAU78" s="2"/>
      <c r="AAV78" s="2"/>
      <c r="AAW78" s="2"/>
      <c r="AAX78" s="2"/>
      <c r="AAY78" s="2"/>
      <c r="AAZ78" s="2"/>
      <c r="ABA78" s="2"/>
      <c r="ABB78" s="2"/>
      <c r="ABC78" s="2"/>
      <c r="ABD78" s="2"/>
      <c r="ABE78" s="2"/>
      <c r="ABF78" s="2"/>
      <c r="ABG78" s="2"/>
      <c r="ABH78" s="2"/>
      <c r="ABI78" s="2"/>
      <c r="ABJ78" s="2"/>
      <c r="ABK78" s="2"/>
      <c r="ABL78" s="2"/>
      <c r="ABM78" s="2"/>
      <c r="ABN78" s="2"/>
      <c r="ABO78" s="2"/>
      <c r="ABP78" s="2"/>
      <c r="ABQ78" s="2"/>
      <c r="ABR78" s="2"/>
      <c r="ABS78" s="2"/>
      <c r="ABT78" s="2"/>
      <c r="ABU78" s="2"/>
      <c r="ABV78" s="2"/>
      <c r="ABW78" s="2"/>
      <c r="ABX78" s="2"/>
      <c r="ABY78" s="2"/>
      <c r="ABZ78" s="2"/>
      <c r="ACA78" s="2"/>
      <c r="ACB78" s="2"/>
      <c r="ACC78" s="2"/>
      <c r="ACD78" s="2"/>
      <c r="ACE78" s="2"/>
      <c r="ACF78" s="2"/>
      <c r="ACG78" s="2"/>
      <c r="ACH78" s="2"/>
      <c r="ACI78" s="2"/>
      <c r="ACJ78" s="2"/>
      <c r="ACK78" s="2"/>
      <c r="ACL78" s="2"/>
      <c r="ACM78" s="2"/>
      <c r="ACN78" s="2"/>
      <c r="ACO78" s="2"/>
      <c r="ACP78" s="2"/>
      <c r="ACQ78" s="2"/>
      <c r="ACR78" s="2"/>
      <c r="ACS78" s="2"/>
      <c r="ACT78" s="2"/>
      <c r="ACU78" s="2"/>
      <c r="ACV78" s="2"/>
      <c r="ACW78" s="2"/>
      <c r="ACX78" s="2"/>
      <c r="ACY78" s="2"/>
      <c r="ACZ78" s="2"/>
      <c r="ADA78" s="2"/>
      <c r="ADB78" s="2"/>
      <c r="ADC78" s="2"/>
      <c r="ADD78" s="2"/>
      <c r="ADE78" s="2"/>
      <c r="ADF78" s="2"/>
      <c r="ADG78" s="2"/>
      <c r="ADH78" s="2"/>
      <c r="ADI78" s="2"/>
      <c r="ADJ78" s="2"/>
      <c r="ADK78" s="2"/>
      <c r="ADL78" s="2"/>
      <c r="ADM78" s="2"/>
      <c r="ADN78" s="2"/>
      <c r="ADO78" s="2"/>
      <c r="ADP78" s="2"/>
      <c r="ADQ78" s="2"/>
      <c r="ADR78" s="2"/>
      <c r="ADS78" s="2"/>
      <c r="ADT78" s="2"/>
      <c r="ADU78" s="2"/>
      <c r="ADV78" s="2"/>
      <c r="ADW78" s="2"/>
      <c r="ADX78" s="2"/>
      <c r="ADY78" s="2"/>
      <c r="ADZ78" s="2"/>
      <c r="AEA78" s="2"/>
      <c r="AEB78" s="2"/>
      <c r="AEC78" s="2"/>
      <c r="AED78" s="2"/>
      <c r="AEE78" s="2"/>
      <c r="AEF78" s="2"/>
      <c r="AEG78" s="2"/>
      <c r="AEH78" s="2"/>
      <c r="AEI78" s="2"/>
      <c r="AEJ78" s="2"/>
      <c r="AEK78" s="2"/>
      <c r="AEL78" s="2"/>
      <c r="AEM78" s="2"/>
      <c r="AEN78" s="2"/>
      <c r="AEO78" s="2"/>
      <c r="AEP78" s="2"/>
      <c r="AEQ78" s="2"/>
      <c r="AER78" s="2"/>
      <c r="AES78" s="2"/>
      <c r="AET78" s="2"/>
      <c r="AEU78" s="2"/>
      <c r="AEV78" s="2"/>
      <c r="AEW78" s="2"/>
      <c r="AEX78" s="2"/>
      <c r="AEY78" s="2"/>
      <c r="AEZ78" s="2"/>
      <c r="AFA78" s="2"/>
      <c r="AFB78" s="2"/>
      <c r="AFC78" s="2"/>
      <c r="AFD78" s="2"/>
      <c r="AFE78" s="2"/>
      <c r="AFF78" s="2"/>
      <c r="AFG78" s="2"/>
      <c r="AFH78" s="2"/>
      <c r="AFI78" s="2"/>
      <c r="AFJ78" s="2"/>
      <c r="AFK78" s="2"/>
      <c r="AFL78" s="2">
        <f t="shared" si="1"/>
        <v>3131</v>
      </c>
    </row>
    <row r="79" spans="1:844" x14ac:dyDescent="0.3">
      <c r="B79" s="91">
        <v>550049812</v>
      </c>
      <c r="C79" s="52" t="s">
        <v>976</v>
      </c>
      <c r="D79" s="35" t="s">
        <v>2</v>
      </c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  <c r="AAA79" s="2"/>
      <c r="AAB79" s="2"/>
      <c r="AAC79" s="2"/>
      <c r="AAD79" s="2"/>
      <c r="AAE79" s="2"/>
      <c r="AAF79" s="2"/>
      <c r="AAG79" s="2"/>
      <c r="AAH79" s="2"/>
      <c r="AAI79" s="2"/>
      <c r="AAJ79" s="2"/>
      <c r="AAK79" s="2"/>
      <c r="AAL79" s="2"/>
      <c r="AAM79" s="2"/>
      <c r="AAN79" s="2"/>
      <c r="AAO79" s="2"/>
      <c r="AAP79" s="2"/>
      <c r="AAQ79" s="2"/>
      <c r="AAR79" s="2"/>
      <c r="AAS79" s="2"/>
      <c r="AAT79" s="2"/>
      <c r="AAU79" s="2"/>
      <c r="AAV79" s="2"/>
      <c r="AAW79" s="2"/>
      <c r="AAX79" s="2"/>
      <c r="AAY79" s="2"/>
      <c r="AAZ79" s="2"/>
      <c r="ABA79" s="2"/>
      <c r="ABB79" s="2"/>
      <c r="ABC79" s="2"/>
      <c r="ABD79" s="2"/>
      <c r="ABE79" s="2"/>
      <c r="ABF79" s="2"/>
      <c r="ABG79" s="2"/>
      <c r="ABH79" s="2"/>
      <c r="ABI79" s="2"/>
      <c r="ABJ79" s="2"/>
      <c r="ABK79" s="2"/>
      <c r="ABL79" s="2"/>
      <c r="ABM79" s="2"/>
      <c r="ABN79" s="2"/>
      <c r="ABO79" s="2"/>
      <c r="ABP79" s="2"/>
      <c r="ABQ79" s="2"/>
      <c r="ABR79" s="2"/>
      <c r="ABS79" s="2"/>
      <c r="ABT79" s="2"/>
      <c r="ABU79" s="2"/>
      <c r="ABV79" s="2"/>
      <c r="ABW79" s="2"/>
      <c r="ABX79" s="2"/>
      <c r="ABY79" s="2"/>
      <c r="ABZ79" s="2"/>
      <c r="ACA79" s="2"/>
      <c r="ACB79" s="2"/>
      <c r="ACC79" s="2"/>
      <c r="ACD79" s="2"/>
      <c r="ACE79" s="2"/>
      <c r="ACF79" s="2"/>
      <c r="ACG79" s="2"/>
      <c r="ACH79" s="2"/>
      <c r="ACI79" s="2"/>
      <c r="ACJ79" s="2"/>
      <c r="ACK79" s="2"/>
      <c r="ACL79" s="2"/>
      <c r="ACM79" s="2"/>
      <c r="ACN79" s="2"/>
      <c r="ACO79" s="2"/>
      <c r="ACP79" s="2"/>
      <c r="ACQ79" s="2">
        <f>175+175</f>
        <v>350</v>
      </c>
      <c r="ACR79" s="2"/>
      <c r="ACS79" s="2"/>
      <c r="ACT79" s="2"/>
      <c r="ACU79" s="2"/>
      <c r="ACV79" s="2"/>
      <c r="ACW79" s="2"/>
      <c r="ACX79" s="2"/>
      <c r="ACY79" s="2"/>
      <c r="ACZ79" s="2"/>
      <c r="ADA79" s="2"/>
      <c r="ADB79" s="2"/>
      <c r="ADC79" s="2"/>
      <c r="ADD79" s="2"/>
      <c r="ADE79" s="2"/>
      <c r="ADF79" s="2"/>
      <c r="ADG79" s="2"/>
      <c r="ADH79" s="2"/>
      <c r="ADI79" s="2"/>
      <c r="ADJ79" s="2"/>
      <c r="ADK79" s="2">
        <f>175+175+175</f>
        <v>525</v>
      </c>
      <c r="ADL79" s="2"/>
      <c r="ADM79" s="2"/>
      <c r="ADN79" s="2"/>
      <c r="ADO79" s="2"/>
      <c r="ADP79" s="2">
        <v>175</v>
      </c>
      <c r="ADQ79" s="2"/>
      <c r="ADR79" s="2"/>
      <c r="ADS79" s="2"/>
      <c r="ADT79" s="2"/>
      <c r="ADU79" s="2"/>
      <c r="ADV79" s="2"/>
      <c r="ADW79" s="2"/>
      <c r="ADX79" s="2"/>
      <c r="ADY79" s="2"/>
      <c r="ADZ79" s="2"/>
      <c r="AEA79" s="2"/>
      <c r="AEB79" s="2"/>
      <c r="AEC79" s="2"/>
      <c r="AED79" s="2"/>
      <c r="AEE79" s="2"/>
      <c r="AEF79" s="2"/>
      <c r="AEG79" s="2"/>
      <c r="AEH79" s="2"/>
      <c r="AEI79" s="2"/>
      <c r="AEJ79" s="2"/>
      <c r="AEK79" s="2"/>
      <c r="AEL79" s="2">
        <v>175</v>
      </c>
      <c r="AEM79" s="2"/>
      <c r="AEN79" s="2"/>
      <c r="AEO79" s="2"/>
      <c r="AEP79" s="2"/>
      <c r="AEQ79" s="2"/>
      <c r="AER79" s="2"/>
      <c r="AES79" s="2"/>
      <c r="AET79" s="12">
        <v>1</v>
      </c>
      <c r="AEU79" s="2"/>
      <c r="AEV79" s="2">
        <v>175</v>
      </c>
      <c r="AEW79" s="2"/>
      <c r="AEX79" s="2"/>
      <c r="AEY79" s="2"/>
      <c r="AEZ79" s="2"/>
      <c r="AFA79" s="2"/>
      <c r="AFB79" s="2"/>
      <c r="AFC79" s="2"/>
      <c r="AFD79" s="2"/>
      <c r="AFE79" s="2"/>
      <c r="AFF79" s="2"/>
      <c r="AFG79" s="2"/>
      <c r="AFH79" s="2"/>
      <c r="AFI79" s="2"/>
      <c r="AFJ79" s="2"/>
      <c r="AFK79" s="2"/>
      <c r="AFL79" s="2">
        <f t="shared" si="1"/>
        <v>1401</v>
      </c>
    </row>
    <row r="80" spans="1:844" s="11" customFormat="1" x14ac:dyDescent="0.3">
      <c r="B80" s="91">
        <v>45372809</v>
      </c>
      <c r="C80" s="13" t="s">
        <v>155</v>
      </c>
      <c r="D80" s="35">
        <v>209</v>
      </c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>
        <v>8</v>
      </c>
      <c r="AG80" s="2"/>
      <c r="AH80" s="2">
        <v>12</v>
      </c>
      <c r="AI80" s="2">
        <v>8</v>
      </c>
      <c r="AJ80" s="2">
        <v>8</v>
      </c>
      <c r="AK80" s="2"/>
      <c r="AL80" s="2"/>
      <c r="AM80" s="2"/>
      <c r="AN80" s="2"/>
      <c r="AO80" s="2"/>
      <c r="AP80" s="2">
        <v>8</v>
      </c>
      <c r="AQ80" s="2"/>
      <c r="AR80" s="2"/>
      <c r="AS80" s="2"/>
      <c r="AT80" s="2"/>
      <c r="AU80" s="2"/>
      <c r="AV80" s="2"/>
      <c r="AW80" s="2"/>
      <c r="AX80" s="2"/>
      <c r="AY80" s="2"/>
      <c r="AZ80" s="2">
        <f>8+4</f>
        <v>12</v>
      </c>
      <c r="BA80" s="2"/>
      <c r="BB80" s="2"/>
      <c r="BC80" s="2"/>
      <c r="BD80" s="2"/>
      <c r="BE80" s="2">
        <v>8</v>
      </c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>
        <v>4</v>
      </c>
      <c r="CV80" s="2"/>
      <c r="CW80" s="2"/>
      <c r="CX80" s="2"/>
      <c r="CY80" s="2"/>
      <c r="CZ80" s="2">
        <v>8</v>
      </c>
      <c r="DA80" s="2">
        <f>8+8</f>
        <v>16</v>
      </c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>
        <v>6</v>
      </c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>
        <v>6</v>
      </c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>
        <f>4+4</f>
        <v>8</v>
      </c>
      <c r="GL80" s="2"/>
      <c r="GM80" s="2"/>
      <c r="GN80" s="2"/>
      <c r="GO80" s="2"/>
      <c r="GP80" s="2"/>
      <c r="GQ80" s="2"/>
      <c r="GR80" s="2"/>
      <c r="GS80" s="2"/>
      <c r="GT80" s="2"/>
      <c r="GU80" s="2">
        <v>4</v>
      </c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>
        <v>4</v>
      </c>
      <c r="HR80" s="2">
        <v>4</v>
      </c>
      <c r="HS80" s="2"/>
      <c r="HT80" s="2"/>
      <c r="HU80" s="2">
        <v>4</v>
      </c>
      <c r="HV80" s="2"/>
      <c r="HW80" s="2"/>
      <c r="HX80" s="2"/>
      <c r="HY80" s="2"/>
      <c r="HZ80" s="2"/>
      <c r="IA80" s="2"/>
      <c r="IB80" s="2"/>
      <c r="IC80" s="2"/>
      <c r="ID80" s="2"/>
      <c r="IE80" s="2">
        <v>16</v>
      </c>
      <c r="IF80" s="2"/>
      <c r="IG80" s="2"/>
      <c r="IH80" s="2"/>
      <c r="II80" s="2">
        <v>10</v>
      </c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>
        <v>8</v>
      </c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>
        <v>8</v>
      </c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>
        <v>4</v>
      </c>
      <c r="KK80" s="2"/>
      <c r="KL80" s="2"/>
      <c r="KM80" s="2"/>
      <c r="KN80" s="2"/>
      <c r="KO80" s="2"/>
      <c r="KP80" s="2"/>
      <c r="KQ80" s="2"/>
      <c r="KR80" s="2">
        <v>8</v>
      </c>
      <c r="KS80" s="2"/>
      <c r="KT80" s="2"/>
      <c r="KU80" s="2"/>
      <c r="KV80" s="2"/>
      <c r="KW80" s="2">
        <v>4</v>
      </c>
      <c r="KX80" s="2"/>
      <c r="KY80" s="2">
        <v>4</v>
      </c>
      <c r="KZ80" s="2"/>
      <c r="LA80" s="2"/>
      <c r="LB80" s="2"/>
      <c r="LC80" s="2"/>
      <c r="LD80" s="2"/>
      <c r="LE80" s="2"/>
      <c r="LF80" s="2"/>
      <c r="LG80" s="2"/>
      <c r="LH80" s="2"/>
      <c r="LI80" s="2">
        <v>8</v>
      </c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>
        <v>8</v>
      </c>
      <c r="MH80" s="2"/>
      <c r="MI80" s="2"/>
      <c r="MJ80" s="2"/>
      <c r="MK80" s="2"/>
      <c r="ML80" s="2"/>
      <c r="MM80" s="2"/>
      <c r="MN80" s="2"/>
      <c r="MO80" s="2"/>
      <c r="MP80" s="2">
        <f>4+4</f>
        <v>8</v>
      </c>
      <c r="MQ80" s="2"/>
      <c r="MR80" s="2"/>
      <c r="MS80" s="2"/>
      <c r="MT80" s="2"/>
      <c r="MU80" s="2"/>
      <c r="MV80" s="2">
        <v>12</v>
      </c>
      <c r="MW80" s="2"/>
      <c r="MX80" s="2"/>
      <c r="MY80" s="2"/>
      <c r="MZ80" s="2">
        <v>8</v>
      </c>
      <c r="NA80" s="2"/>
      <c r="NB80" s="2"/>
      <c r="NC80" s="2"/>
      <c r="ND80" s="2">
        <v>8</v>
      </c>
      <c r="NE80" s="2"/>
      <c r="NF80" s="2"/>
      <c r="NG80" s="2"/>
      <c r="NH80" s="2">
        <v>2</v>
      </c>
      <c r="NI80" s="2"/>
      <c r="NJ80" s="2">
        <v>8</v>
      </c>
      <c r="NK80" s="2"/>
      <c r="NL80" s="2"/>
      <c r="NM80" s="2"/>
      <c r="NN80" s="2">
        <v>4</v>
      </c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>
        <v>4</v>
      </c>
      <c r="ON80" s="2"/>
      <c r="OO80" s="2"/>
      <c r="OP80" s="2">
        <v>8</v>
      </c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>
        <v>4</v>
      </c>
      <c r="PF80" s="2"/>
      <c r="PG80" s="2"/>
      <c r="PH80" s="2"/>
      <c r="PI80" s="2"/>
      <c r="PJ80" s="2"/>
      <c r="PK80" s="2"/>
      <c r="PL80" s="2"/>
      <c r="PM80" s="2"/>
      <c r="PN80" s="2">
        <f>8</f>
        <v>8</v>
      </c>
      <c r="PO80" s="2">
        <f>12</f>
        <v>12</v>
      </c>
      <c r="PP80" s="2"/>
      <c r="PQ80" s="2"/>
      <c r="PR80" s="2"/>
      <c r="PS80" s="2"/>
      <c r="PT80" s="2"/>
      <c r="PU80" s="2"/>
      <c r="PV80" s="2">
        <v>8</v>
      </c>
      <c r="PW80" s="2"/>
      <c r="PX80" s="2"/>
      <c r="PY80" s="2"/>
      <c r="PZ80" s="2"/>
      <c r="QA80" s="2"/>
      <c r="QB80" s="2"/>
      <c r="QC80" s="2"/>
      <c r="QD80" s="2"/>
      <c r="QE80" s="2"/>
      <c r="QF80" s="2">
        <v>8</v>
      </c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>
        <f>8</f>
        <v>8</v>
      </c>
      <c r="QX80" s="2"/>
      <c r="QY80" s="2"/>
      <c r="QZ80" s="2">
        <f>8+1</f>
        <v>9</v>
      </c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>
        <f>3</f>
        <v>3</v>
      </c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>
        <v>8</v>
      </c>
      <c r="TC80" s="2"/>
      <c r="TD80" s="2"/>
      <c r="TE80" s="2">
        <v>2</v>
      </c>
      <c r="TF80" s="2"/>
      <c r="TG80" s="2"/>
      <c r="TH80" s="2"/>
      <c r="TI80" s="2"/>
      <c r="TJ80" s="2"/>
      <c r="TK80" s="2"/>
      <c r="TL80" s="2">
        <f>8+8</f>
        <v>16</v>
      </c>
      <c r="TM80" s="2">
        <f>4+8+8</f>
        <v>20</v>
      </c>
      <c r="TN80" s="2"/>
      <c r="TO80" s="2"/>
      <c r="TP80" s="2"/>
      <c r="TQ80" s="2"/>
      <c r="TR80" s="2"/>
      <c r="TS80" s="2"/>
      <c r="TT80" s="2"/>
      <c r="TU80" s="2"/>
      <c r="TV80" s="2">
        <f>8+8</f>
        <v>16</v>
      </c>
      <c r="TW80" s="2">
        <v>2</v>
      </c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  <c r="AAA80" s="2"/>
      <c r="AAB80" s="2"/>
      <c r="AAC80" s="2"/>
      <c r="AAD80" s="2"/>
      <c r="AAE80" s="2"/>
      <c r="AAF80" s="2"/>
      <c r="AAG80" s="2"/>
      <c r="AAH80" s="2"/>
      <c r="AAI80" s="2"/>
      <c r="AAJ80" s="2"/>
      <c r="AAK80" s="2"/>
      <c r="AAL80" s="2"/>
      <c r="AAM80" s="2"/>
      <c r="AAN80" s="2"/>
      <c r="AAO80" s="2"/>
      <c r="AAP80" s="2"/>
      <c r="AAQ80" s="2"/>
      <c r="AAR80" s="2"/>
      <c r="AAS80" s="2"/>
      <c r="AAT80" s="2"/>
      <c r="AAU80" s="2"/>
      <c r="AAV80" s="2"/>
      <c r="AAW80" s="2"/>
      <c r="AAX80" s="2"/>
      <c r="AAY80" s="2"/>
      <c r="AAZ80" s="2">
        <v>16</v>
      </c>
      <c r="ABA80" s="2">
        <f>8</f>
        <v>8</v>
      </c>
      <c r="ABB80" s="2">
        <v>16</v>
      </c>
      <c r="ABC80" s="2"/>
      <c r="ABD80" s="2"/>
      <c r="ABE80" s="2"/>
      <c r="ABF80" s="2"/>
      <c r="ABG80" s="2"/>
      <c r="ABH80" s="2"/>
      <c r="ABI80" s="2"/>
      <c r="ABJ80" s="2"/>
      <c r="ABK80" s="2"/>
      <c r="ABL80" s="2"/>
      <c r="ABM80" s="2"/>
      <c r="ABN80" s="2">
        <v>12</v>
      </c>
      <c r="ABO80" s="2"/>
      <c r="ABP80" s="2"/>
      <c r="ABQ80" s="2"/>
      <c r="ABR80" s="2"/>
      <c r="ABS80" s="2"/>
      <c r="ABT80" s="2"/>
      <c r="ABU80" s="2"/>
      <c r="ABV80" s="2"/>
      <c r="ABW80" s="2"/>
      <c r="ABX80" s="2"/>
      <c r="ABY80" s="2"/>
      <c r="ABZ80" s="2"/>
      <c r="ACA80" s="2"/>
      <c r="ACB80" s="2"/>
      <c r="ACC80" s="2"/>
      <c r="ACD80" s="2"/>
      <c r="ACE80" s="2"/>
      <c r="ACF80" s="2"/>
      <c r="ACG80" s="2"/>
      <c r="ACH80" s="2"/>
      <c r="ACI80" s="2"/>
      <c r="ACJ80" s="2"/>
      <c r="ACK80" s="2"/>
      <c r="ACL80" s="2"/>
      <c r="ACM80" s="2"/>
      <c r="ACN80" s="2"/>
      <c r="ACO80" s="2"/>
      <c r="ACP80" s="2"/>
      <c r="ACQ80" s="2"/>
      <c r="ACR80" s="2"/>
      <c r="ACS80" s="2"/>
      <c r="ACT80" s="2"/>
      <c r="ACU80" s="2"/>
      <c r="ACV80" s="2"/>
      <c r="ACW80" s="2"/>
      <c r="ACX80" s="2"/>
      <c r="ACY80" s="2"/>
      <c r="ACZ80" s="2"/>
      <c r="ADA80" s="2"/>
      <c r="ADB80" s="2"/>
      <c r="ADC80" s="2"/>
      <c r="ADD80" s="2"/>
      <c r="ADE80" s="2"/>
      <c r="ADF80" s="2"/>
      <c r="ADG80" s="2"/>
      <c r="ADH80" s="2"/>
      <c r="ADI80" s="2"/>
      <c r="ADJ80" s="2"/>
      <c r="ADK80" s="2"/>
      <c r="ADL80" s="2"/>
      <c r="ADM80" s="2"/>
      <c r="ADN80" s="2"/>
      <c r="ADO80" s="2"/>
      <c r="ADP80" s="2"/>
      <c r="ADQ80" s="2"/>
      <c r="ADR80" s="2"/>
      <c r="ADS80" s="2"/>
      <c r="ADT80" s="2"/>
      <c r="ADU80" s="2"/>
      <c r="ADV80" s="2"/>
      <c r="ADW80" s="2"/>
      <c r="ADX80" s="2"/>
      <c r="ADY80" s="2"/>
      <c r="ADZ80" s="2"/>
      <c r="AEA80" s="2"/>
      <c r="AEB80" s="2">
        <v>4</v>
      </c>
      <c r="AEC80" s="2"/>
      <c r="AED80" s="2"/>
      <c r="AEE80" s="2"/>
      <c r="AEF80" s="2"/>
      <c r="AEG80" s="2"/>
      <c r="AEH80" s="2">
        <f>11+8+4</f>
        <v>23</v>
      </c>
      <c r="AEI80" s="2"/>
      <c r="AEJ80" s="2"/>
      <c r="AEK80" s="2"/>
      <c r="AEL80" s="2"/>
      <c r="AEM80" s="2"/>
      <c r="AEN80" s="2"/>
      <c r="AEO80" s="2"/>
      <c r="AEP80" s="2"/>
      <c r="AEQ80" s="2"/>
      <c r="AER80" s="2"/>
      <c r="AES80" s="2"/>
      <c r="AET80" s="2"/>
      <c r="AEU80" s="2"/>
      <c r="AEV80" s="2"/>
      <c r="AEW80" s="2"/>
      <c r="AEX80" s="2"/>
      <c r="AEY80" s="2"/>
      <c r="AEZ80" s="2"/>
      <c r="AFA80" s="2"/>
      <c r="AFB80" s="2"/>
      <c r="AFC80" s="2"/>
      <c r="AFD80" s="2"/>
      <c r="AFE80" s="2"/>
      <c r="AFF80" s="2"/>
      <c r="AFG80" s="2"/>
      <c r="AFH80" s="2"/>
      <c r="AFI80" s="2"/>
      <c r="AFJ80" s="2"/>
      <c r="AFK80" s="2"/>
      <c r="AFL80" s="2">
        <f t="shared" si="1"/>
        <v>471</v>
      </c>
    </row>
    <row r="81" spans="1:844" s="11" customFormat="1" x14ac:dyDescent="0.3">
      <c r="B81" s="91">
        <v>43592855</v>
      </c>
      <c r="C81" s="89" t="s">
        <v>157</v>
      </c>
      <c r="D81" s="35" t="s">
        <v>4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>
        <v>48</v>
      </c>
      <c r="IE81" s="2">
        <v>48</v>
      </c>
      <c r="IF81" s="2">
        <v>48</v>
      </c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>
        <v>36</v>
      </c>
      <c r="JL81" s="2"/>
      <c r="JM81" s="2"/>
      <c r="JN81" s="2"/>
      <c r="JO81" s="2"/>
      <c r="JP81" s="2">
        <f>72+36</f>
        <v>108</v>
      </c>
      <c r="JQ81" s="2"/>
      <c r="JR81" s="2"/>
      <c r="JS81" s="2"/>
      <c r="JT81" s="2"/>
      <c r="JU81" s="2"/>
      <c r="JV81" s="2"/>
      <c r="JW81" s="2"/>
      <c r="JX81" s="2">
        <v>36</v>
      </c>
      <c r="JY81" s="2"/>
      <c r="JZ81" s="2"/>
      <c r="KA81" s="2">
        <f>36+36+36</f>
        <v>108</v>
      </c>
      <c r="KB81" s="2"/>
      <c r="KC81" s="2">
        <v>36</v>
      </c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>
        <v>36</v>
      </c>
      <c r="KS81" s="2">
        <v>36</v>
      </c>
      <c r="KT81" s="2"/>
      <c r="KU81" s="2">
        <v>36</v>
      </c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>
        <v>36</v>
      </c>
      <c r="LJ81" s="2"/>
      <c r="LK81" s="2"/>
      <c r="LL81" s="2"/>
      <c r="LM81" s="2"/>
      <c r="LN81" s="2">
        <v>36</v>
      </c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>
        <v>72</v>
      </c>
      <c r="MV81" s="2"/>
      <c r="MW81" s="2"/>
      <c r="MX81" s="2"/>
      <c r="MY81" s="2"/>
      <c r="MZ81" s="2">
        <v>36</v>
      </c>
      <c r="NA81" s="2"/>
      <c r="NB81" s="2">
        <v>36</v>
      </c>
      <c r="NC81" s="2"/>
      <c r="ND81" s="2">
        <v>36</v>
      </c>
      <c r="NE81" s="2"/>
      <c r="NF81" s="2">
        <v>72</v>
      </c>
      <c r="NG81" s="2"/>
      <c r="NH81" s="2"/>
      <c r="NI81" s="2"/>
      <c r="NJ81" s="2">
        <v>36</v>
      </c>
      <c r="NK81" s="2"/>
      <c r="NL81" s="2"/>
      <c r="NM81" s="2"/>
      <c r="NN81" s="2"/>
      <c r="NO81" s="2"/>
      <c r="NP81" s="2"/>
      <c r="NQ81" s="2"/>
      <c r="NR81" s="2"/>
      <c r="NS81" s="2"/>
      <c r="NT81" s="2">
        <v>36</v>
      </c>
      <c r="NU81" s="2"/>
      <c r="NV81" s="2"/>
      <c r="NW81" s="2">
        <v>36</v>
      </c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>
        <v>72</v>
      </c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>
        <v>36</v>
      </c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>
        <f>36</f>
        <v>36</v>
      </c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>
        <f>72</f>
        <v>72</v>
      </c>
      <c r="SJ81" s="2"/>
      <c r="SK81" s="2"/>
      <c r="SL81" s="2"/>
      <c r="SM81" s="2">
        <f>36</f>
        <v>36</v>
      </c>
      <c r="SN81" s="2"/>
      <c r="SO81" s="2"/>
      <c r="SP81" s="2"/>
      <c r="SQ81" s="2"/>
      <c r="SR81" s="2"/>
      <c r="SS81" s="2"/>
      <c r="ST81" s="2"/>
      <c r="SU81" s="2"/>
      <c r="SV81" s="2">
        <f>36</f>
        <v>36</v>
      </c>
      <c r="SW81" s="2"/>
      <c r="SX81" s="2"/>
      <c r="SY81" s="2"/>
      <c r="SZ81" s="2"/>
      <c r="TA81" s="2">
        <v>72</v>
      </c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>
        <v>1</v>
      </c>
      <c r="TY81" s="2"/>
      <c r="TZ81" s="2"/>
      <c r="UA81" s="2"/>
      <c r="UB81" s="2"/>
      <c r="UC81" s="2">
        <v>36</v>
      </c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>
        <v>72</v>
      </c>
      <c r="UO81" s="2">
        <v>2</v>
      </c>
      <c r="UP81" s="2"/>
      <c r="UQ81" s="2"/>
      <c r="UR81" s="2"/>
      <c r="US81" s="2"/>
      <c r="UT81" s="2"/>
      <c r="UU81" s="2"/>
      <c r="UV81" s="2"/>
      <c r="UW81" s="2"/>
      <c r="UX81" s="2"/>
      <c r="UY81" s="2">
        <v>36</v>
      </c>
      <c r="UZ81" s="2"/>
      <c r="VA81" s="2"/>
      <c r="VB81" s="2"/>
      <c r="VC81" s="2"/>
      <c r="VD81" s="2"/>
      <c r="VE81" s="2">
        <v>72</v>
      </c>
      <c r="VF81" s="2"/>
      <c r="VG81" s="2"/>
      <c r="VH81" s="2"/>
      <c r="VI81" s="2"/>
      <c r="VJ81" s="2"/>
      <c r="VK81" s="2">
        <v>36</v>
      </c>
      <c r="VL81" s="2"/>
      <c r="VM81" s="2">
        <v>5</v>
      </c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>
        <v>72</v>
      </c>
      <c r="XP81" s="2">
        <v>36</v>
      </c>
      <c r="XQ81" s="2"/>
      <c r="XR81" s="2"/>
      <c r="XS81" s="2"/>
      <c r="XT81" s="2"/>
      <c r="XU81" s="2"/>
      <c r="XV81" s="2"/>
      <c r="XW81" s="2"/>
      <c r="XX81" s="2"/>
      <c r="XY81" s="2">
        <v>36</v>
      </c>
      <c r="XZ81" s="2">
        <v>72</v>
      </c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>
        <v>36</v>
      </c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>
        <v>36</v>
      </c>
      <c r="ZV81" s="2"/>
      <c r="ZW81" s="2"/>
      <c r="ZX81" s="2"/>
      <c r="ZY81" s="2"/>
      <c r="ZZ81" s="2">
        <v>36</v>
      </c>
      <c r="AAA81" s="2"/>
      <c r="AAB81" s="2"/>
      <c r="AAC81" s="2"/>
      <c r="AAD81" s="2"/>
      <c r="AAE81" s="2"/>
      <c r="AAF81" s="2"/>
      <c r="AAG81" s="2"/>
      <c r="AAH81" s="2"/>
      <c r="AAI81" s="2"/>
      <c r="AAJ81" s="2"/>
      <c r="AAK81" s="2"/>
      <c r="AAL81" s="2"/>
      <c r="AAM81" s="2"/>
      <c r="AAN81" s="2"/>
      <c r="AAO81" s="2"/>
      <c r="AAP81" s="2"/>
      <c r="AAQ81" s="2"/>
      <c r="AAR81" s="2"/>
      <c r="AAS81" s="2"/>
      <c r="AAT81" s="2"/>
      <c r="AAU81" s="2"/>
      <c r="AAV81" s="2"/>
      <c r="AAW81" s="2"/>
      <c r="AAX81" s="2"/>
      <c r="AAY81" s="2"/>
      <c r="AAZ81" s="2"/>
      <c r="ABA81" s="2"/>
      <c r="ABB81" s="2"/>
      <c r="ABC81" s="2"/>
      <c r="ABD81" s="2"/>
      <c r="ABE81" s="2"/>
      <c r="ABF81" s="2"/>
      <c r="ABG81" s="2"/>
      <c r="ABH81" s="2"/>
      <c r="ABI81" s="2"/>
      <c r="ABJ81" s="2"/>
      <c r="ABK81" s="2"/>
      <c r="ABL81" s="2"/>
      <c r="ABM81" s="2"/>
      <c r="ABN81" s="2"/>
      <c r="ABO81" s="2"/>
      <c r="ABP81" s="2"/>
      <c r="ABQ81" s="2"/>
      <c r="ABR81" s="2"/>
      <c r="ABS81" s="2"/>
      <c r="ABT81" s="2"/>
      <c r="ABU81" s="2"/>
      <c r="ABV81" s="2"/>
      <c r="ABW81" s="2"/>
      <c r="ABX81" s="2"/>
      <c r="ABY81" s="2"/>
      <c r="ABZ81" s="2"/>
      <c r="ACA81" s="2"/>
      <c r="ACB81" s="2"/>
      <c r="ACC81" s="2"/>
      <c r="ACD81" s="2"/>
      <c r="ACE81" s="2"/>
      <c r="ACF81" s="2"/>
      <c r="ACG81" s="2"/>
      <c r="ACH81" s="2"/>
      <c r="ACI81" s="2">
        <v>36</v>
      </c>
      <c r="ACJ81" s="2"/>
      <c r="ACK81" s="2"/>
      <c r="ACL81" s="2"/>
      <c r="ACM81" s="2"/>
      <c r="ACN81" s="2"/>
      <c r="ACO81" s="2"/>
      <c r="ACP81" s="2"/>
      <c r="ACQ81" s="2"/>
      <c r="ACR81" s="2"/>
      <c r="ACS81" s="2"/>
      <c r="ACT81" s="2"/>
      <c r="ACU81" s="2"/>
      <c r="ACV81" s="2"/>
      <c r="ACW81" s="2"/>
      <c r="ACX81" s="2"/>
      <c r="ACY81" s="2"/>
      <c r="ACZ81" s="2"/>
      <c r="ADA81" s="2"/>
      <c r="ADB81" s="2"/>
      <c r="ADC81" s="2"/>
      <c r="ADD81" s="2"/>
      <c r="ADE81" s="2"/>
      <c r="ADF81" s="2"/>
      <c r="ADG81" s="2"/>
      <c r="ADH81" s="2"/>
      <c r="ADI81" s="2"/>
      <c r="ADJ81" s="2"/>
      <c r="ADK81" s="2"/>
      <c r="ADL81" s="2"/>
      <c r="ADM81" s="2"/>
      <c r="ADN81" s="2"/>
      <c r="ADO81" s="2"/>
      <c r="ADP81" s="2"/>
      <c r="ADQ81" s="2"/>
      <c r="ADR81" s="2"/>
      <c r="ADS81" s="2"/>
      <c r="ADT81" s="2"/>
      <c r="ADU81" s="2">
        <v>36</v>
      </c>
      <c r="ADV81" s="2"/>
      <c r="ADW81" s="2"/>
      <c r="ADX81" s="2"/>
      <c r="ADY81" s="2"/>
      <c r="ADZ81" s="2"/>
      <c r="AEA81" s="2"/>
      <c r="AEB81" s="2"/>
      <c r="AEC81" s="2"/>
      <c r="AED81" s="2"/>
      <c r="AEE81" s="2"/>
      <c r="AEF81" s="2"/>
      <c r="AEG81" s="2"/>
      <c r="AEH81" s="2"/>
      <c r="AEI81" s="2">
        <v>36</v>
      </c>
      <c r="AEJ81" s="2"/>
      <c r="AEK81" s="2"/>
      <c r="AEL81" s="2"/>
      <c r="AEM81" s="2"/>
      <c r="AEN81" s="2"/>
      <c r="AEO81" s="2"/>
      <c r="AEP81" s="2"/>
      <c r="AEQ81" s="2"/>
      <c r="AER81" s="2"/>
      <c r="AES81" s="2"/>
      <c r="AET81" s="2"/>
      <c r="AEU81" s="2"/>
      <c r="AEV81" s="2"/>
      <c r="AEW81" s="2"/>
      <c r="AEX81" s="2"/>
      <c r="AEY81" s="2"/>
      <c r="AEZ81" s="2"/>
      <c r="AFA81" s="2"/>
      <c r="AFB81" s="2"/>
      <c r="AFC81" s="2"/>
      <c r="AFD81" s="2"/>
      <c r="AFE81" s="2"/>
      <c r="AFF81" s="2"/>
      <c r="AFG81" s="2"/>
      <c r="AFH81" s="2"/>
      <c r="AFI81" s="2"/>
      <c r="AFJ81" s="2"/>
      <c r="AFK81" s="2"/>
      <c r="AFL81" s="2">
        <f t="shared" si="1"/>
        <v>2060</v>
      </c>
    </row>
    <row r="82" spans="1:844" s="11" customFormat="1" x14ac:dyDescent="0.3">
      <c r="B82" s="91">
        <v>550026919</v>
      </c>
      <c r="C82" s="52" t="s">
        <v>973</v>
      </c>
      <c r="D82" s="35" t="s">
        <v>18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1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  <c r="AAA82" s="2"/>
      <c r="AAB82" s="2"/>
      <c r="AAC82" s="2"/>
      <c r="AAD82" s="2"/>
      <c r="AAE82" s="2"/>
      <c r="AAF82" s="2"/>
      <c r="AAG82" s="2"/>
      <c r="AAH82" s="2"/>
      <c r="AAI82" s="2"/>
      <c r="AAJ82" s="2"/>
      <c r="AAK82" s="2"/>
      <c r="AAL82" s="2"/>
      <c r="AAM82" s="2"/>
      <c r="AAN82" s="2"/>
      <c r="AAO82" s="2"/>
      <c r="AAP82" s="2"/>
      <c r="AAQ82" s="2"/>
      <c r="AAR82" s="2"/>
      <c r="AAS82" s="2"/>
      <c r="AAT82" s="2"/>
      <c r="AAU82" s="2"/>
      <c r="AAV82" s="2"/>
      <c r="AAW82" s="2"/>
      <c r="AAX82" s="2"/>
      <c r="AAY82" s="2"/>
      <c r="AAZ82" s="2"/>
      <c r="ABA82" s="2"/>
      <c r="ABB82" s="2"/>
      <c r="ABC82" s="2"/>
      <c r="ABD82" s="2"/>
      <c r="ABE82" s="2"/>
      <c r="ABF82" s="2"/>
      <c r="ABG82" s="2"/>
      <c r="ABH82" s="2"/>
      <c r="ABI82" s="2"/>
      <c r="ABJ82" s="2"/>
      <c r="ABK82" s="2"/>
      <c r="ABL82" s="2"/>
      <c r="ABM82" s="2"/>
      <c r="ABN82" s="2"/>
      <c r="ABO82" s="2"/>
      <c r="ABP82" s="2"/>
      <c r="ABQ82" s="2"/>
      <c r="ABR82" s="2"/>
      <c r="ABS82" s="2"/>
      <c r="ABT82" s="2"/>
      <c r="ABU82" s="2"/>
      <c r="ABV82" s="2"/>
      <c r="ABW82" s="2"/>
      <c r="ABX82" s="2"/>
      <c r="ABY82" s="2"/>
      <c r="ABZ82" s="2"/>
      <c r="ACA82" s="2"/>
      <c r="ACB82" s="2"/>
      <c r="ACC82" s="2"/>
      <c r="ACD82" s="2"/>
      <c r="ACE82" s="2"/>
      <c r="ACF82" s="2"/>
      <c r="ACG82" s="2"/>
      <c r="ACH82" s="2"/>
      <c r="ACI82" s="2"/>
      <c r="ACJ82" s="2"/>
      <c r="ACK82" s="2"/>
      <c r="ACL82" s="2"/>
      <c r="ACM82" s="2"/>
      <c r="ACN82" s="2"/>
      <c r="ACO82" s="2"/>
      <c r="ACP82" s="2"/>
      <c r="ACQ82" s="2"/>
      <c r="ACR82" s="2"/>
      <c r="ACS82" s="2"/>
      <c r="ACT82" s="2"/>
      <c r="ACU82" s="2"/>
      <c r="ACV82" s="2"/>
      <c r="ACW82" s="2"/>
      <c r="ACX82" s="2"/>
      <c r="ACY82" s="2"/>
      <c r="ACZ82" s="2"/>
      <c r="ADA82" s="2"/>
      <c r="ADB82" s="2"/>
      <c r="ADC82" s="2"/>
      <c r="ADD82" s="2"/>
      <c r="ADE82" s="2"/>
      <c r="ADF82" s="2"/>
      <c r="ADG82" s="2"/>
      <c r="ADH82" s="2"/>
      <c r="ADI82" s="2"/>
      <c r="ADJ82" s="2"/>
      <c r="ADK82" s="2"/>
      <c r="ADL82" s="2"/>
      <c r="ADM82" s="2"/>
      <c r="ADN82" s="2"/>
      <c r="ADO82" s="2"/>
      <c r="ADP82" s="2"/>
      <c r="ADQ82" s="2"/>
      <c r="ADR82" s="2"/>
      <c r="ADS82" s="2"/>
      <c r="ADT82" s="2"/>
      <c r="ADU82" s="2"/>
      <c r="ADV82" s="2"/>
      <c r="ADW82" s="2"/>
      <c r="ADX82" s="2"/>
      <c r="ADY82" s="2"/>
      <c r="ADZ82" s="2"/>
      <c r="AEA82" s="2"/>
      <c r="AEB82" s="2">
        <v>1</v>
      </c>
      <c r="AEC82" s="2"/>
      <c r="AED82" s="2"/>
      <c r="AEE82" s="2"/>
      <c r="AEF82" s="2"/>
      <c r="AEG82" s="2"/>
      <c r="AEH82" s="2"/>
      <c r="AEI82" s="2"/>
      <c r="AEJ82" s="2"/>
      <c r="AEK82" s="2"/>
      <c r="AEL82" s="2"/>
      <c r="AEM82" s="2"/>
      <c r="AEN82" s="2"/>
      <c r="AEO82" s="2"/>
      <c r="AEP82" s="2"/>
      <c r="AEQ82" s="2"/>
      <c r="AER82" s="2"/>
      <c r="AES82" s="2"/>
      <c r="AET82" s="2"/>
      <c r="AEU82" s="2"/>
      <c r="AEV82" s="2"/>
      <c r="AEW82" s="2"/>
      <c r="AEX82" s="2"/>
      <c r="AEY82" s="2"/>
      <c r="AEZ82" s="2"/>
      <c r="AFA82" s="2"/>
      <c r="AFB82" s="2"/>
      <c r="AFC82" s="2"/>
      <c r="AFD82" s="2"/>
      <c r="AFE82" s="2"/>
      <c r="AFF82" s="2"/>
      <c r="AFG82" s="2"/>
      <c r="AFH82" s="2"/>
      <c r="AFI82" s="2"/>
      <c r="AFJ82" s="2"/>
      <c r="AFK82" s="2"/>
      <c r="AFL82" s="2">
        <f t="shared" si="1"/>
        <v>1</v>
      </c>
    </row>
    <row r="83" spans="1:844" s="11" customFormat="1" x14ac:dyDescent="0.3">
      <c r="B83" s="91">
        <v>550049814</v>
      </c>
      <c r="C83" s="52" t="s">
        <v>159</v>
      </c>
      <c r="D83" s="35" t="s">
        <v>2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>
        <f>175+350</f>
        <v>525</v>
      </c>
      <c r="R83" s="2"/>
      <c r="S83" s="2">
        <f>175</f>
        <v>175</v>
      </c>
      <c r="T83" s="2">
        <f>175+175</f>
        <v>350</v>
      </c>
      <c r="U83" s="2"/>
      <c r="V83" s="2"/>
      <c r="W83" s="2">
        <v>350</v>
      </c>
      <c r="X83" s="2"/>
      <c r="Y83" s="2">
        <v>175</v>
      </c>
      <c r="Z83" s="2"/>
      <c r="AA83" s="2"/>
      <c r="AB83" s="2"/>
      <c r="AC83" s="2">
        <v>1</v>
      </c>
      <c r="AD83" s="2">
        <v>175</v>
      </c>
      <c r="AE83" s="2"/>
      <c r="AF83" s="2"/>
      <c r="AG83" s="2">
        <v>350</v>
      </c>
      <c r="AH83" s="2"/>
      <c r="AI83" s="2"/>
      <c r="AJ83" s="2">
        <v>175</v>
      </c>
      <c r="AK83" s="2"/>
      <c r="AL83" s="2"/>
      <c r="AM83" s="2">
        <f>175+175</f>
        <v>350</v>
      </c>
      <c r="AN83" s="2"/>
      <c r="AO83" s="2"/>
      <c r="AP83" s="2">
        <v>175</v>
      </c>
      <c r="AQ83" s="2"/>
      <c r="AR83" s="2"/>
      <c r="AS83" s="2">
        <f>350+175</f>
        <v>525</v>
      </c>
      <c r="AT83" s="2">
        <v>175</v>
      </c>
      <c r="AU83" s="2">
        <v>175</v>
      </c>
      <c r="AV83" s="2"/>
      <c r="AW83" s="2">
        <v>175</v>
      </c>
      <c r="AX83" s="2"/>
      <c r="AY83" s="2">
        <v>175</v>
      </c>
      <c r="AZ83" s="2">
        <v>175</v>
      </c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>
        <v>175</v>
      </c>
      <c r="BV83" s="2"/>
      <c r="BW83" s="2"/>
      <c r="BX83" s="2"/>
      <c r="BY83" s="2">
        <v>175</v>
      </c>
      <c r="BZ83" s="2"/>
      <c r="CA83" s="2">
        <v>175</v>
      </c>
      <c r="CB83" s="2"/>
      <c r="CC83" s="2">
        <v>175</v>
      </c>
      <c r="CD83" s="2"/>
      <c r="CE83" s="2"/>
      <c r="CF83" s="2"/>
      <c r="CG83" s="2">
        <v>1</v>
      </c>
      <c r="CH83" s="2">
        <v>175</v>
      </c>
      <c r="CI83" s="2"/>
      <c r="CJ83" s="2">
        <v>175</v>
      </c>
      <c r="CK83" s="2"/>
      <c r="CL83" s="2">
        <v>175</v>
      </c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>
        <v>175</v>
      </c>
      <c r="DB83" s="2"/>
      <c r="DC83" s="2"/>
      <c r="DD83" s="2"/>
      <c r="DE83" s="2"/>
      <c r="DF83" s="2"/>
      <c r="DG83" s="2">
        <v>1</v>
      </c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>
        <v>19</v>
      </c>
      <c r="DW83" s="2"/>
      <c r="DX83" s="2"/>
      <c r="DY83" s="2"/>
      <c r="DZ83" s="2"/>
      <c r="EA83" s="2"/>
      <c r="EB83" s="2">
        <v>1</v>
      </c>
      <c r="EC83" s="2"/>
      <c r="ED83" s="2"/>
      <c r="EE83" s="2"/>
      <c r="EF83" s="2"/>
      <c r="EG83" s="2"/>
      <c r="EH83" s="2">
        <v>2</v>
      </c>
      <c r="EI83" s="2"/>
      <c r="EJ83" s="2"/>
      <c r="EK83" s="2"/>
      <c r="EL83" s="2"/>
      <c r="EM83" s="2"/>
      <c r="EN83" s="2"/>
      <c r="EO83" s="2"/>
      <c r="EP83" s="2"/>
      <c r="EQ83" s="2">
        <v>175</v>
      </c>
      <c r="ER83" s="2"/>
      <c r="ES83" s="2"/>
      <c r="ET83" s="2"/>
      <c r="EU83" s="2"/>
      <c r="EV83" s="2"/>
      <c r="EW83" s="2">
        <v>175</v>
      </c>
      <c r="EX83" s="2"/>
      <c r="EY83" s="2"/>
      <c r="EZ83" s="2"/>
      <c r="FA83" s="2"/>
      <c r="FB83" s="2"/>
      <c r="FC83" s="2"/>
      <c r="FD83" s="2"/>
      <c r="FE83" s="2"/>
      <c r="FF83" s="2"/>
      <c r="FG83" s="2">
        <v>175</v>
      </c>
      <c r="FH83" s="2"/>
      <c r="FI83" s="2"/>
      <c r="FJ83" s="2">
        <v>175</v>
      </c>
      <c r="FK83" s="2">
        <f>175+1</f>
        <v>176</v>
      </c>
      <c r="FL83" s="2">
        <v>175</v>
      </c>
      <c r="FM83" s="2"/>
      <c r="FN83" s="2"/>
      <c r="FO83" s="2"/>
      <c r="FP83" s="2"/>
      <c r="FQ83" s="2"/>
      <c r="FR83" s="2"/>
      <c r="FS83" s="2">
        <v>175</v>
      </c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>
        <v>1</v>
      </c>
      <c r="GK83" s="2"/>
      <c r="GL83" s="2"/>
      <c r="GM83" s="2">
        <v>1</v>
      </c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>
        <v>175</v>
      </c>
      <c r="HC83" s="2"/>
      <c r="HD83" s="2"/>
      <c r="HE83" s="2"/>
      <c r="HF83" s="2"/>
      <c r="HG83" s="2"/>
      <c r="HH83" s="2"/>
      <c r="HI83" s="2"/>
      <c r="HJ83" s="2">
        <f>175+1</f>
        <v>176</v>
      </c>
      <c r="HK83" s="2"/>
      <c r="HL83" s="2"/>
      <c r="HM83" s="2"/>
      <c r="HN83" s="2">
        <v>1</v>
      </c>
      <c r="HO83" s="2"/>
      <c r="HP83" s="2"/>
      <c r="HQ83" s="2"/>
      <c r="HR83" s="2"/>
      <c r="HS83" s="2">
        <v>175</v>
      </c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>
        <v>4</v>
      </c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>
        <v>175</v>
      </c>
      <c r="IW83" s="2"/>
      <c r="IX83" s="2"/>
      <c r="IY83" s="2"/>
      <c r="IZ83" s="2"/>
      <c r="JA83" s="2"/>
      <c r="JB83" s="2"/>
      <c r="JC83" s="2"/>
      <c r="JD83" s="2">
        <v>1</v>
      </c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>
        <v>175</v>
      </c>
      <c r="JS83" s="2"/>
      <c r="JT83" s="2">
        <v>175</v>
      </c>
      <c r="JU83" s="2"/>
      <c r="JV83" s="2"/>
      <c r="JW83" s="2"/>
      <c r="JX83" s="2"/>
      <c r="JY83" s="2"/>
      <c r="JZ83" s="2">
        <v>175</v>
      </c>
      <c r="KA83" s="2">
        <v>175</v>
      </c>
      <c r="KB83" s="2">
        <v>2</v>
      </c>
      <c r="KC83" s="2"/>
      <c r="KD83" s="2"/>
      <c r="KE83" s="2">
        <f>1+175+175</f>
        <v>351</v>
      </c>
      <c r="KF83" s="2"/>
      <c r="KG83" s="2">
        <v>175</v>
      </c>
      <c r="KH83" s="2"/>
      <c r="KI83" s="2"/>
      <c r="KJ83" s="2"/>
      <c r="KK83" s="2"/>
      <c r="KL83" s="2"/>
      <c r="KM83" s="2"/>
      <c r="KN83" s="2"/>
      <c r="KO83" s="2"/>
      <c r="KP83" s="2"/>
      <c r="KQ83" s="2">
        <v>350</v>
      </c>
      <c r="KR83" s="2"/>
      <c r="KS83" s="2">
        <v>350</v>
      </c>
      <c r="KT83" s="2">
        <f>175+350</f>
        <v>525</v>
      </c>
      <c r="KU83" s="2"/>
      <c r="KV83" s="2"/>
      <c r="KW83" s="2"/>
      <c r="KX83" s="2"/>
      <c r="KY83" s="2"/>
      <c r="KZ83" s="2"/>
      <c r="LA83" s="2">
        <v>87</v>
      </c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>
        <v>175</v>
      </c>
      <c r="LM83" s="2"/>
      <c r="LN83" s="2"/>
      <c r="LO83" s="2">
        <v>2</v>
      </c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>
        <v>350</v>
      </c>
      <c r="MC83" s="2"/>
      <c r="MD83" s="2"/>
      <c r="ME83" s="2">
        <f>175+175</f>
        <v>350</v>
      </c>
      <c r="MF83" s="2"/>
      <c r="MG83" s="2"/>
      <c r="MH83" s="2">
        <f>175+175</f>
        <v>350</v>
      </c>
      <c r="MI83" s="2">
        <v>2</v>
      </c>
      <c r="MJ83" s="2"/>
      <c r="MK83" s="2"/>
      <c r="ML83" s="2"/>
      <c r="MM83" s="2"/>
      <c r="MN83" s="2"/>
      <c r="MO83" s="2"/>
      <c r="MP83" s="2">
        <v>175</v>
      </c>
      <c r="MQ83" s="2"/>
      <c r="MR83" s="2"/>
      <c r="MS83" s="2">
        <v>1</v>
      </c>
      <c r="MT83" s="2"/>
      <c r="MU83" s="2"/>
      <c r="MV83" s="2"/>
      <c r="MW83" s="2"/>
      <c r="MX83" s="2"/>
      <c r="MY83" s="2"/>
      <c r="MZ83" s="2">
        <v>2</v>
      </c>
      <c r="NA83" s="2"/>
      <c r="NB83" s="2"/>
      <c r="NC83" s="2"/>
      <c r="ND83" s="2">
        <v>2</v>
      </c>
      <c r="NE83" s="2"/>
      <c r="NF83" s="2"/>
      <c r="NG83" s="2"/>
      <c r="NH83" s="2"/>
      <c r="NI83" s="2"/>
      <c r="NJ83" s="2">
        <v>175</v>
      </c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>
        <v>175</v>
      </c>
      <c r="NX83" s="2"/>
      <c r="NY83" s="2"/>
      <c r="NZ83" s="2"/>
      <c r="OA83" s="2"/>
      <c r="OB83" s="2"/>
      <c r="OC83" s="2"/>
      <c r="OD83" s="2">
        <v>62</v>
      </c>
      <c r="OE83" s="2"/>
      <c r="OF83" s="2"/>
      <c r="OG83" s="2"/>
      <c r="OH83" s="2">
        <v>175</v>
      </c>
      <c r="OI83" s="2"/>
      <c r="OJ83" s="2"/>
      <c r="OK83" s="2"/>
      <c r="OL83" s="2"/>
      <c r="OM83" s="2"/>
      <c r="ON83" s="2"/>
      <c r="OO83" s="2"/>
      <c r="OP83" s="2"/>
      <c r="OQ83" s="2">
        <v>175</v>
      </c>
      <c r="OR83" s="2"/>
      <c r="OS83" s="2">
        <v>175</v>
      </c>
      <c r="OT83" s="2"/>
      <c r="OU83" s="2"/>
      <c r="OV83" s="2"/>
      <c r="OW83" s="2">
        <v>175</v>
      </c>
      <c r="OX83" s="2"/>
      <c r="OY83" s="2"/>
      <c r="OZ83" s="2"/>
      <c r="PA83" s="2"/>
      <c r="PB83" s="2"/>
      <c r="PC83" s="2"/>
      <c r="PD83" s="2"/>
      <c r="PE83" s="2"/>
      <c r="PF83" s="2">
        <f>175+175</f>
        <v>350</v>
      </c>
      <c r="PG83" s="2"/>
      <c r="PH83" s="2">
        <v>1</v>
      </c>
      <c r="PI83" s="2"/>
      <c r="PJ83" s="2"/>
      <c r="PK83" s="2">
        <v>175</v>
      </c>
      <c r="PL83" s="2"/>
      <c r="PM83" s="2">
        <f>175</f>
        <v>175</v>
      </c>
      <c r="PN83" s="2"/>
      <c r="PO83" s="2"/>
      <c r="PP83" s="2"/>
      <c r="PQ83" s="2"/>
      <c r="PR83" s="2"/>
      <c r="PS83" s="2"/>
      <c r="PT83" s="2">
        <v>175</v>
      </c>
      <c r="PU83" s="2">
        <v>2</v>
      </c>
      <c r="PV83" s="2"/>
      <c r="PW83" s="2"/>
      <c r="PX83" s="2"/>
      <c r="PY83" s="2"/>
      <c r="PZ83" s="2"/>
      <c r="QA83" s="2">
        <v>175</v>
      </c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>
        <v>1</v>
      </c>
      <c r="QN83" s="2"/>
      <c r="QO83" s="2"/>
      <c r="QP83" s="2">
        <f>2</f>
        <v>2</v>
      </c>
      <c r="QQ83" s="2"/>
      <c r="QR83" s="2"/>
      <c r="QS83" s="2">
        <f>1+175+175</f>
        <v>351</v>
      </c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>
        <f>175</f>
        <v>175</v>
      </c>
      <c r="SA83" s="2">
        <f>175</f>
        <v>175</v>
      </c>
      <c r="SB83" s="2"/>
      <c r="SC83" s="2">
        <f>175+1</f>
        <v>176</v>
      </c>
      <c r="SD83" s="2"/>
      <c r="SE83" s="2"/>
      <c r="SF83" s="2">
        <f>175+175</f>
        <v>350</v>
      </c>
      <c r="SG83" s="2"/>
      <c r="SH83" s="2"/>
      <c r="SI83" s="2">
        <f>175</f>
        <v>175</v>
      </c>
      <c r="SJ83" s="2"/>
      <c r="SK83" s="2"/>
      <c r="SL83" s="2"/>
      <c r="SM83" s="2"/>
      <c r="SN83" s="2">
        <f>1</f>
        <v>1</v>
      </c>
      <c r="SO83" s="2"/>
      <c r="SP83" s="2"/>
      <c r="SQ83" s="2"/>
      <c r="SR83" s="2"/>
      <c r="SS83" s="2"/>
      <c r="ST83" s="2"/>
      <c r="SU83" s="2">
        <f>175</f>
        <v>175</v>
      </c>
      <c r="SV83" s="2"/>
      <c r="SW83" s="2"/>
      <c r="SX83" s="2"/>
      <c r="SY83" s="2"/>
      <c r="SZ83" s="2"/>
      <c r="TA83" s="2"/>
      <c r="TB83" s="2">
        <v>175</v>
      </c>
      <c r="TC83" s="2"/>
      <c r="TD83" s="2"/>
      <c r="TE83" s="2">
        <v>175</v>
      </c>
      <c r="TF83" s="2">
        <v>175</v>
      </c>
      <c r="TG83" s="2"/>
      <c r="TH83" s="12">
        <v>1</v>
      </c>
      <c r="TI83" s="2"/>
      <c r="TJ83" s="2"/>
      <c r="TK83" s="2"/>
      <c r="TL83" s="2"/>
      <c r="TM83" s="2"/>
      <c r="TN83" s="2"/>
      <c r="TO83" s="2"/>
      <c r="TP83" s="2"/>
      <c r="TQ83" s="2">
        <v>175</v>
      </c>
      <c r="TR83" s="2"/>
      <c r="TS83" s="2"/>
      <c r="TT83" s="2">
        <v>175</v>
      </c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>
        <v>1</v>
      </c>
      <c r="UF83" s="2"/>
      <c r="UG83" s="2"/>
      <c r="UH83" s="2"/>
      <c r="UI83" s="2"/>
      <c r="UJ83" s="2"/>
      <c r="UK83" s="2">
        <v>175</v>
      </c>
      <c r="UL83" s="2">
        <f>175+175+175</f>
        <v>525</v>
      </c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>
        <v>175</v>
      </c>
      <c r="UZ83" s="2"/>
      <c r="VA83" s="2"/>
      <c r="VB83" s="2"/>
      <c r="VC83" s="2">
        <v>175</v>
      </c>
      <c r="VD83" s="2"/>
      <c r="VE83" s="2">
        <f>7+175</f>
        <v>182</v>
      </c>
      <c r="VF83" s="2"/>
      <c r="VG83" s="2"/>
      <c r="VH83" s="2"/>
      <c r="VI83" s="2"/>
      <c r="VJ83" s="2">
        <v>2</v>
      </c>
      <c r="VK83" s="2">
        <v>42</v>
      </c>
      <c r="VL83" s="2"/>
      <c r="VM83" s="2"/>
      <c r="VN83" s="2"/>
      <c r="VO83" s="2"/>
      <c r="VP83" s="2"/>
      <c r="VQ83" s="2">
        <v>1</v>
      </c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>
        <v>1</v>
      </c>
      <c r="WK83" s="2">
        <v>1</v>
      </c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>
        <v>2</v>
      </c>
      <c r="YY83" s="2">
        <f>175+175</f>
        <v>350</v>
      </c>
      <c r="YZ83" s="2">
        <v>350</v>
      </c>
      <c r="ZA83" s="2">
        <f>350+350+175</f>
        <v>875</v>
      </c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>
        <v>1</v>
      </c>
      <c r="ZZ83" s="2">
        <f>175+1</f>
        <v>176</v>
      </c>
      <c r="AAA83" s="2"/>
      <c r="AAB83" s="2"/>
      <c r="AAC83" s="2"/>
      <c r="AAD83" s="2"/>
      <c r="AAE83" s="2"/>
      <c r="AAF83" s="2"/>
      <c r="AAG83" s="2">
        <v>2</v>
      </c>
      <c r="AAH83" s="2"/>
      <c r="AAI83" s="2">
        <v>2</v>
      </c>
      <c r="AAJ83" s="2"/>
      <c r="AAK83" s="2"/>
      <c r="AAL83" s="2"/>
      <c r="AAM83" s="2"/>
      <c r="AAN83" s="2"/>
      <c r="AAO83" s="2"/>
      <c r="AAP83" s="2"/>
      <c r="AAQ83" s="2"/>
      <c r="AAR83" s="2"/>
      <c r="AAS83" s="2"/>
      <c r="AAT83" s="2"/>
      <c r="AAU83" s="2"/>
      <c r="AAV83" s="2"/>
      <c r="AAW83" s="2"/>
      <c r="AAX83" s="2"/>
      <c r="AAY83" s="2"/>
      <c r="AAZ83" s="2"/>
      <c r="ABA83" s="2"/>
      <c r="ABB83" s="2"/>
      <c r="ABC83" s="2"/>
      <c r="ABD83" s="2"/>
      <c r="ABE83" s="2"/>
      <c r="ABF83" s="2"/>
      <c r="ABG83" s="2"/>
      <c r="ABH83" s="2">
        <f>1+175</f>
        <v>176</v>
      </c>
      <c r="ABI83" s="2">
        <v>175</v>
      </c>
      <c r="ABJ83" s="2">
        <v>175</v>
      </c>
      <c r="ABK83" s="2"/>
      <c r="ABL83" s="2">
        <v>175</v>
      </c>
      <c r="ABM83" s="2"/>
      <c r="ABN83" s="2">
        <v>175</v>
      </c>
      <c r="ABO83" s="2"/>
      <c r="ABP83" s="2"/>
      <c r="ABQ83" s="2"/>
      <c r="ABR83" s="2"/>
      <c r="ABS83" s="2"/>
      <c r="ABT83" s="2"/>
      <c r="ABU83" s="2"/>
      <c r="ABV83" s="2"/>
      <c r="ABW83" s="2"/>
      <c r="ABX83" s="2"/>
      <c r="ABY83" s="2"/>
      <c r="ABZ83" s="2">
        <v>175</v>
      </c>
      <c r="ACA83" s="2"/>
      <c r="ACB83" s="2"/>
      <c r="ACC83" s="2"/>
      <c r="ACD83" s="2"/>
      <c r="ACE83" s="2"/>
      <c r="ACF83" s="2"/>
      <c r="ACG83" s="2"/>
      <c r="ACH83" s="2"/>
      <c r="ACI83" s="2"/>
      <c r="ACJ83" s="2">
        <v>175</v>
      </c>
      <c r="ACK83" s="2"/>
      <c r="ACL83" s="2"/>
      <c r="ACM83" s="2"/>
      <c r="ACN83" s="2">
        <v>175</v>
      </c>
      <c r="ACO83" s="2"/>
      <c r="ACP83" s="2"/>
      <c r="ACQ83" s="2">
        <v>175</v>
      </c>
      <c r="ACR83" s="2"/>
      <c r="ACS83" s="2"/>
      <c r="ACT83" s="2"/>
      <c r="ACU83" s="2"/>
      <c r="ACV83" s="2"/>
      <c r="ACW83" s="2"/>
      <c r="ACX83" s="2"/>
      <c r="ACY83" s="2"/>
      <c r="ACZ83" s="2"/>
      <c r="ADA83" s="2"/>
      <c r="ADB83" s="2"/>
      <c r="ADC83" s="2"/>
      <c r="ADD83" s="2"/>
      <c r="ADE83" s="2"/>
      <c r="ADF83" s="2"/>
      <c r="ADG83" s="2">
        <v>175</v>
      </c>
      <c r="ADH83" s="2"/>
      <c r="ADI83" s="2">
        <v>1</v>
      </c>
      <c r="ADJ83" s="2"/>
      <c r="ADK83" s="2">
        <v>175</v>
      </c>
      <c r="ADL83" s="2"/>
      <c r="ADM83" s="2">
        <v>175</v>
      </c>
      <c r="ADN83" s="2"/>
      <c r="ADO83" s="2"/>
      <c r="ADP83" s="2"/>
      <c r="ADQ83" s="2"/>
      <c r="ADR83" s="2"/>
      <c r="ADS83" s="2">
        <v>175</v>
      </c>
      <c r="ADT83" s="2"/>
      <c r="ADU83" s="2"/>
      <c r="ADV83" s="2"/>
      <c r="ADW83" s="2"/>
      <c r="ADX83" s="2"/>
      <c r="ADY83" s="2"/>
      <c r="ADZ83" s="2"/>
      <c r="AEA83" s="2"/>
      <c r="AEB83" s="2">
        <v>187</v>
      </c>
      <c r="AEC83" s="2"/>
      <c r="AED83" s="2"/>
      <c r="AEE83" s="2"/>
      <c r="AEF83" s="2"/>
      <c r="AEG83" s="2"/>
      <c r="AEH83" s="2"/>
      <c r="AEI83" s="2"/>
      <c r="AEJ83" s="2"/>
      <c r="AEK83" s="2"/>
      <c r="AEL83" s="2"/>
      <c r="AEM83" s="2"/>
      <c r="AEN83" s="2"/>
      <c r="AEO83" s="2"/>
      <c r="AEP83" s="2">
        <f>175+1</f>
        <v>176</v>
      </c>
      <c r="AEQ83" s="2"/>
      <c r="AER83" s="2"/>
      <c r="AES83" s="2">
        <f>175+1</f>
        <v>176</v>
      </c>
      <c r="AET83" s="2"/>
      <c r="AEU83" s="2"/>
      <c r="AEV83" s="2"/>
      <c r="AEW83" s="2"/>
      <c r="AEX83" s="2"/>
      <c r="AEY83" s="2"/>
      <c r="AEZ83" s="2">
        <v>2</v>
      </c>
      <c r="AFA83" s="2">
        <v>175</v>
      </c>
      <c r="AFB83" s="2"/>
      <c r="AFC83" s="2"/>
      <c r="AFD83" s="2"/>
      <c r="AFE83" s="2">
        <v>175</v>
      </c>
      <c r="AFF83" s="2"/>
      <c r="AFG83" s="2"/>
      <c r="AFH83" s="2"/>
      <c r="AFI83" s="2"/>
      <c r="AFJ83" s="2"/>
      <c r="AFK83" s="2"/>
      <c r="AFL83" s="2">
        <f t="shared" si="1"/>
        <v>22337</v>
      </c>
    </row>
    <row r="84" spans="1:844" s="4" customFormat="1" x14ac:dyDescent="0.3">
      <c r="A84" s="11"/>
      <c r="B84" s="35"/>
      <c r="C84" s="53" t="s">
        <v>984</v>
      </c>
      <c r="D84" s="35" t="s">
        <v>905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1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  <c r="AAA84" s="2"/>
      <c r="AAB84" s="2"/>
      <c r="AAC84" s="2"/>
      <c r="AAD84" s="2"/>
      <c r="AAE84" s="2"/>
      <c r="AAF84" s="2"/>
      <c r="AAG84" s="2"/>
      <c r="AAH84" s="2"/>
      <c r="AAI84" s="2"/>
      <c r="AAJ84" s="2"/>
      <c r="AAK84" s="2"/>
      <c r="AAL84" s="2"/>
      <c r="AAM84" s="2"/>
      <c r="AAN84" s="2"/>
      <c r="AAO84" s="2"/>
      <c r="AAP84" s="2"/>
      <c r="AAQ84" s="2"/>
      <c r="AAR84" s="2"/>
      <c r="AAS84" s="2"/>
      <c r="AAT84" s="2"/>
      <c r="AAU84" s="2"/>
      <c r="AAV84" s="2"/>
      <c r="AAW84" s="2"/>
      <c r="AAX84" s="2"/>
      <c r="AAY84" s="2"/>
      <c r="AAZ84" s="2"/>
      <c r="ABA84" s="2"/>
      <c r="ABB84" s="2"/>
      <c r="ABC84" s="2"/>
      <c r="ABD84" s="2"/>
      <c r="ABE84" s="2"/>
      <c r="ABF84" s="2"/>
      <c r="ABG84" s="2"/>
      <c r="ABH84" s="2"/>
      <c r="ABI84" s="2"/>
      <c r="ABJ84" s="2"/>
      <c r="ABK84" s="2"/>
      <c r="ABL84" s="2"/>
      <c r="ABM84" s="2"/>
      <c r="ABN84" s="2"/>
      <c r="ABO84" s="2"/>
      <c r="ABP84" s="2"/>
      <c r="ABQ84" s="2"/>
      <c r="ABR84" s="2"/>
      <c r="ABS84" s="2"/>
      <c r="ABT84" s="2"/>
      <c r="ABU84" s="2"/>
      <c r="ABV84" s="2"/>
      <c r="ABW84" s="2"/>
      <c r="ABX84" s="2"/>
      <c r="ABY84" s="2"/>
      <c r="ABZ84" s="2"/>
      <c r="ACA84" s="2"/>
      <c r="ACB84" s="2"/>
      <c r="ACC84" s="2"/>
      <c r="ACD84" s="2"/>
      <c r="ACE84" s="2"/>
      <c r="ACF84" s="2"/>
      <c r="ACG84" s="2"/>
      <c r="ACH84" s="2"/>
      <c r="ACI84" s="2"/>
      <c r="ACJ84" s="2"/>
      <c r="ACK84" s="2"/>
      <c r="ACL84" s="2"/>
      <c r="ACM84" s="2"/>
      <c r="ACN84" s="2"/>
      <c r="ACO84" s="2"/>
      <c r="ACP84" s="2"/>
      <c r="ACQ84" s="2"/>
      <c r="ACR84" s="2"/>
      <c r="ACS84" s="2"/>
      <c r="ACT84" s="2"/>
      <c r="ACU84" s="2"/>
      <c r="ACV84" s="2"/>
      <c r="ACW84" s="2"/>
      <c r="ACX84" s="2"/>
      <c r="ACY84" s="2"/>
      <c r="ACZ84" s="2"/>
      <c r="ADA84" s="2"/>
      <c r="ADB84" s="2"/>
      <c r="ADC84" s="2"/>
      <c r="ADD84" s="2"/>
      <c r="ADE84" s="2"/>
      <c r="ADF84" s="2"/>
      <c r="ADG84" s="2"/>
      <c r="ADH84" s="2"/>
      <c r="ADI84" s="2"/>
      <c r="ADJ84" s="2"/>
      <c r="ADK84" s="2"/>
      <c r="ADL84" s="2"/>
      <c r="ADM84" s="2"/>
      <c r="ADN84" s="2"/>
      <c r="ADO84" s="2"/>
      <c r="ADP84" s="2"/>
      <c r="ADQ84" s="2"/>
      <c r="ADR84" s="2"/>
      <c r="ADS84" s="2"/>
      <c r="ADT84" s="2"/>
      <c r="ADU84" s="2"/>
      <c r="ADV84" s="2"/>
      <c r="ADW84" s="2"/>
      <c r="ADX84" s="2"/>
      <c r="ADY84" s="2"/>
      <c r="ADZ84" s="2"/>
      <c r="AEA84" s="2"/>
      <c r="AEB84" s="2"/>
      <c r="AEC84" s="2"/>
      <c r="AED84" s="2"/>
      <c r="AEE84" s="2"/>
      <c r="AEF84" s="2"/>
      <c r="AEG84" s="2"/>
      <c r="AEH84" s="2"/>
      <c r="AEI84" s="2"/>
      <c r="AEJ84" s="2"/>
      <c r="AEK84" s="2"/>
      <c r="AEL84" s="2"/>
      <c r="AEM84" s="2"/>
      <c r="AEN84" s="2"/>
      <c r="AEO84" s="2"/>
      <c r="AEP84" s="2"/>
      <c r="AEQ84" s="2"/>
      <c r="AER84" s="2"/>
      <c r="AES84" s="2"/>
      <c r="AET84" s="2"/>
      <c r="AEU84" s="2"/>
      <c r="AEV84" s="2"/>
      <c r="AEW84" s="2"/>
      <c r="AEX84" s="2"/>
      <c r="AEY84" s="2"/>
      <c r="AEZ84" s="2"/>
      <c r="AFA84" s="2"/>
      <c r="AFB84" s="2"/>
      <c r="AFC84" s="2"/>
      <c r="AFD84" s="2"/>
      <c r="AFE84" s="2"/>
      <c r="AFF84" s="2"/>
      <c r="AFG84" s="2"/>
      <c r="AFH84" s="2"/>
      <c r="AFI84" s="2"/>
      <c r="AFJ84" s="2"/>
      <c r="AFK84" s="2"/>
      <c r="AFL84" s="2">
        <f t="shared" si="1"/>
        <v>0</v>
      </c>
    </row>
    <row r="85" spans="1:844" s="4" customFormat="1" x14ac:dyDescent="0.3">
      <c r="A85" s="11"/>
      <c r="B85" s="91">
        <v>550026900</v>
      </c>
      <c r="C85" s="52" t="s">
        <v>161</v>
      </c>
      <c r="D85" s="35" t="s">
        <v>18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>
        <v>8</v>
      </c>
      <c r="ON85" s="2"/>
      <c r="OO85" s="2"/>
      <c r="OP85" s="2">
        <v>16</v>
      </c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>
        <v>4</v>
      </c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>
        <v>4</v>
      </c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>
        <f>4</f>
        <v>4</v>
      </c>
      <c r="QL85" s="2"/>
      <c r="QM85" s="2"/>
      <c r="QN85" s="2"/>
      <c r="QO85" s="2"/>
      <c r="QP85" s="2">
        <f>4</f>
        <v>4</v>
      </c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>
        <f>4</f>
        <v>4</v>
      </c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>
        <v>3</v>
      </c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>
        <v>1</v>
      </c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>
        <v>6</v>
      </c>
      <c r="AAA85" s="2"/>
      <c r="AAB85" s="2"/>
      <c r="AAC85" s="2"/>
      <c r="AAD85" s="2">
        <v>8</v>
      </c>
      <c r="AAE85" s="2"/>
      <c r="AAF85" s="2"/>
      <c r="AAG85" s="2"/>
      <c r="AAH85" s="2"/>
      <c r="AAI85" s="2"/>
      <c r="AAJ85" s="2"/>
      <c r="AAK85" s="2"/>
      <c r="AAL85" s="2"/>
      <c r="AAM85" s="2"/>
      <c r="AAN85" s="2"/>
      <c r="AAO85" s="2"/>
      <c r="AAP85" s="2"/>
      <c r="AAQ85" s="2"/>
      <c r="AAR85" s="2"/>
      <c r="AAS85" s="2"/>
      <c r="AAT85" s="2"/>
      <c r="AAU85" s="2"/>
      <c r="AAV85" s="2"/>
      <c r="AAW85" s="2"/>
      <c r="AAX85" s="2"/>
      <c r="AAY85" s="2"/>
      <c r="AAZ85" s="2"/>
      <c r="ABA85" s="2"/>
      <c r="ABB85" s="2"/>
      <c r="ABC85" s="2"/>
      <c r="ABD85" s="2"/>
      <c r="ABE85" s="2"/>
      <c r="ABF85" s="2"/>
      <c r="ABG85" s="2"/>
      <c r="ABH85" s="2"/>
      <c r="ABI85" s="2"/>
      <c r="ABJ85" s="2"/>
      <c r="ABK85" s="2"/>
      <c r="ABL85" s="2"/>
      <c r="ABM85" s="2"/>
      <c r="ABN85" s="2"/>
      <c r="ABO85" s="2"/>
      <c r="ABP85" s="2"/>
      <c r="ABQ85" s="2"/>
      <c r="ABR85" s="2"/>
      <c r="ABS85" s="2"/>
      <c r="ABT85" s="2"/>
      <c r="ABU85" s="2"/>
      <c r="ABV85" s="2"/>
      <c r="ABW85" s="2"/>
      <c r="ABX85" s="2"/>
      <c r="ABY85" s="2"/>
      <c r="ABZ85" s="2"/>
      <c r="ACA85" s="2"/>
      <c r="ACB85" s="2">
        <v>2</v>
      </c>
      <c r="ACC85" s="2"/>
      <c r="ACD85" s="2"/>
      <c r="ACE85" s="2">
        <v>2</v>
      </c>
      <c r="ACF85" s="2"/>
      <c r="ACG85" s="2"/>
      <c r="ACH85" s="2"/>
      <c r="ACI85" s="2"/>
      <c r="ACJ85" s="2"/>
      <c r="ACK85" s="2"/>
      <c r="ACL85" s="2"/>
      <c r="ACM85" s="2"/>
      <c r="ACN85" s="2"/>
      <c r="ACO85" s="2"/>
      <c r="ACP85" s="2"/>
      <c r="ACQ85" s="2"/>
      <c r="ACR85" s="2"/>
      <c r="ACS85" s="2">
        <v>3</v>
      </c>
      <c r="ACT85" s="2"/>
      <c r="ACU85" s="2"/>
      <c r="ACV85" s="2"/>
      <c r="ACW85" s="2"/>
      <c r="ACX85" s="2"/>
      <c r="ACY85" s="2"/>
      <c r="ACZ85" s="2"/>
      <c r="ADA85" s="2"/>
      <c r="ADB85" s="2"/>
      <c r="ADC85" s="2"/>
      <c r="ADD85" s="2">
        <v>2</v>
      </c>
      <c r="ADE85" s="2"/>
      <c r="ADF85" s="2"/>
      <c r="ADG85" s="2"/>
      <c r="ADH85" s="2"/>
      <c r="ADI85" s="2"/>
      <c r="ADJ85" s="2"/>
      <c r="ADK85" s="2"/>
      <c r="ADL85" s="2"/>
      <c r="ADM85" s="2"/>
      <c r="ADN85" s="2"/>
      <c r="ADO85" s="2"/>
      <c r="ADP85" s="2"/>
      <c r="ADQ85" s="2"/>
      <c r="ADR85" s="2"/>
      <c r="ADS85" s="2"/>
      <c r="ADT85" s="2"/>
      <c r="ADU85" s="2"/>
      <c r="ADV85" s="2"/>
      <c r="ADW85" s="2"/>
      <c r="ADX85" s="2"/>
      <c r="ADY85" s="2"/>
      <c r="ADZ85" s="2"/>
      <c r="AEA85" s="2"/>
      <c r="AEB85" s="2"/>
      <c r="AEC85" s="2"/>
      <c r="AED85" s="2">
        <v>2</v>
      </c>
      <c r="AEE85" s="2"/>
      <c r="AEF85" s="2"/>
      <c r="AEG85" s="2"/>
      <c r="AEH85" s="2">
        <v>1</v>
      </c>
      <c r="AEI85" s="2"/>
      <c r="AEJ85" s="2"/>
      <c r="AEK85" s="2">
        <v>2</v>
      </c>
      <c r="AEL85" s="2"/>
      <c r="AEM85" s="2"/>
      <c r="AEN85" s="2"/>
      <c r="AEO85" s="2"/>
      <c r="AEP85" s="2"/>
      <c r="AEQ85" s="2"/>
      <c r="AER85" s="2">
        <v>2</v>
      </c>
      <c r="AES85" s="2"/>
      <c r="AET85" s="2"/>
      <c r="AEU85" s="2"/>
      <c r="AEV85" s="2"/>
      <c r="AEW85" s="2"/>
      <c r="AEX85" s="2">
        <v>2</v>
      </c>
      <c r="AEY85" s="2"/>
      <c r="AEZ85" s="2"/>
      <c r="AFA85" s="2">
        <v>4</v>
      </c>
      <c r="AFB85" s="2"/>
      <c r="AFC85" s="2"/>
      <c r="AFD85" s="2"/>
      <c r="AFE85" s="2"/>
      <c r="AFF85" s="2"/>
      <c r="AFG85" s="2"/>
      <c r="AFH85" s="2"/>
      <c r="AFI85" s="2"/>
      <c r="AFJ85" s="2"/>
      <c r="AFK85" s="2"/>
      <c r="AFL85" s="2">
        <f t="shared" si="1"/>
        <v>84</v>
      </c>
    </row>
    <row r="86" spans="1:844" x14ac:dyDescent="0.3">
      <c r="B86" s="91">
        <v>550026907</v>
      </c>
      <c r="C86" s="52" t="s">
        <v>163</v>
      </c>
      <c r="D86" s="35" t="s">
        <v>18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>
        <v>4</v>
      </c>
      <c r="ON86" s="2"/>
      <c r="OO86" s="2">
        <v>16</v>
      </c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>
        <v>4</v>
      </c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>
        <v>4</v>
      </c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>
        <f>8</f>
        <v>8</v>
      </c>
      <c r="QQ86" s="2"/>
      <c r="QR86" s="2"/>
      <c r="QS86" s="2"/>
      <c r="QT86" s="2"/>
      <c r="QU86" s="2"/>
      <c r="QV86" s="2"/>
      <c r="QW86" s="2"/>
      <c r="QX86" s="2"/>
      <c r="QY86" s="2"/>
      <c r="QZ86" s="2">
        <f>3</f>
        <v>3</v>
      </c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>
        <v>4</v>
      </c>
      <c r="UQ86" s="2"/>
      <c r="UR86" s="2"/>
      <c r="US86" s="2"/>
      <c r="UT86" s="2"/>
      <c r="UU86" s="2">
        <v>4</v>
      </c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>
        <v>1</v>
      </c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>
        <v>2</v>
      </c>
      <c r="AAA86" s="2"/>
      <c r="AAB86" s="2"/>
      <c r="AAC86" s="2"/>
      <c r="AAD86" s="2"/>
      <c r="AAE86" s="2"/>
      <c r="AAF86" s="2"/>
      <c r="AAG86" s="2"/>
      <c r="AAH86" s="2"/>
      <c r="AAI86" s="2"/>
      <c r="AAJ86" s="2"/>
      <c r="AAK86" s="2"/>
      <c r="AAL86" s="2"/>
      <c r="AAM86" s="2"/>
      <c r="AAN86" s="2"/>
      <c r="AAO86" s="2"/>
      <c r="AAP86" s="2"/>
      <c r="AAQ86" s="2"/>
      <c r="AAR86" s="2"/>
      <c r="AAS86" s="2"/>
      <c r="AAT86" s="2"/>
      <c r="AAU86" s="2"/>
      <c r="AAV86" s="2"/>
      <c r="AAW86" s="2"/>
      <c r="AAX86" s="2"/>
      <c r="AAY86" s="2"/>
      <c r="AAZ86" s="2"/>
      <c r="ABA86" s="2"/>
      <c r="ABB86" s="2"/>
      <c r="ABC86" s="2"/>
      <c r="ABD86" s="2"/>
      <c r="ABE86" s="2"/>
      <c r="ABF86" s="2"/>
      <c r="ABG86" s="2"/>
      <c r="ABH86" s="2"/>
      <c r="ABI86" s="2"/>
      <c r="ABJ86" s="2"/>
      <c r="ABK86" s="2"/>
      <c r="ABL86" s="2"/>
      <c r="ABM86" s="2"/>
      <c r="ABN86" s="2"/>
      <c r="ABO86" s="2"/>
      <c r="ABP86" s="2"/>
      <c r="ABQ86" s="2"/>
      <c r="ABR86" s="2"/>
      <c r="ABS86" s="2"/>
      <c r="ABT86" s="2"/>
      <c r="ABU86" s="2"/>
      <c r="ABV86" s="2"/>
      <c r="ABW86" s="2"/>
      <c r="ABX86" s="2"/>
      <c r="ABY86" s="2"/>
      <c r="ABZ86" s="2"/>
      <c r="ACA86" s="2"/>
      <c r="ACB86" s="2"/>
      <c r="ACC86" s="2"/>
      <c r="ACD86" s="2"/>
      <c r="ACE86" s="2">
        <v>2</v>
      </c>
      <c r="ACF86" s="2"/>
      <c r="ACG86" s="2"/>
      <c r="ACH86" s="2">
        <v>2</v>
      </c>
      <c r="ACI86" s="2"/>
      <c r="ACJ86" s="2"/>
      <c r="ACK86" s="2"/>
      <c r="ACL86" s="2"/>
      <c r="ACM86" s="2"/>
      <c r="ACN86" s="2"/>
      <c r="ACO86" s="2"/>
      <c r="ACP86" s="2"/>
      <c r="ACQ86" s="2"/>
      <c r="ACR86" s="2"/>
      <c r="ACS86" s="2">
        <v>6</v>
      </c>
      <c r="ACT86" s="2"/>
      <c r="ACU86" s="2"/>
      <c r="ACV86" s="2"/>
      <c r="ACW86" s="2"/>
      <c r="ACX86" s="2"/>
      <c r="ACY86" s="2"/>
      <c r="ACZ86" s="2"/>
      <c r="ADA86" s="2"/>
      <c r="ADB86" s="2"/>
      <c r="ADC86" s="2"/>
      <c r="ADD86" s="2">
        <v>4</v>
      </c>
      <c r="ADE86" s="2"/>
      <c r="ADF86" s="2"/>
      <c r="ADG86" s="2"/>
      <c r="ADH86" s="2"/>
      <c r="ADI86" s="2"/>
      <c r="ADJ86" s="2"/>
      <c r="ADK86" s="2"/>
      <c r="ADL86" s="2"/>
      <c r="ADM86" s="2"/>
      <c r="ADN86" s="2"/>
      <c r="ADO86" s="2"/>
      <c r="ADP86" s="2"/>
      <c r="ADQ86" s="2"/>
      <c r="ADR86" s="2">
        <v>4</v>
      </c>
      <c r="ADS86" s="2"/>
      <c r="ADT86" s="2"/>
      <c r="ADU86" s="2"/>
      <c r="ADV86" s="2"/>
      <c r="ADW86" s="2"/>
      <c r="ADX86" s="2"/>
      <c r="ADY86" s="2"/>
      <c r="ADZ86" s="2"/>
      <c r="AEA86" s="2"/>
      <c r="AEB86" s="2"/>
      <c r="AEC86" s="2"/>
      <c r="AED86" s="2"/>
      <c r="AEE86" s="2"/>
      <c r="AEF86" s="2"/>
      <c r="AEG86" s="2"/>
      <c r="AEH86" s="2"/>
      <c r="AEI86" s="2"/>
      <c r="AEJ86" s="2"/>
      <c r="AEK86" s="2"/>
      <c r="AEL86" s="2"/>
      <c r="AEM86" s="2"/>
      <c r="AEN86" s="2"/>
      <c r="AEO86" s="2"/>
      <c r="AEP86" s="2"/>
      <c r="AEQ86" s="2"/>
      <c r="AER86" s="2"/>
      <c r="AES86" s="2"/>
      <c r="AET86" s="2"/>
      <c r="AEU86" s="2"/>
      <c r="AEV86" s="2"/>
      <c r="AEW86" s="2"/>
      <c r="AEX86" s="2"/>
      <c r="AEY86" s="2"/>
      <c r="AEZ86" s="2"/>
      <c r="AFA86" s="2"/>
      <c r="AFB86" s="2"/>
      <c r="AFC86" s="2"/>
      <c r="AFD86" s="2"/>
      <c r="AFE86" s="2"/>
      <c r="AFF86" s="2"/>
      <c r="AFG86" s="2"/>
      <c r="AFH86" s="2"/>
      <c r="AFI86" s="2"/>
      <c r="AFJ86" s="2"/>
      <c r="AFK86" s="2"/>
      <c r="AFL86" s="2">
        <f t="shared" si="1"/>
        <v>68</v>
      </c>
    </row>
    <row r="87" spans="1:844" s="11" customFormat="1" x14ac:dyDescent="0.3">
      <c r="B87" s="91">
        <v>550026902</v>
      </c>
      <c r="C87" s="13" t="s">
        <v>995</v>
      </c>
      <c r="D87" s="35" t="s">
        <v>18</v>
      </c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  <c r="AAA87" s="2"/>
      <c r="AAB87" s="2"/>
      <c r="AAC87" s="2"/>
      <c r="AAD87" s="2"/>
      <c r="AAE87" s="2"/>
      <c r="AAF87" s="2"/>
      <c r="AAG87" s="2"/>
      <c r="AAH87" s="2"/>
      <c r="AAI87" s="2"/>
      <c r="AAJ87" s="2"/>
      <c r="AAK87" s="2"/>
      <c r="AAL87" s="2"/>
      <c r="AAM87" s="2"/>
      <c r="AAN87" s="2"/>
      <c r="AAO87" s="2"/>
      <c r="AAP87" s="2"/>
      <c r="AAQ87" s="2"/>
      <c r="AAR87" s="2"/>
      <c r="AAS87" s="2"/>
      <c r="AAT87" s="2"/>
      <c r="AAU87" s="2"/>
      <c r="AAV87" s="2"/>
      <c r="AAW87" s="2"/>
      <c r="AAX87" s="2"/>
      <c r="AAY87" s="2"/>
      <c r="AAZ87" s="2"/>
      <c r="ABA87" s="2"/>
      <c r="ABB87" s="2"/>
      <c r="ABC87" s="2"/>
      <c r="ABD87" s="2"/>
      <c r="ABE87" s="2"/>
      <c r="ABF87" s="2"/>
      <c r="ABG87" s="2"/>
      <c r="ABH87" s="2"/>
      <c r="ABI87" s="2"/>
      <c r="ABJ87" s="2"/>
      <c r="ABK87" s="2"/>
      <c r="ABL87" s="2"/>
      <c r="ABM87" s="2"/>
      <c r="ABN87" s="2"/>
      <c r="ABO87" s="2"/>
      <c r="ABP87" s="2"/>
      <c r="ABQ87" s="2"/>
      <c r="ABR87" s="2"/>
      <c r="ABS87" s="2"/>
      <c r="ABT87" s="2"/>
      <c r="ABU87" s="2"/>
      <c r="ABV87" s="2"/>
      <c r="ABW87" s="2"/>
      <c r="ABX87" s="2"/>
      <c r="ABY87" s="2"/>
      <c r="ABZ87" s="2"/>
      <c r="ACA87" s="2"/>
      <c r="ACB87" s="2"/>
      <c r="ACC87" s="2"/>
      <c r="ACD87" s="2"/>
      <c r="ACE87" s="2">
        <v>5</v>
      </c>
      <c r="ACF87" s="2"/>
      <c r="ACG87" s="2"/>
      <c r="ACH87" s="2">
        <v>4</v>
      </c>
      <c r="ACI87" s="2">
        <v>4</v>
      </c>
      <c r="ACJ87" s="2"/>
      <c r="ACK87" s="2">
        <v>4</v>
      </c>
      <c r="ACL87" s="2"/>
      <c r="ACM87" s="2"/>
      <c r="ACN87" s="2"/>
      <c r="ACO87" s="2"/>
      <c r="ACP87" s="2"/>
      <c r="ACQ87" s="2"/>
      <c r="ACR87" s="2"/>
      <c r="ACS87" s="2"/>
      <c r="ACT87" s="2"/>
      <c r="ACU87" s="2"/>
      <c r="ACV87" s="2"/>
      <c r="ACW87" s="2"/>
      <c r="ACX87" s="2"/>
      <c r="ACY87" s="2"/>
      <c r="ACZ87" s="2"/>
      <c r="ADA87" s="2"/>
      <c r="ADB87" s="2"/>
      <c r="ADC87" s="2"/>
      <c r="ADD87" s="2"/>
      <c r="ADE87" s="2"/>
      <c r="ADF87" s="2"/>
      <c r="ADG87" s="2"/>
      <c r="ADH87" s="2"/>
      <c r="ADI87" s="2"/>
      <c r="ADJ87" s="2"/>
      <c r="ADK87" s="2">
        <v>4</v>
      </c>
      <c r="ADL87" s="2"/>
      <c r="ADM87" s="2"/>
      <c r="ADN87" s="2"/>
      <c r="ADO87" s="2"/>
      <c r="ADP87" s="2">
        <v>10</v>
      </c>
      <c r="ADQ87" s="2"/>
      <c r="ADR87" s="2"/>
      <c r="ADS87" s="2"/>
      <c r="ADT87" s="2"/>
      <c r="ADU87" s="2"/>
      <c r="ADV87" s="2"/>
      <c r="ADW87" s="2"/>
      <c r="ADX87" s="2"/>
      <c r="ADY87" s="2"/>
      <c r="ADZ87" s="2"/>
      <c r="AEA87" s="2"/>
      <c r="AEB87" s="2"/>
      <c r="AEC87" s="2"/>
      <c r="AED87" s="2"/>
      <c r="AEE87" s="2"/>
      <c r="AEF87" s="2"/>
      <c r="AEG87" s="2"/>
      <c r="AEH87" s="2"/>
      <c r="AEI87" s="2">
        <v>4</v>
      </c>
      <c r="AEJ87" s="2"/>
      <c r="AEK87" s="2">
        <v>2</v>
      </c>
      <c r="AEL87" s="2"/>
      <c r="AEM87" s="2"/>
      <c r="AEN87" s="2"/>
      <c r="AEO87" s="2"/>
      <c r="AEP87" s="2"/>
      <c r="AEQ87" s="2"/>
      <c r="AER87" s="2"/>
      <c r="AES87" s="2"/>
      <c r="AET87" s="2"/>
      <c r="AEU87" s="2"/>
      <c r="AEV87" s="2"/>
      <c r="AEW87" s="2"/>
      <c r="AEX87" s="2"/>
      <c r="AEY87" s="2"/>
      <c r="AEZ87" s="2"/>
      <c r="AFA87" s="2"/>
      <c r="AFB87" s="2"/>
      <c r="AFC87" s="2"/>
      <c r="AFD87" s="2"/>
      <c r="AFE87" s="2"/>
      <c r="AFF87" s="2"/>
      <c r="AFG87" s="2"/>
      <c r="AFH87" s="2"/>
      <c r="AFI87" s="2"/>
      <c r="AFJ87" s="2"/>
      <c r="AFK87" s="2"/>
      <c r="AFL87" s="2">
        <f t="shared" si="1"/>
        <v>37</v>
      </c>
    </row>
    <row r="88" spans="1:844" s="11" customFormat="1" x14ac:dyDescent="0.3">
      <c r="B88" s="91">
        <v>550026891</v>
      </c>
      <c r="C88" s="52" t="s">
        <v>165</v>
      </c>
      <c r="D88" s="35" t="s">
        <v>5</v>
      </c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>
        <v>42</v>
      </c>
      <c r="DM88" s="2"/>
      <c r="DN88" s="2"/>
      <c r="DO88" s="2">
        <v>42</v>
      </c>
      <c r="DP88" s="2"/>
      <c r="DQ88" s="2"/>
      <c r="DR88" s="2"/>
      <c r="DS88" s="2">
        <v>42</v>
      </c>
      <c r="DT88" s="2">
        <v>42</v>
      </c>
      <c r="DU88" s="2"/>
      <c r="DV88" s="2"/>
      <c r="DW88" s="2"/>
      <c r="DX88" s="2"/>
      <c r="DY88" s="2"/>
      <c r="DZ88" s="2"/>
      <c r="EA88" s="2"/>
      <c r="EB88" s="2">
        <v>42</v>
      </c>
      <c r="EC88" s="2"/>
      <c r="ED88" s="2"/>
      <c r="EE88" s="2"/>
      <c r="EF88" s="2">
        <f>42+42</f>
        <v>84</v>
      </c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>
        <v>42</v>
      </c>
      <c r="EX88" s="2"/>
      <c r="EY88" s="2"/>
      <c r="EZ88" s="2">
        <v>42</v>
      </c>
      <c r="FA88" s="2"/>
      <c r="FB88" s="2"/>
      <c r="FC88" s="2"/>
      <c r="FD88" s="2"/>
      <c r="FE88" s="2"/>
      <c r="FF88" s="2"/>
      <c r="FG88" s="2">
        <v>42</v>
      </c>
      <c r="FH88" s="2"/>
      <c r="FI88" s="2"/>
      <c r="FJ88" s="2"/>
      <c r="FK88" s="2">
        <v>42</v>
      </c>
      <c r="FL88" s="2"/>
      <c r="FM88" s="2">
        <v>15</v>
      </c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>
        <v>42</v>
      </c>
      <c r="HS88" s="2"/>
      <c r="HT88" s="2"/>
      <c r="HU88" s="2"/>
      <c r="HV88" s="2">
        <v>42</v>
      </c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>
        <v>42</v>
      </c>
      <c r="IL88" s="2"/>
      <c r="IM88" s="2"/>
      <c r="IN88" s="2"/>
      <c r="IO88" s="2"/>
      <c r="IP88" s="2"/>
      <c r="IQ88" s="2"/>
      <c r="IR88" s="2"/>
      <c r="IS88" s="2"/>
      <c r="IT88" s="2"/>
      <c r="IU88" s="2">
        <v>42</v>
      </c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>
        <v>42</v>
      </c>
      <c r="JL88" s="2"/>
      <c r="JM88" s="2"/>
      <c r="JN88" s="2"/>
      <c r="JO88" s="2"/>
      <c r="JP88" s="2"/>
      <c r="JQ88" s="2"/>
      <c r="JR88" s="2">
        <v>84</v>
      </c>
      <c r="JS88" s="2"/>
      <c r="JT88" s="2"/>
      <c r="JU88" s="2"/>
      <c r="JV88" s="2"/>
      <c r="JW88" s="2"/>
      <c r="JX88" s="2"/>
      <c r="JY88" s="2">
        <v>42</v>
      </c>
      <c r="JZ88" s="2"/>
      <c r="KA88" s="2">
        <v>42</v>
      </c>
      <c r="KB88" s="2"/>
      <c r="KC88" s="2"/>
      <c r="KD88" s="2"/>
      <c r="KE88" s="2"/>
      <c r="KF88" s="2"/>
      <c r="KG88" s="2">
        <v>42</v>
      </c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>
        <v>42</v>
      </c>
      <c r="KV88" s="2"/>
      <c r="KW88" s="2"/>
      <c r="KX88" s="2"/>
      <c r="KY88" s="2">
        <v>21</v>
      </c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>
        <v>42</v>
      </c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>
        <v>42</v>
      </c>
      <c r="LZ88" s="2"/>
      <c r="MA88" s="2"/>
      <c r="MB88" s="2"/>
      <c r="MC88" s="2"/>
      <c r="MD88" s="2"/>
      <c r="ME88" s="2"/>
      <c r="MF88" s="2"/>
      <c r="MG88" s="2">
        <v>40</v>
      </c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>
        <f>42</f>
        <v>42</v>
      </c>
      <c r="QS88" s="2">
        <f>42</f>
        <v>42</v>
      </c>
      <c r="QT88" s="2"/>
      <c r="QU88" s="2"/>
      <c r="QV88" s="2">
        <f>42+42+42</f>
        <v>126</v>
      </c>
      <c r="QW88" s="2">
        <f>126</f>
        <v>126</v>
      </c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>
        <f>42</f>
        <v>42</v>
      </c>
      <c r="SG88" s="2"/>
      <c r="SH88" s="2"/>
      <c r="SI88" s="2">
        <f>42</f>
        <v>42</v>
      </c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>
        <f>42</f>
        <v>42</v>
      </c>
      <c r="SV88" s="2"/>
      <c r="SW88" s="2">
        <f>42</f>
        <v>42</v>
      </c>
      <c r="SX88" s="2"/>
      <c r="SY88" s="2">
        <f>42</f>
        <v>42</v>
      </c>
      <c r="SZ88" s="2"/>
      <c r="TA88" s="2">
        <v>84</v>
      </c>
      <c r="TB88" s="2">
        <v>42</v>
      </c>
      <c r="TC88" s="2"/>
      <c r="TD88" s="2"/>
      <c r="TE88" s="2"/>
      <c r="TF88" s="2"/>
      <c r="TG88" s="2"/>
      <c r="TH88" s="2"/>
      <c r="TI88" s="2"/>
      <c r="TJ88" s="2"/>
      <c r="TK88" s="2"/>
      <c r="TL88" s="2">
        <v>84</v>
      </c>
      <c r="TM88" s="2">
        <v>42</v>
      </c>
      <c r="TN88" s="2"/>
      <c r="TO88" s="2"/>
      <c r="TP88" s="2"/>
      <c r="TQ88" s="2">
        <v>42</v>
      </c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>
        <v>42</v>
      </c>
      <c r="UJ88" s="2">
        <v>42</v>
      </c>
      <c r="UK88" s="2">
        <v>42</v>
      </c>
      <c r="UL88" s="2"/>
      <c r="UM88" s="2"/>
      <c r="UN88" s="2">
        <v>42</v>
      </c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>
        <v>42</v>
      </c>
      <c r="VD88" s="2"/>
      <c r="VE88" s="2"/>
      <c r="VF88" s="2"/>
      <c r="VG88" s="2">
        <v>42</v>
      </c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>
        <v>42</v>
      </c>
      <c r="WC88" s="2"/>
      <c r="WD88" s="2">
        <v>42</v>
      </c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>
        <v>42</v>
      </c>
      <c r="XI88" s="2"/>
      <c r="XJ88" s="2"/>
      <c r="XK88" s="2"/>
      <c r="XL88" s="2"/>
      <c r="XM88" s="2"/>
      <c r="XN88" s="2"/>
      <c r="XO88" s="2"/>
      <c r="XP88" s="2"/>
      <c r="XQ88" s="2">
        <v>42</v>
      </c>
      <c r="XR88" s="2">
        <v>42</v>
      </c>
      <c r="XS88" s="2">
        <v>42</v>
      </c>
      <c r="XT88" s="2"/>
      <c r="XU88" s="2"/>
      <c r="XV88" s="2"/>
      <c r="XW88" s="2">
        <v>42</v>
      </c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>
        <v>42</v>
      </c>
      <c r="YM88" s="2"/>
      <c r="YN88" s="2"/>
      <c r="YO88" s="2"/>
      <c r="YP88" s="2"/>
      <c r="YQ88" s="2"/>
      <c r="YR88" s="2"/>
      <c r="YS88" s="2"/>
      <c r="YT88" s="2">
        <f>126+42</f>
        <v>168</v>
      </c>
      <c r="YU88" s="2"/>
      <c r="YV88" s="2">
        <v>42</v>
      </c>
      <c r="YW88" s="2">
        <v>84</v>
      </c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>
        <v>83</v>
      </c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  <c r="AAA88" s="2"/>
      <c r="AAB88" s="2"/>
      <c r="AAC88" s="2"/>
      <c r="AAD88" s="2"/>
      <c r="AAE88" s="2"/>
      <c r="AAF88" s="2"/>
      <c r="AAG88" s="2"/>
      <c r="AAH88" s="2"/>
      <c r="AAI88" s="2"/>
      <c r="AAJ88" s="2"/>
      <c r="AAK88" s="2"/>
      <c r="AAL88" s="2"/>
      <c r="AAM88" s="2"/>
      <c r="AAN88" s="2"/>
      <c r="AAO88" s="2"/>
      <c r="AAP88" s="2"/>
      <c r="AAQ88" s="2"/>
      <c r="AAR88" s="2"/>
      <c r="AAS88" s="2"/>
      <c r="AAT88" s="2"/>
      <c r="AAU88" s="2"/>
      <c r="AAV88" s="2"/>
      <c r="AAW88" s="2"/>
      <c r="AAX88" s="2"/>
      <c r="AAY88" s="2"/>
      <c r="AAZ88" s="2"/>
      <c r="ABA88" s="2"/>
      <c r="ABB88" s="2"/>
      <c r="ABC88" s="2"/>
      <c r="ABD88" s="2"/>
      <c r="ABE88" s="2"/>
      <c r="ABF88" s="2"/>
      <c r="ABG88" s="2"/>
      <c r="ABH88" s="2"/>
      <c r="ABI88" s="2"/>
      <c r="ABJ88" s="2"/>
      <c r="ABK88" s="2"/>
      <c r="ABL88" s="2"/>
      <c r="ABM88" s="2"/>
      <c r="ABN88" s="2"/>
      <c r="ABO88" s="2"/>
      <c r="ABP88" s="2"/>
      <c r="ABQ88" s="2"/>
      <c r="ABR88" s="2"/>
      <c r="ABS88" s="2"/>
      <c r="ABT88" s="2"/>
      <c r="ABU88" s="2"/>
      <c r="ABV88" s="2"/>
      <c r="ABW88" s="2"/>
      <c r="ABX88" s="2"/>
      <c r="ABY88" s="2"/>
      <c r="ABZ88" s="2"/>
      <c r="ACA88" s="2"/>
      <c r="ACB88" s="2"/>
      <c r="ACC88" s="2">
        <v>42</v>
      </c>
      <c r="ACD88" s="2"/>
      <c r="ACE88" s="2">
        <f>42+42</f>
        <v>84</v>
      </c>
      <c r="ACF88" s="2">
        <v>42</v>
      </c>
      <c r="ACG88" s="2"/>
      <c r="ACH88" s="2"/>
      <c r="ACI88" s="2">
        <v>42</v>
      </c>
      <c r="ACJ88" s="2"/>
      <c r="ACK88" s="2">
        <v>42</v>
      </c>
      <c r="ACL88" s="2">
        <v>42</v>
      </c>
      <c r="ACM88" s="2"/>
      <c r="ACN88" s="2"/>
      <c r="ACO88" s="2"/>
      <c r="ACP88" s="2"/>
      <c r="ACQ88" s="2">
        <v>42</v>
      </c>
      <c r="ACR88" s="2">
        <v>42</v>
      </c>
      <c r="ACS88" s="2"/>
      <c r="ACT88" s="2"/>
      <c r="ACU88" s="2">
        <v>42</v>
      </c>
      <c r="ACV88" s="2"/>
      <c r="ACW88" s="2"/>
      <c r="ACX88" s="2"/>
      <c r="ACY88" s="2"/>
      <c r="ACZ88" s="2"/>
      <c r="ADA88" s="2"/>
      <c r="ADB88" s="2"/>
      <c r="ADC88" s="2"/>
      <c r="ADD88" s="2"/>
      <c r="ADE88" s="2"/>
      <c r="ADF88" s="2"/>
      <c r="ADG88" s="2"/>
      <c r="ADH88" s="2"/>
      <c r="ADI88" s="2"/>
      <c r="ADJ88" s="2"/>
      <c r="ADK88" s="2"/>
      <c r="ADL88" s="2"/>
      <c r="ADM88" s="2"/>
      <c r="ADN88" s="2"/>
      <c r="ADO88" s="2"/>
      <c r="ADP88" s="2"/>
      <c r="ADQ88" s="2"/>
      <c r="ADR88" s="2"/>
      <c r="ADS88" s="2"/>
      <c r="ADT88" s="2"/>
      <c r="ADU88" s="2"/>
      <c r="ADV88" s="2"/>
      <c r="ADW88" s="2"/>
      <c r="ADX88" s="2"/>
      <c r="ADY88" s="2"/>
      <c r="ADZ88" s="2"/>
      <c r="AEA88" s="2"/>
      <c r="AEB88" s="2"/>
      <c r="AEC88" s="2"/>
      <c r="AED88" s="2"/>
      <c r="AEE88" s="2"/>
      <c r="AEF88" s="2"/>
      <c r="AEG88" s="2"/>
      <c r="AEH88" s="2"/>
      <c r="AEI88" s="2"/>
      <c r="AEJ88" s="2"/>
      <c r="AEK88" s="2"/>
      <c r="AEL88" s="2"/>
      <c r="AEM88" s="2"/>
      <c r="AEN88" s="2"/>
      <c r="AEO88" s="2"/>
      <c r="AEP88" s="2"/>
      <c r="AEQ88" s="2"/>
      <c r="AER88" s="2"/>
      <c r="AES88" s="2"/>
      <c r="AET88" s="2"/>
      <c r="AEU88" s="2"/>
      <c r="AEV88" s="2"/>
      <c r="AEW88" s="2"/>
      <c r="AEX88" s="2"/>
      <c r="AEY88" s="2"/>
      <c r="AEZ88" s="2"/>
      <c r="AFA88" s="2"/>
      <c r="AFB88" s="2"/>
      <c r="AFC88" s="2"/>
      <c r="AFD88" s="2"/>
      <c r="AFE88" s="2"/>
      <c r="AFF88" s="2"/>
      <c r="AFG88" s="2"/>
      <c r="AFH88" s="2"/>
      <c r="AFI88" s="2"/>
      <c r="AFJ88" s="2"/>
      <c r="AFK88" s="2"/>
      <c r="AFL88" s="2">
        <f t="shared" si="1"/>
        <v>3309</v>
      </c>
    </row>
    <row r="89" spans="1:844" s="11" customFormat="1" x14ac:dyDescent="0.3">
      <c r="B89" s="35">
        <v>550056833</v>
      </c>
      <c r="C89" s="52" t="s">
        <v>1015</v>
      </c>
      <c r="D89" s="35" t="s">
        <v>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2"/>
      <c r="SO89" s="2"/>
      <c r="SP89" s="2"/>
      <c r="SQ89" s="2"/>
      <c r="SR89" s="2"/>
      <c r="SS89" s="2"/>
      <c r="ST89" s="2"/>
      <c r="SU89" s="2"/>
      <c r="SV89" s="2"/>
      <c r="SW89" s="2"/>
      <c r="SX89" s="2"/>
      <c r="SY89" s="2"/>
      <c r="SZ89" s="2"/>
      <c r="TA89" s="2"/>
      <c r="TB89" s="2"/>
      <c r="TC89" s="2"/>
      <c r="TD89" s="2"/>
      <c r="TE89" s="2"/>
      <c r="TF89" s="2"/>
      <c r="TG89" s="2"/>
      <c r="TH89" s="2"/>
      <c r="TI89" s="2"/>
      <c r="TJ89" s="2"/>
      <c r="TK89" s="2"/>
      <c r="TL89" s="2"/>
      <c r="TM89" s="2"/>
      <c r="TN89" s="2"/>
      <c r="TO89" s="2"/>
      <c r="TP89" s="2"/>
      <c r="TQ89" s="2"/>
      <c r="TR89" s="2"/>
      <c r="TS89" s="2"/>
      <c r="TT89" s="2"/>
      <c r="TU89" s="2"/>
      <c r="TV89" s="2"/>
      <c r="TW89" s="2"/>
      <c r="TX89" s="2"/>
      <c r="TY89" s="2"/>
      <c r="TZ89" s="2"/>
      <c r="UA89" s="2"/>
      <c r="UB89" s="2"/>
      <c r="UC89" s="2"/>
      <c r="UD89" s="2"/>
      <c r="UE89" s="2"/>
      <c r="UF89" s="2"/>
      <c r="UG89" s="2"/>
      <c r="UH89" s="2"/>
      <c r="UI89" s="2"/>
      <c r="UJ89" s="2"/>
      <c r="UK89" s="2"/>
      <c r="UL89" s="2"/>
      <c r="UM89" s="2"/>
      <c r="UN89" s="2"/>
      <c r="UO89" s="2"/>
      <c r="UP89" s="2"/>
      <c r="UQ89" s="2"/>
      <c r="UR89" s="2"/>
      <c r="US89" s="2"/>
      <c r="UT89" s="2"/>
      <c r="UU89" s="2"/>
      <c r="UV89" s="2"/>
      <c r="UW89" s="2"/>
      <c r="UX89" s="2"/>
      <c r="UY89" s="2"/>
      <c r="UZ89" s="2"/>
      <c r="VA89" s="2"/>
      <c r="VB89" s="2"/>
      <c r="VC89" s="2"/>
      <c r="VD89" s="2"/>
      <c r="VE89" s="2"/>
      <c r="VF89" s="2"/>
      <c r="VG89" s="2"/>
      <c r="VH89" s="2"/>
      <c r="VI89" s="2"/>
      <c r="VJ89" s="2"/>
      <c r="VK89" s="2"/>
      <c r="VL89" s="2"/>
      <c r="VM89" s="2"/>
      <c r="VN89" s="2"/>
      <c r="VO89" s="2"/>
      <c r="VP89" s="2"/>
      <c r="VQ89" s="2"/>
      <c r="VR89" s="2"/>
      <c r="VS89" s="2"/>
      <c r="VT89" s="2"/>
      <c r="VU89" s="2"/>
      <c r="VV89" s="2"/>
      <c r="VW89" s="2"/>
      <c r="VX89" s="2"/>
      <c r="VY89" s="2"/>
      <c r="VZ89" s="2"/>
      <c r="WA89" s="2"/>
      <c r="WB89" s="2"/>
      <c r="WC89" s="2"/>
      <c r="WD89" s="2"/>
      <c r="WE89" s="2"/>
      <c r="WF89" s="2"/>
      <c r="WG89" s="2"/>
      <c r="WH89" s="2"/>
      <c r="WI89" s="2"/>
      <c r="WJ89" s="2"/>
      <c r="WK89" s="2"/>
      <c r="WL89" s="2"/>
      <c r="WM89" s="2"/>
      <c r="WN89" s="2"/>
      <c r="WO89" s="2"/>
      <c r="WP89" s="2"/>
      <c r="WQ89" s="2"/>
      <c r="WR89" s="2"/>
      <c r="WS89" s="2"/>
      <c r="WT89" s="2"/>
      <c r="WU89" s="2"/>
      <c r="WV89" s="2"/>
      <c r="WW89" s="2"/>
      <c r="WX89" s="2"/>
      <c r="WY89" s="2"/>
      <c r="WZ89" s="2"/>
      <c r="XA89" s="2"/>
      <c r="XB89" s="2"/>
      <c r="XC89" s="2"/>
      <c r="XD89" s="2"/>
      <c r="XE89" s="2"/>
      <c r="XF89" s="2"/>
      <c r="XG89" s="2"/>
      <c r="XH89" s="2"/>
      <c r="XI89" s="2"/>
      <c r="XJ89" s="2"/>
      <c r="XK89" s="2"/>
      <c r="XL89" s="2"/>
      <c r="XM89" s="2"/>
      <c r="XN89" s="2"/>
      <c r="XO89" s="2"/>
      <c r="XP89" s="2"/>
      <c r="XQ89" s="2"/>
      <c r="XR89" s="2"/>
      <c r="XS89" s="2"/>
      <c r="XT89" s="2"/>
      <c r="XU89" s="2"/>
      <c r="XV89" s="2"/>
      <c r="XW89" s="2"/>
      <c r="XX89" s="2"/>
      <c r="XY89" s="2"/>
      <c r="XZ89" s="2"/>
      <c r="YA89" s="2"/>
      <c r="YB89" s="2"/>
      <c r="YC89" s="2"/>
      <c r="YD89" s="2"/>
      <c r="YE89" s="2"/>
      <c r="YF89" s="2"/>
      <c r="YG89" s="2"/>
      <c r="YH89" s="2"/>
      <c r="YI89" s="2"/>
      <c r="YJ89" s="2"/>
      <c r="YK89" s="2"/>
      <c r="YL89" s="2"/>
      <c r="YM89" s="2"/>
      <c r="YN89" s="2"/>
      <c r="YO89" s="2"/>
      <c r="YP89" s="2"/>
      <c r="YQ89" s="2"/>
      <c r="YR89" s="2"/>
      <c r="YS89" s="2"/>
      <c r="YT89" s="2"/>
      <c r="YU89" s="2"/>
      <c r="YV89" s="2"/>
      <c r="YW89" s="2"/>
      <c r="YX89" s="2"/>
      <c r="YY89" s="2"/>
      <c r="YZ89" s="2"/>
      <c r="ZA89" s="2"/>
      <c r="ZB89" s="2"/>
      <c r="ZC89" s="2"/>
      <c r="ZD89" s="2"/>
      <c r="ZE89" s="2"/>
      <c r="ZF89" s="2"/>
      <c r="ZG89" s="2"/>
      <c r="ZH89" s="2"/>
      <c r="ZI89" s="2"/>
      <c r="ZJ89" s="2"/>
      <c r="ZK89" s="2"/>
      <c r="ZL89" s="2"/>
      <c r="ZM89" s="2"/>
      <c r="ZN89" s="2"/>
      <c r="ZO89" s="2"/>
      <c r="ZP89" s="2"/>
      <c r="ZQ89" s="2"/>
      <c r="ZR89" s="2"/>
      <c r="ZS89" s="2"/>
      <c r="ZT89" s="2"/>
      <c r="ZU89" s="2"/>
      <c r="ZV89" s="2"/>
      <c r="ZW89" s="2"/>
      <c r="ZX89" s="2"/>
      <c r="ZY89" s="2"/>
      <c r="ZZ89" s="2"/>
      <c r="AAA89" s="2"/>
      <c r="AAB89" s="2"/>
      <c r="AAC89" s="2"/>
      <c r="AAD89" s="2"/>
      <c r="AAE89" s="2"/>
      <c r="AAF89" s="2"/>
      <c r="AAG89" s="2"/>
      <c r="AAH89" s="2"/>
      <c r="AAI89" s="2"/>
      <c r="AAJ89" s="2"/>
      <c r="AAK89" s="2"/>
      <c r="AAL89" s="2"/>
      <c r="AAM89" s="2"/>
      <c r="AAN89" s="2"/>
      <c r="AAO89" s="2"/>
      <c r="AAP89" s="2"/>
      <c r="AAQ89" s="2"/>
      <c r="AAR89" s="2"/>
      <c r="AAS89" s="2"/>
      <c r="AAT89" s="2"/>
      <c r="AAU89" s="2"/>
      <c r="AAV89" s="2"/>
      <c r="AAW89" s="2"/>
      <c r="AAX89" s="2"/>
      <c r="AAY89" s="2"/>
      <c r="AAZ89" s="2"/>
      <c r="ABA89" s="2"/>
      <c r="ABB89" s="2"/>
      <c r="ABC89" s="2"/>
      <c r="ABD89" s="2"/>
      <c r="ABE89" s="2"/>
      <c r="ABF89" s="2"/>
      <c r="ABG89" s="2"/>
      <c r="ABH89" s="2"/>
      <c r="ABI89" s="2"/>
      <c r="ABJ89" s="2"/>
      <c r="ABK89" s="2"/>
      <c r="ABL89" s="2"/>
      <c r="ABM89" s="2"/>
      <c r="ABN89" s="2"/>
      <c r="ABO89" s="2"/>
      <c r="ABP89" s="2"/>
      <c r="ABQ89" s="2"/>
      <c r="ABR89" s="2"/>
      <c r="ABS89" s="2"/>
      <c r="ABT89" s="2"/>
      <c r="ABU89" s="2"/>
      <c r="ABV89" s="2"/>
      <c r="ABW89" s="2"/>
      <c r="ABX89" s="2"/>
      <c r="ABY89" s="2"/>
      <c r="ABZ89" s="2"/>
      <c r="ACA89" s="2"/>
      <c r="ACB89" s="2"/>
      <c r="ACC89" s="2">
        <v>1</v>
      </c>
      <c r="ACD89" s="2"/>
      <c r="ACE89" s="2"/>
      <c r="ACF89" s="2"/>
      <c r="ACG89" s="2"/>
      <c r="ACH89" s="2"/>
      <c r="ACI89" s="2"/>
      <c r="ACJ89" s="2"/>
      <c r="ACK89" s="2"/>
      <c r="ACL89" s="2"/>
      <c r="ACM89" s="2"/>
      <c r="ACN89" s="2">
        <v>2</v>
      </c>
      <c r="ACO89" s="2"/>
      <c r="ACP89" s="2"/>
      <c r="ACQ89" s="2">
        <v>77</v>
      </c>
      <c r="ACR89" s="2"/>
      <c r="ACS89" s="2">
        <v>77</v>
      </c>
      <c r="ACT89" s="2"/>
      <c r="ACU89" s="2">
        <f>77+77</f>
        <v>154</v>
      </c>
      <c r="ACV89" s="2"/>
      <c r="ACW89" s="2"/>
      <c r="ACX89" s="2"/>
      <c r="ACY89" s="2">
        <v>154</v>
      </c>
      <c r="ACZ89" s="2">
        <v>77</v>
      </c>
      <c r="ADA89" s="2"/>
      <c r="ADB89" s="2"/>
      <c r="ADC89" s="2"/>
      <c r="ADD89" s="2">
        <v>154</v>
      </c>
      <c r="ADE89" s="2"/>
      <c r="ADF89" s="2">
        <v>154</v>
      </c>
      <c r="ADG89" s="2"/>
      <c r="ADH89" s="2"/>
      <c r="ADI89" s="2"/>
      <c r="ADJ89" s="2"/>
      <c r="ADK89" s="2"/>
      <c r="ADL89" s="2"/>
      <c r="ADM89" s="2"/>
      <c r="ADN89" s="2"/>
      <c r="ADO89" s="2">
        <v>77</v>
      </c>
      <c r="ADP89" s="2"/>
      <c r="ADQ89" s="2"/>
      <c r="ADR89" s="2"/>
      <c r="ADS89" s="2"/>
      <c r="ADT89" s="2"/>
      <c r="ADU89" s="2"/>
      <c r="ADV89" s="2"/>
      <c r="ADW89" s="2"/>
      <c r="ADX89" s="2"/>
      <c r="ADY89" s="2"/>
      <c r="ADZ89" s="2"/>
      <c r="AEA89" s="2"/>
      <c r="AEB89" s="2"/>
      <c r="AEC89" s="2"/>
      <c r="AED89" s="2">
        <v>32</v>
      </c>
      <c r="AEE89" s="2"/>
      <c r="AEF89" s="2"/>
      <c r="AEG89" s="2"/>
      <c r="AEH89" s="2"/>
      <c r="AEI89" s="2"/>
      <c r="AEJ89" s="2"/>
      <c r="AEK89" s="2"/>
      <c r="AEL89" s="2"/>
      <c r="AEM89" s="2"/>
      <c r="AEN89" s="2"/>
      <c r="AEO89" s="2"/>
      <c r="AEP89" s="2"/>
      <c r="AEQ89" s="2"/>
      <c r="AER89" s="2"/>
      <c r="AES89" s="2"/>
      <c r="AET89" s="12">
        <v>1</v>
      </c>
      <c r="AEU89" s="2"/>
      <c r="AEV89" s="2"/>
      <c r="AEW89" s="2"/>
      <c r="AEX89" s="2"/>
      <c r="AEY89" s="2"/>
      <c r="AEZ89" s="2"/>
      <c r="AFA89" s="2"/>
      <c r="AFB89" s="2"/>
      <c r="AFC89" s="2"/>
      <c r="AFD89" s="2"/>
      <c r="AFE89" s="2"/>
      <c r="AFF89" s="2"/>
      <c r="AFG89" s="2"/>
      <c r="AFH89" s="2"/>
      <c r="AFI89" s="2"/>
      <c r="AFJ89" s="2"/>
      <c r="AFK89" s="2"/>
      <c r="AFL89" s="2">
        <f t="shared" si="1"/>
        <v>960</v>
      </c>
    </row>
    <row r="90" spans="1:844" s="11" customFormat="1" x14ac:dyDescent="0.3">
      <c r="B90" s="91">
        <v>550050052</v>
      </c>
      <c r="C90" s="89" t="s">
        <v>167</v>
      </c>
      <c r="D90" s="35" t="s">
        <v>2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>
        <v>175</v>
      </c>
      <c r="DU90" s="2"/>
      <c r="DV90" s="2">
        <v>5</v>
      </c>
      <c r="DW90" s="2"/>
      <c r="DX90" s="2"/>
      <c r="DY90" s="2"/>
      <c r="DZ90" s="2"/>
      <c r="EA90" s="2"/>
      <c r="EB90" s="2">
        <v>1</v>
      </c>
      <c r="EC90" s="2"/>
      <c r="ED90" s="2"/>
      <c r="EE90" s="2">
        <v>175</v>
      </c>
      <c r="EF90" s="2">
        <f>175+175</f>
        <v>350</v>
      </c>
      <c r="EG90" s="2"/>
      <c r="EH90" s="2"/>
      <c r="EI90" s="2">
        <v>175</v>
      </c>
      <c r="EJ90" s="2"/>
      <c r="EK90" s="2"/>
      <c r="EL90" s="2"/>
      <c r="EM90" s="2"/>
      <c r="EN90" s="2"/>
      <c r="EO90" s="2"/>
      <c r="EP90" s="2"/>
      <c r="EQ90" s="2">
        <v>175</v>
      </c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>
        <f>175+175</f>
        <v>350</v>
      </c>
      <c r="FD90" s="2"/>
      <c r="FE90" s="2"/>
      <c r="FF90" s="2"/>
      <c r="FG90" s="2"/>
      <c r="FH90" s="2"/>
      <c r="FI90" s="2"/>
      <c r="FJ90" s="2"/>
      <c r="FK90" s="2">
        <v>1</v>
      </c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>
        <v>175</v>
      </c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>
        <v>175</v>
      </c>
      <c r="HN90" s="2"/>
      <c r="HO90" s="2">
        <v>175</v>
      </c>
      <c r="HP90" s="2"/>
      <c r="HQ90" s="2"/>
      <c r="HR90" s="2"/>
      <c r="HS90" s="2">
        <v>175</v>
      </c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>
        <v>175</v>
      </c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>
        <v>175</v>
      </c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>
        <v>175</v>
      </c>
      <c r="JS90" s="2"/>
      <c r="JT90" s="2"/>
      <c r="JU90" s="2"/>
      <c r="JV90" s="2">
        <v>1</v>
      </c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>
        <v>175</v>
      </c>
      <c r="LJ90" s="2"/>
      <c r="LK90" s="2"/>
      <c r="LL90" s="2"/>
      <c r="LM90" s="2"/>
      <c r="LN90" s="2"/>
      <c r="LO90" s="2">
        <v>1</v>
      </c>
      <c r="LP90" s="2"/>
      <c r="LQ90" s="2"/>
      <c r="LR90" s="2"/>
      <c r="LS90" s="2"/>
      <c r="LT90" s="2"/>
      <c r="LU90" s="2">
        <v>175</v>
      </c>
      <c r="LV90" s="2"/>
      <c r="LW90" s="2"/>
      <c r="LX90" s="2">
        <v>1</v>
      </c>
      <c r="LY90" s="2"/>
      <c r="LZ90" s="2"/>
      <c r="MA90" s="2"/>
      <c r="MB90" s="2"/>
      <c r="MC90" s="2"/>
      <c r="MD90" s="2"/>
      <c r="ME90" s="2"/>
      <c r="MF90" s="2"/>
      <c r="MG90" s="2"/>
      <c r="MH90" s="2">
        <f>175+1</f>
        <v>176</v>
      </c>
      <c r="MI90" s="2"/>
      <c r="MJ90" s="2"/>
      <c r="MK90" s="2"/>
      <c r="ML90" s="2"/>
      <c r="MM90" s="2"/>
      <c r="MN90" s="2"/>
      <c r="MO90" s="2"/>
      <c r="MP90" s="2">
        <v>175</v>
      </c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>
        <v>175</v>
      </c>
      <c r="NF90" s="2"/>
      <c r="NG90" s="2"/>
      <c r="NH90" s="2">
        <v>175</v>
      </c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>
        <v>175</v>
      </c>
      <c r="NU90" s="2"/>
      <c r="NV90" s="2"/>
      <c r="NW90" s="2"/>
      <c r="NX90" s="2"/>
      <c r="NY90" s="2"/>
      <c r="NZ90" s="2"/>
      <c r="OA90" s="2"/>
      <c r="OB90" s="2"/>
      <c r="OC90" s="2"/>
      <c r="OD90" s="2">
        <f>36+1</f>
        <v>37</v>
      </c>
      <c r="OE90" s="2"/>
      <c r="OF90" s="2"/>
      <c r="OG90" s="2"/>
      <c r="OH90" s="2"/>
      <c r="OI90" s="2">
        <v>175</v>
      </c>
      <c r="OJ90" s="2"/>
      <c r="OK90" s="2"/>
      <c r="OL90" s="2"/>
      <c r="OM90" s="2"/>
      <c r="ON90" s="2"/>
      <c r="OO90" s="2"/>
      <c r="OP90" s="2"/>
      <c r="OQ90" s="2">
        <v>175</v>
      </c>
      <c r="OR90" s="2">
        <v>1</v>
      </c>
      <c r="OS90" s="2"/>
      <c r="OT90" s="2"/>
      <c r="OU90" s="2"/>
      <c r="OV90" s="2"/>
      <c r="OW90" s="2">
        <v>175</v>
      </c>
      <c r="OX90" s="2"/>
      <c r="OY90" s="2"/>
      <c r="OZ90" s="2"/>
      <c r="PA90" s="2"/>
      <c r="PB90" s="2"/>
      <c r="PC90" s="2"/>
      <c r="PD90" s="2"/>
      <c r="PE90" s="2"/>
      <c r="PF90" s="2">
        <v>175</v>
      </c>
      <c r="PG90" s="2"/>
      <c r="PH90" s="2"/>
      <c r="PI90" s="2"/>
      <c r="PJ90" s="2"/>
      <c r="PK90" s="2">
        <v>175</v>
      </c>
      <c r="PL90" s="2"/>
      <c r="PM90" s="2"/>
      <c r="PN90" s="2"/>
      <c r="PO90" s="2"/>
      <c r="PP90" s="2"/>
      <c r="PQ90" s="2"/>
      <c r="PR90" s="2"/>
      <c r="PS90" s="2"/>
      <c r="PT90" s="2">
        <v>175</v>
      </c>
      <c r="PU90" s="2"/>
      <c r="PV90" s="2"/>
      <c r="PW90" s="2"/>
      <c r="PX90" s="2"/>
      <c r="PY90" s="2"/>
      <c r="PZ90" s="2"/>
      <c r="QA90" s="2">
        <v>175</v>
      </c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>
        <f>2</f>
        <v>2</v>
      </c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>
        <f>175</f>
        <v>175</v>
      </c>
      <c r="RR90" s="2"/>
      <c r="RS90" s="2"/>
      <c r="RT90" s="2"/>
      <c r="RU90" s="2"/>
      <c r="RV90" s="2"/>
      <c r="RW90" s="2"/>
      <c r="RX90" s="2"/>
      <c r="RY90" s="2"/>
      <c r="RZ90" s="2"/>
      <c r="SA90" s="2">
        <f>175</f>
        <v>175</v>
      </c>
      <c r="SB90" s="2"/>
      <c r="SC90" s="2"/>
      <c r="SD90" s="2"/>
      <c r="SE90" s="2"/>
      <c r="SF90" s="2"/>
      <c r="SG90" s="2"/>
      <c r="SH90" s="2"/>
      <c r="SI90" s="2">
        <f>175</f>
        <v>175</v>
      </c>
      <c r="SJ90" s="2"/>
      <c r="SK90" s="2"/>
      <c r="SL90" s="2"/>
      <c r="SM90" s="2"/>
      <c r="SN90" s="2"/>
      <c r="SO90" s="2"/>
      <c r="SP90" s="2"/>
      <c r="SQ90" s="2"/>
      <c r="SR90" s="2"/>
      <c r="SS90" s="2"/>
      <c r="ST90" s="2"/>
      <c r="SU90" s="2"/>
      <c r="SV90" s="2">
        <f>175</f>
        <v>175</v>
      </c>
      <c r="SW90" s="2"/>
      <c r="SX90" s="2"/>
      <c r="SY90" s="2">
        <f>175</f>
        <v>175</v>
      </c>
      <c r="SZ90" s="2"/>
      <c r="TA90" s="2"/>
      <c r="TB90" s="2"/>
      <c r="TC90" s="2"/>
      <c r="TD90" s="2"/>
      <c r="TE90" s="2">
        <v>175</v>
      </c>
      <c r="TF90" s="2"/>
      <c r="TG90" s="2"/>
      <c r="TH90" s="2"/>
      <c r="TI90" s="2"/>
      <c r="TJ90" s="2">
        <v>175</v>
      </c>
      <c r="TK90" s="2"/>
      <c r="TL90" s="2"/>
      <c r="TM90" s="2"/>
      <c r="TN90" s="2"/>
      <c r="TO90" s="2"/>
      <c r="TP90" s="2"/>
      <c r="TQ90" s="2">
        <v>175</v>
      </c>
      <c r="TR90" s="2"/>
      <c r="TS90" s="2"/>
      <c r="TT90" s="2"/>
      <c r="TU90" s="2"/>
      <c r="TV90" s="2"/>
      <c r="TW90" s="2"/>
      <c r="TX90" s="2"/>
      <c r="TY90" s="2"/>
      <c r="TZ90" s="2"/>
      <c r="UA90" s="2"/>
      <c r="UB90" s="2"/>
      <c r="UC90" s="2"/>
      <c r="UD90" s="2"/>
      <c r="UE90" s="2"/>
      <c r="UF90" s="2"/>
      <c r="UG90" s="2"/>
      <c r="UH90" s="2"/>
      <c r="UI90" s="2"/>
      <c r="UJ90" s="2"/>
      <c r="UK90" s="2">
        <v>175</v>
      </c>
      <c r="UL90" s="2">
        <f>90+175</f>
        <v>265</v>
      </c>
      <c r="UM90" s="2"/>
      <c r="UN90" s="2"/>
      <c r="UO90" s="2"/>
      <c r="UP90" s="2"/>
      <c r="UQ90" s="2"/>
      <c r="UR90" s="2"/>
      <c r="US90" s="2"/>
      <c r="UT90" s="2">
        <v>175</v>
      </c>
      <c r="UU90" s="2"/>
      <c r="UV90" s="2"/>
      <c r="UW90" s="2"/>
      <c r="UX90" s="2"/>
      <c r="UY90" s="2"/>
      <c r="UZ90" s="2"/>
      <c r="VA90" s="2"/>
      <c r="VB90" s="2"/>
      <c r="VC90" s="2"/>
      <c r="VD90" s="2"/>
      <c r="VE90" s="2"/>
      <c r="VF90" s="2"/>
      <c r="VG90" s="2"/>
      <c r="VH90" s="2"/>
      <c r="VI90" s="2"/>
      <c r="VJ90" s="2"/>
      <c r="VK90" s="2">
        <v>26</v>
      </c>
      <c r="VL90" s="2"/>
      <c r="VM90" s="2"/>
      <c r="VN90" s="2"/>
      <c r="VO90" s="2"/>
      <c r="VP90" s="2"/>
      <c r="VQ90" s="2"/>
      <c r="VR90" s="2"/>
      <c r="VS90" s="2"/>
      <c r="VT90" s="2">
        <v>350</v>
      </c>
      <c r="VU90" s="2"/>
      <c r="VV90" s="2"/>
      <c r="VW90" s="2"/>
      <c r="VX90" s="2">
        <f>175+350</f>
        <v>525</v>
      </c>
      <c r="VY90" s="2"/>
      <c r="VZ90" s="2">
        <v>2</v>
      </c>
      <c r="WA90" s="2"/>
      <c r="WB90" s="2">
        <f>175+175</f>
        <v>350</v>
      </c>
      <c r="WC90" s="2"/>
      <c r="WD90" s="2"/>
      <c r="WE90" s="2">
        <f>175+175</f>
        <v>350</v>
      </c>
      <c r="WF90" s="2"/>
      <c r="WG90" s="2">
        <v>1</v>
      </c>
      <c r="WH90" s="2"/>
      <c r="WI90" s="2"/>
      <c r="WJ90" s="2"/>
      <c r="WK90" s="2"/>
      <c r="WL90" s="2"/>
      <c r="WM90" s="2"/>
      <c r="WN90" s="2"/>
      <c r="WO90" s="2"/>
      <c r="WP90" s="2"/>
      <c r="WQ90" s="2"/>
      <c r="WR90" s="2"/>
      <c r="WS90" s="2"/>
      <c r="WT90" s="2"/>
      <c r="WU90" s="2"/>
      <c r="WV90" s="2"/>
      <c r="WW90" s="2">
        <v>1</v>
      </c>
      <c r="WX90" s="2">
        <v>350</v>
      </c>
      <c r="WY90" s="2"/>
      <c r="WZ90" s="2"/>
      <c r="XA90" s="2"/>
      <c r="XB90" s="2"/>
      <c r="XC90" s="2"/>
      <c r="XD90" s="2"/>
      <c r="XE90" s="2"/>
      <c r="XF90" s="2"/>
      <c r="XG90" s="2"/>
      <c r="XH90" s="2"/>
      <c r="XI90" s="2"/>
      <c r="XJ90" s="2"/>
      <c r="XK90" s="2"/>
      <c r="XL90" s="2"/>
      <c r="XM90" s="2"/>
      <c r="XN90" s="2">
        <v>175</v>
      </c>
      <c r="XO90" s="2"/>
      <c r="XP90" s="2"/>
      <c r="XQ90" s="2"/>
      <c r="XR90" s="2"/>
      <c r="XS90" s="2"/>
      <c r="XT90" s="2"/>
      <c r="XU90" s="2">
        <v>1</v>
      </c>
      <c r="XV90" s="2"/>
      <c r="XW90" s="2"/>
      <c r="XX90" s="2"/>
      <c r="XY90" s="2"/>
      <c r="XZ90" s="2"/>
      <c r="YA90" s="2"/>
      <c r="YB90" s="2"/>
      <c r="YC90" s="2">
        <v>2</v>
      </c>
      <c r="YD90" s="2"/>
      <c r="YE90" s="2"/>
      <c r="YF90" s="2"/>
      <c r="YG90" s="2"/>
      <c r="YH90" s="2"/>
      <c r="YI90" s="2"/>
      <c r="YJ90" s="2"/>
      <c r="YK90" s="2"/>
      <c r="YL90" s="2"/>
      <c r="YM90" s="2"/>
      <c r="YN90" s="2"/>
      <c r="YO90" s="2"/>
      <c r="YP90" s="2"/>
      <c r="YQ90" s="2"/>
      <c r="YR90" s="2"/>
      <c r="YS90" s="2"/>
      <c r="YT90" s="2"/>
      <c r="YU90" s="2"/>
      <c r="YV90" s="2"/>
      <c r="YW90" s="2"/>
      <c r="YX90" s="2"/>
      <c r="YY90" s="2">
        <v>175</v>
      </c>
      <c r="YZ90" s="2">
        <v>2</v>
      </c>
      <c r="ZA90" s="2"/>
      <c r="ZB90" s="2"/>
      <c r="ZC90" s="2"/>
      <c r="ZD90" s="2"/>
      <c r="ZE90" s="2"/>
      <c r="ZF90" s="2"/>
      <c r="ZG90" s="2"/>
      <c r="ZH90" s="2"/>
      <c r="ZI90" s="2"/>
      <c r="ZJ90" s="2"/>
      <c r="ZK90" s="2"/>
      <c r="ZL90" s="2"/>
      <c r="ZM90" s="2"/>
      <c r="ZN90" s="2"/>
      <c r="ZO90" s="2"/>
      <c r="ZP90" s="2"/>
      <c r="ZQ90" s="2"/>
      <c r="ZR90" s="2"/>
      <c r="ZS90" s="2"/>
      <c r="ZT90" s="2"/>
      <c r="ZU90" s="2"/>
      <c r="ZV90" s="2"/>
      <c r="ZW90" s="2"/>
      <c r="ZX90" s="2"/>
      <c r="ZY90" s="2"/>
      <c r="ZZ90" s="2"/>
      <c r="AAA90" s="2"/>
      <c r="AAB90" s="2"/>
      <c r="AAC90" s="2"/>
      <c r="AAD90" s="2"/>
      <c r="AAE90" s="2"/>
      <c r="AAF90" s="2">
        <v>1</v>
      </c>
      <c r="AAG90" s="2"/>
      <c r="AAH90" s="2"/>
      <c r="AAI90" s="2"/>
      <c r="AAJ90" s="2"/>
      <c r="AAK90" s="2"/>
      <c r="AAL90" s="2"/>
      <c r="AAM90" s="2"/>
      <c r="AAN90" s="2"/>
      <c r="AAO90" s="2"/>
      <c r="AAP90" s="2"/>
      <c r="AAQ90" s="2"/>
      <c r="AAR90" s="2"/>
      <c r="AAS90" s="2"/>
      <c r="AAT90" s="2"/>
      <c r="AAU90" s="2"/>
      <c r="AAV90" s="2"/>
      <c r="AAW90" s="2"/>
      <c r="AAX90" s="2"/>
      <c r="AAY90" s="2"/>
      <c r="AAZ90" s="2">
        <v>175</v>
      </c>
      <c r="ABA90" s="2"/>
      <c r="ABB90" s="2">
        <v>2</v>
      </c>
      <c r="ABC90" s="2"/>
      <c r="ABD90" s="2"/>
      <c r="ABE90" s="2"/>
      <c r="ABF90" s="2"/>
      <c r="ABG90" s="2"/>
      <c r="ABH90" s="2">
        <v>1</v>
      </c>
      <c r="ABI90" s="2"/>
      <c r="ABJ90" s="2">
        <v>175</v>
      </c>
      <c r="ABK90" s="2"/>
      <c r="ABL90" s="2"/>
      <c r="ABM90" s="2"/>
      <c r="ABN90" s="2"/>
      <c r="ABO90" s="2">
        <v>175</v>
      </c>
      <c r="ABP90" s="2"/>
      <c r="ABQ90" s="2"/>
      <c r="ABR90" s="2"/>
      <c r="ABS90" s="2"/>
      <c r="ABT90" s="2"/>
      <c r="ABU90" s="2"/>
      <c r="ABV90" s="2"/>
      <c r="ABW90" s="2">
        <v>1</v>
      </c>
      <c r="ABX90" s="2"/>
      <c r="ABY90" s="2"/>
      <c r="ABZ90" s="2"/>
      <c r="ACA90" s="2"/>
      <c r="ACB90" s="2"/>
      <c r="ACC90" s="2"/>
      <c r="ACD90" s="2"/>
      <c r="ACE90" s="2">
        <v>175</v>
      </c>
      <c r="ACF90" s="2"/>
      <c r="ACG90" s="2"/>
      <c r="ACH90" s="2"/>
      <c r="ACI90" s="2"/>
      <c r="ACJ90" s="2">
        <v>175</v>
      </c>
      <c r="ACK90" s="2"/>
      <c r="ACL90" s="2"/>
      <c r="ACM90" s="2"/>
      <c r="ACN90" s="2"/>
      <c r="ACO90" s="2"/>
      <c r="ACP90" s="2"/>
      <c r="ACQ90" s="2">
        <v>175</v>
      </c>
      <c r="ACR90" s="2"/>
      <c r="ACS90" s="2"/>
      <c r="ACT90" s="2"/>
      <c r="ACU90" s="2"/>
      <c r="ACV90" s="2"/>
      <c r="ACW90" s="2"/>
      <c r="ACX90" s="2"/>
      <c r="ACY90" s="2"/>
      <c r="ACZ90" s="2"/>
      <c r="ADA90" s="2"/>
      <c r="ADB90" s="2"/>
      <c r="ADC90" s="2">
        <v>175</v>
      </c>
      <c r="ADD90" s="2"/>
      <c r="ADE90" s="2"/>
      <c r="ADF90" s="2"/>
      <c r="ADG90" s="2"/>
      <c r="ADH90" s="2"/>
      <c r="ADI90" s="2"/>
      <c r="ADJ90" s="2"/>
      <c r="ADK90" s="2"/>
      <c r="ADL90" s="2"/>
      <c r="ADM90" s="2"/>
      <c r="ADN90" s="2"/>
      <c r="ADO90" s="2"/>
      <c r="ADP90" s="2"/>
      <c r="ADQ90" s="2">
        <v>175</v>
      </c>
      <c r="ADR90" s="2"/>
      <c r="ADS90" s="2"/>
      <c r="ADT90" s="2"/>
      <c r="ADU90" s="2"/>
      <c r="ADV90" s="2"/>
      <c r="ADW90" s="2"/>
      <c r="ADX90" s="2"/>
      <c r="ADY90" s="2"/>
      <c r="ADZ90" s="2"/>
      <c r="AEA90" s="2"/>
      <c r="AEB90" s="2"/>
      <c r="AEC90" s="2"/>
      <c r="AED90" s="2"/>
      <c r="AEE90" s="2"/>
      <c r="AEF90" s="2"/>
      <c r="AEG90" s="2"/>
      <c r="AEH90" s="2"/>
      <c r="AEI90" s="2"/>
      <c r="AEJ90" s="2"/>
      <c r="AEK90" s="2"/>
      <c r="AEL90" s="2"/>
      <c r="AEM90" s="2"/>
      <c r="AEN90" s="2"/>
      <c r="AEO90" s="2"/>
      <c r="AEP90" s="2"/>
      <c r="AEQ90" s="2"/>
      <c r="AER90" s="2"/>
      <c r="AES90" s="2">
        <v>175</v>
      </c>
      <c r="AET90" s="12">
        <v>1</v>
      </c>
      <c r="AEU90" s="2"/>
      <c r="AEV90" s="2"/>
      <c r="AEW90" s="2"/>
      <c r="AEX90" s="2"/>
      <c r="AEY90" s="2"/>
      <c r="AEZ90" s="2"/>
      <c r="AFA90" s="2"/>
      <c r="AFB90" s="2"/>
      <c r="AFC90" s="2"/>
      <c r="AFD90" s="2"/>
      <c r="AFE90" s="2">
        <v>175</v>
      </c>
      <c r="AFF90" s="2"/>
      <c r="AFG90" s="2"/>
      <c r="AFH90" s="2"/>
      <c r="AFI90" s="2"/>
      <c r="AFJ90" s="2"/>
      <c r="AFK90" s="2"/>
      <c r="AFL90" s="2">
        <f t="shared" si="1"/>
        <v>11207</v>
      </c>
    </row>
    <row r="91" spans="1:844" s="11" customFormat="1" x14ac:dyDescent="0.3">
      <c r="B91" s="91">
        <v>550045415</v>
      </c>
      <c r="C91" s="52" t="s">
        <v>169</v>
      </c>
      <c r="D91" s="35" t="s">
        <v>5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>
        <v>42</v>
      </c>
      <c r="S91" s="2">
        <f>42</f>
        <v>42</v>
      </c>
      <c r="T91" s="2">
        <f>42+42</f>
        <v>84</v>
      </c>
      <c r="U91" s="2">
        <v>126</v>
      </c>
      <c r="V91" s="2"/>
      <c r="W91" s="2">
        <v>42</v>
      </c>
      <c r="X91" s="2"/>
      <c r="Y91" s="2">
        <v>42</v>
      </c>
      <c r="Z91" s="2"/>
      <c r="AA91" s="2"/>
      <c r="AB91" s="2"/>
      <c r="AC91" s="2"/>
      <c r="AD91" s="2"/>
      <c r="AE91" s="2"/>
      <c r="AF91" s="2">
        <v>42</v>
      </c>
      <c r="AG91" s="2"/>
      <c r="AH91" s="2">
        <v>126</v>
      </c>
      <c r="AI91" s="2"/>
      <c r="AJ91" s="2">
        <v>42</v>
      </c>
      <c r="AK91" s="2"/>
      <c r="AL91" s="2"/>
      <c r="AM91" s="2"/>
      <c r="AN91" s="2"/>
      <c r="AO91" s="2"/>
      <c r="AP91" s="2"/>
      <c r="AQ91" s="2"/>
      <c r="AR91" s="2"/>
      <c r="AS91" s="2"/>
      <c r="AT91" s="2">
        <v>42</v>
      </c>
      <c r="AU91" s="2"/>
      <c r="AV91" s="2"/>
      <c r="AW91" s="2"/>
      <c r="AX91" s="2"/>
      <c r="AY91" s="2"/>
      <c r="AZ91" s="2">
        <v>42</v>
      </c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>
        <v>42</v>
      </c>
      <c r="BN91" s="2"/>
      <c r="BO91" s="2">
        <v>126</v>
      </c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>
        <v>168</v>
      </c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>
        <f>42+126+42</f>
        <v>210</v>
      </c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>
        <v>42</v>
      </c>
      <c r="DM91" s="2"/>
      <c r="DN91" s="2"/>
      <c r="DO91" s="2"/>
      <c r="DP91" s="2">
        <f>42+42</f>
        <v>84</v>
      </c>
      <c r="DQ91" s="2"/>
      <c r="DR91" s="2"/>
      <c r="DS91" s="2"/>
      <c r="DT91" s="2"/>
      <c r="DU91" s="2"/>
      <c r="DV91" s="2">
        <f>42+42</f>
        <v>84</v>
      </c>
      <c r="DW91" s="2">
        <v>84</v>
      </c>
      <c r="DX91" s="2"/>
      <c r="DY91" s="2"/>
      <c r="DZ91" s="2"/>
      <c r="EA91" s="2"/>
      <c r="EB91" s="2"/>
      <c r="EC91" s="2"/>
      <c r="ED91" s="2">
        <v>28</v>
      </c>
      <c r="EE91" s="2"/>
      <c r="EF91" s="2"/>
      <c r="EG91" s="2"/>
      <c r="EH91" s="2"/>
      <c r="EI91" s="2"/>
      <c r="EJ91" s="2"/>
      <c r="EK91" s="2"/>
      <c r="EL91" s="2"/>
      <c r="EM91" s="2"/>
      <c r="EN91" s="2">
        <f>1+126</f>
        <v>127</v>
      </c>
      <c r="EO91" s="2"/>
      <c r="EP91" s="2"/>
      <c r="EQ91" s="2">
        <v>42</v>
      </c>
      <c r="ER91" s="2"/>
      <c r="ES91" s="2">
        <v>42</v>
      </c>
      <c r="ET91" s="2"/>
      <c r="EU91" s="2"/>
      <c r="EV91" s="2"/>
      <c r="EW91" s="2">
        <v>42</v>
      </c>
      <c r="EX91" s="2">
        <v>1</v>
      </c>
      <c r="EY91" s="2"/>
      <c r="EZ91" s="2">
        <v>42</v>
      </c>
      <c r="FA91" s="2"/>
      <c r="FB91" s="2"/>
      <c r="FC91" s="2"/>
      <c r="FD91" s="2">
        <f>42+42</f>
        <v>84</v>
      </c>
      <c r="FE91" s="2"/>
      <c r="FF91" s="2"/>
      <c r="FG91" s="2"/>
      <c r="FH91" s="2"/>
      <c r="FI91" s="2"/>
      <c r="FJ91" s="2"/>
      <c r="FK91" s="2">
        <v>42</v>
      </c>
      <c r="FL91" s="2"/>
      <c r="FM91" s="2"/>
      <c r="FN91" s="2">
        <f>126+12</f>
        <v>138</v>
      </c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>
        <f>42+17</f>
        <v>59</v>
      </c>
      <c r="HN91" s="2">
        <v>42</v>
      </c>
      <c r="HO91" s="2"/>
      <c r="HP91" s="2"/>
      <c r="HQ91" s="2"/>
      <c r="HR91" s="2"/>
      <c r="HS91" s="2"/>
      <c r="HT91" s="2"/>
      <c r="HU91" s="2"/>
      <c r="HV91" s="2">
        <v>42</v>
      </c>
      <c r="HW91" s="2"/>
      <c r="HX91" s="2"/>
      <c r="HY91" s="2"/>
      <c r="HZ91" s="2"/>
      <c r="IA91" s="2"/>
      <c r="IB91" s="2"/>
      <c r="IC91" s="2"/>
      <c r="ID91" s="2">
        <f>42+42</f>
        <v>84</v>
      </c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>
        <v>42</v>
      </c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>
        <v>42</v>
      </c>
      <c r="LD91" s="2"/>
      <c r="LE91" s="2"/>
      <c r="LF91" s="2"/>
      <c r="LG91" s="2">
        <v>42</v>
      </c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>
        <v>42</v>
      </c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>
        <v>42</v>
      </c>
      <c r="MH91" s="2"/>
      <c r="MI91" s="2"/>
      <c r="MJ91" s="2"/>
      <c r="MK91" s="2"/>
      <c r="ML91" s="2"/>
      <c r="MM91" s="2">
        <v>42</v>
      </c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>
        <v>42</v>
      </c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>
        <v>42</v>
      </c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>
        <f>84</f>
        <v>84</v>
      </c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>
        <v>42</v>
      </c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>
        <f>84</f>
        <v>84</v>
      </c>
      <c r="QX91" s="2"/>
      <c r="QY91" s="2"/>
      <c r="QZ91" s="2"/>
      <c r="RA91" s="2"/>
      <c r="RB91" s="2">
        <f>42</f>
        <v>42</v>
      </c>
      <c r="RC91" s="2"/>
      <c r="RD91" s="2"/>
      <c r="RE91" s="2"/>
      <c r="RF91" s="2">
        <v>1</v>
      </c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2"/>
      <c r="SO91" s="2"/>
      <c r="SP91" s="2"/>
      <c r="SQ91" s="2"/>
      <c r="SR91" s="2"/>
      <c r="SS91" s="2"/>
      <c r="ST91" s="2"/>
      <c r="SU91" s="2"/>
      <c r="SV91" s="2"/>
      <c r="SW91" s="2">
        <f>42</f>
        <v>42</v>
      </c>
      <c r="SX91" s="2"/>
      <c r="SY91" s="2">
        <f>42</f>
        <v>42</v>
      </c>
      <c r="SZ91" s="2"/>
      <c r="TA91" s="2"/>
      <c r="TB91" s="2"/>
      <c r="TC91" s="2"/>
      <c r="TD91" s="2"/>
      <c r="TE91" s="2"/>
      <c r="TF91" s="2"/>
      <c r="TG91" s="2"/>
      <c r="TH91" s="2"/>
      <c r="TI91" s="2"/>
      <c r="TJ91" s="2"/>
      <c r="TK91" s="2"/>
      <c r="TL91" s="2"/>
      <c r="TM91" s="2"/>
      <c r="TN91" s="2">
        <v>42</v>
      </c>
      <c r="TO91" s="2"/>
      <c r="TP91" s="2"/>
      <c r="TQ91" s="2"/>
      <c r="TR91" s="2"/>
      <c r="TS91" s="2"/>
      <c r="TT91" s="2"/>
      <c r="TU91" s="2"/>
      <c r="TV91" s="2"/>
      <c r="TW91" s="2"/>
      <c r="TX91" s="2"/>
      <c r="TY91" s="2"/>
      <c r="TZ91" s="2"/>
      <c r="UA91" s="2"/>
      <c r="UB91" s="2"/>
      <c r="UC91" s="2"/>
      <c r="UD91" s="2"/>
      <c r="UE91" s="2"/>
      <c r="UF91" s="2"/>
      <c r="UG91" s="2"/>
      <c r="UH91" s="2"/>
      <c r="UI91" s="2"/>
      <c r="UJ91" s="2"/>
      <c r="UK91" s="2"/>
      <c r="UL91" s="2"/>
      <c r="UM91" s="2">
        <v>42</v>
      </c>
      <c r="UN91" s="2">
        <v>42</v>
      </c>
      <c r="UO91" s="2">
        <v>5</v>
      </c>
      <c r="UP91" s="2"/>
      <c r="UQ91" s="2"/>
      <c r="UR91" s="2"/>
      <c r="US91" s="2"/>
      <c r="UT91" s="2">
        <v>84</v>
      </c>
      <c r="UU91" s="2">
        <v>1</v>
      </c>
      <c r="UV91" s="2"/>
      <c r="UW91" s="2">
        <v>10</v>
      </c>
      <c r="UX91" s="2"/>
      <c r="UY91" s="2">
        <v>42</v>
      </c>
      <c r="UZ91" s="2"/>
      <c r="VA91" s="2"/>
      <c r="VB91" s="2"/>
      <c r="VC91" s="2"/>
      <c r="VD91" s="2">
        <v>42</v>
      </c>
      <c r="VE91" s="2">
        <v>10</v>
      </c>
      <c r="VF91" s="2"/>
      <c r="VG91" s="2">
        <v>42</v>
      </c>
      <c r="VH91" s="2"/>
      <c r="VI91" s="2"/>
      <c r="VJ91" s="2"/>
      <c r="VK91" s="2"/>
      <c r="VL91" s="2"/>
      <c r="VM91" s="2"/>
      <c r="VN91" s="2"/>
      <c r="VO91" s="2"/>
      <c r="VP91" s="2"/>
      <c r="VQ91" s="2"/>
      <c r="VR91" s="2">
        <v>42</v>
      </c>
      <c r="VS91" s="2"/>
      <c r="VT91" s="2"/>
      <c r="VU91" s="2"/>
      <c r="VV91" s="2"/>
      <c r="VW91" s="2"/>
      <c r="VX91" s="2"/>
      <c r="VY91" s="2"/>
      <c r="VZ91" s="2"/>
      <c r="WA91" s="2"/>
      <c r="WB91" s="2">
        <f>42+42</f>
        <v>84</v>
      </c>
      <c r="WC91" s="2"/>
      <c r="WD91" s="2">
        <v>42</v>
      </c>
      <c r="WE91" s="2"/>
      <c r="WF91" s="2">
        <v>5</v>
      </c>
      <c r="WG91" s="2"/>
      <c r="WH91" s="2"/>
      <c r="WI91" s="2"/>
      <c r="WJ91" s="2"/>
      <c r="WK91" s="2"/>
      <c r="WL91" s="2"/>
      <c r="WM91" s="2">
        <v>5</v>
      </c>
      <c r="WN91" s="2">
        <v>42</v>
      </c>
      <c r="WO91" s="2"/>
      <c r="WP91" s="2"/>
      <c r="WQ91" s="2">
        <v>3</v>
      </c>
      <c r="WR91" s="2"/>
      <c r="WS91" s="2"/>
      <c r="WT91" s="2"/>
      <c r="WU91" s="2"/>
      <c r="WV91" s="2"/>
      <c r="WW91" s="2"/>
      <c r="WX91" s="2"/>
      <c r="WY91" s="2"/>
      <c r="WZ91" s="2"/>
      <c r="XA91" s="2">
        <v>2</v>
      </c>
      <c r="XB91" s="2"/>
      <c r="XC91" s="2"/>
      <c r="XD91" s="2"/>
      <c r="XE91" s="2"/>
      <c r="XF91" s="2"/>
      <c r="XG91" s="2"/>
      <c r="XH91" s="2"/>
      <c r="XI91" s="2"/>
      <c r="XJ91" s="2"/>
      <c r="XK91" s="2"/>
      <c r="XL91" s="2"/>
      <c r="XM91" s="2"/>
      <c r="XN91" s="2"/>
      <c r="XO91" s="2"/>
      <c r="XP91" s="2"/>
      <c r="XQ91" s="2"/>
      <c r="XR91" s="2"/>
      <c r="XS91" s="2"/>
      <c r="XT91" s="2"/>
      <c r="XU91" s="2"/>
      <c r="XV91" s="2"/>
      <c r="XW91" s="2"/>
      <c r="XX91" s="2"/>
      <c r="XY91" s="2"/>
      <c r="XZ91" s="2"/>
      <c r="YA91" s="2"/>
      <c r="YB91" s="2"/>
      <c r="YC91" s="2"/>
      <c r="YD91" s="2"/>
      <c r="YE91" s="2"/>
      <c r="YF91" s="2"/>
      <c r="YG91" s="2"/>
      <c r="YH91" s="2"/>
      <c r="YI91" s="2"/>
      <c r="YJ91" s="2"/>
      <c r="YK91" s="2"/>
      <c r="YL91" s="2"/>
      <c r="YM91" s="2"/>
      <c r="YN91" s="2"/>
      <c r="YO91" s="2"/>
      <c r="YP91" s="2"/>
      <c r="YQ91" s="2"/>
      <c r="YR91" s="2"/>
      <c r="YS91" s="2"/>
      <c r="YT91" s="2"/>
      <c r="YU91" s="2"/>
      <c r="YV91" s="2"/>
      <c r="YW91" s="2"/>
      <c r="YX91" s="2"/>
      <c r="YY91" s="2"/>
      <c r="YZ91" s="2"/>
      <c r="ZA91" s="2"/>
      <c r="ZB91" s="2"/>
      <c r="ZC91" s="2"/>
      <c r="ZD91" s="2"/>
      <c r="ZE91" s="2"/>
      <c r="ZF91" s="2">
        <v>4</v>
      </c>
      <c r="ZG91" s="2"/>
      <c r="ZH91" s="2"/>
      <c r="ZI91" s="2"/>
      <c r="ZJ91" s="2"/>
      <c r="ZK91" s="2"/>
      <c r="ZL91" s="2"/>
      <c r="ZM91" s="2"/>
      <c r="ZN91" s="2"/>
      <c r="ZO91" s="2"/>
      <c r="ZP91" s="2"/>
      <c r="ZQ91" s="2"/>
      <c r="ZR91" s="2"/>
      <c r="ZS91" s="2"/>
      <c r="ZT91" s="2">
        <v>4</v>
      </c>
      <c r="ZU91" s="2"/>
      <c r="ZV91" s="2"/>
      <c r="ZW91" s="2"/>
      <c r="ZX91" s="2"/>
      <c r="ZY91" s="2"/>
      <c r="ZZ91" s="2">
        <v>16</v>
      </c>
      <c r="AAA91" s="2"/>
      <c r="AAB91" s="2"/>
      <c r="AAC91" s="2"/>
      <c r="AAD91" s="2"/>
      <c r="AAE91" s="2"/>
      <c r="AAF91" s="2"/>
      <c r="AAG91" s="2"/>
      <c r="AAH91" s="2"/>
      <c r="AAI91" s="2"/>
      <c r="AAJ91" s="2"/>
      <c r="AAK91" s="2"/>
      <c r="AAL91" s="2"/>
      <c r="AAM91" s="2"/>
      <c r="AAN91" s="2"/>
      <c r="AAO91" s="2"/>
      <c r="AAP91" s="2"/>
      <c r="AAQ91" s="2"/>
      <c r="AAR91" s="2"/>
      <c r="AAS91" s="2"/>
      <c r="AAT91" s="2"/>
      <c r="AAU91" s="2"/>
      <c r="AAV91" s="2"/>
      <c r="AAW91" s="2"/>
      <c r="AAX91" s="2"/>
      <c r="AAY91" s="2"/>
      <c r="AAZ91" s="2"/>
      <c r="ABA91" s="2"/>
      <c r="ABB91" s="2"/>
      <c r="ABC91" s="2">
        <v>42</v>
      </c>
      <c r="ABD91" s="2"/>
      <c r="ABE91" s="2">
        <v>42</v>
      </c>
      <c r="ABF91" s="2"/>
      <c r="ABG91" s="2"/>
      <c r="ABH91" s="2">
        <v>42</v>
      </c>
      <c r="ABI91" s="2"/>
      <c r="ABJ91" s="2"/>
      <c r="ABK91" s="2"/>
      <c r="ABL91" s="2"/>
      <c r="ABM91" s="2"/>
      <c r="ABN91" s="2"/>
      <c r="ABO91" s="2"/>
      <c r="ABP91" s="2"/>
      <c r="ABQ91" s="2"/>
      <c r="ABR91" s="2"/>
      <c r="ABS91" s="2"/>
      <c r="ABT91" s="2"/>
      <c r="ABU91" s="2"/>
      <c r="ABV91" s="2"/>
      <c r="ABW91" s="2"/>
      <c r="ABX91" s="2"/>
      <c r="ABY91" s="2"/>
      <c r="ABZ91" s="2"/>
      <c r="ACA91" s="2"/>
      <c r="ACB91" s="2"/>
      <c r="ACC91" s="2"/>
      <c r="ACD91" s="2"/>
      <c r="ACE91" s="2">
        <v>42</v>
      </c>
      <c r="ACF91" s="2">
        <v>42</v>
      </c>
      <c r="ACG91" s="2"/>
      <c r="ACH91" s="2"/>
      <c r="ACI91" s="2">
        <v>42</v>
      </c>
      <c r="ACJ91" s="2"/>
      <c r="ACK91" s="2">
        <f>42+42</f>
        <v>84</v>
      </c>
      <c r="ACL91" s="2"/>
      <c r="ACM91" s="2"/>
      <c r="ACN91" s="2"/>
      <c r="ACO91" s="2"/>
      <c r="ACP91" s="2"/>
      <c r="ACQ91" s="2"/>
      <c r="ACR91" s="2">
        <v>42</v>
      </c>
      <c r="ACS91" s="2"/>
      <c r="ACT91" s="2"/>
      <c r="ACU91" s="2"/>
      <c r="ACV91" s="2"/>
      <c r="ACW91" s="2"/>
      <c r="ACX91" s="2"/>
      <c r="ACY91" s="2"/>
      <c r="ACZ91" s="2"/>
      <c r="ADA91" s="2"/>
      <c r="ADB91" s="2"/>
      <c r="ADC91" s="2"/>
      <c r="ADD91" s="2"/>
      <c r="ADE91" s="2"/>
      <c r="ADF91" s="2"/>
      <c r="ADG91" s="2"/>
      <c r="ADH91" s="2"/>
      <c r="ADI91" s="2"/>
      <c r="ADJ91" s="2"/>
      <c r="ADK91" s="2"/>
      <c r="ADL91" s="2"/>
      <c r="ADM91" s="2"/>
      <c r="ADN91" s="2"/>
      <c r="ADO91" s="2"/>
      <c r="ADP91" s="2"/>
      <c r="ADQ91" s="2"/>
      <c r="ADR91" s="2"/>
      <c r="ADS91" s="2"/>
      <c r="ADT91" s="2"/>
      <c r="ADU91" s="2"/>
      <c r="ADV91" s="2"/>
      <c r="ADW91" s="2"/>
      <c r="ADX91" s="2"/>
      <c r="ADY91" s="2"/>
      <c r="ADZ91" s="2"/>
      <c r="AEA91" s="2"/>
      <c r="AEB91" s="2"/>
      <c r="AEC91" s="2"/>
      <c r="AED91" s="2"/>
      <c r="AEE91" s="2"/>
      <c r="AEF91" s="2"/>
      <c r="AEG91" s="2"/>
      <c r="AEH91" s="2"/>
      <c r="AEI91" s="2"/>
      <c r="AEJ91" s="2"/>
      <c r="AEK91" s="2"/>
      <c r="AEL91" s="2"/>
      <c r="AEM91" s="2"/>
      <c r="AEN91" s="2"/>
      <c r="AEO91" s="2"/>
      <c r="AEP91" s="2"/>
      <c r="AEQ91" s="2"/>
      <c r="AER91" s="2"/>
      <c r="AES91" s="2"/>
      <c r="AET91" s="2"/>
      <c r="AEU91" s="2"/>
      <c r="AEV91" s="2"/>
      <c r="AEW91" s="2"/>
      <c r="AEX91" s="2"/>
      <c r="AEY91" s="2"/>
      <c r="AEZ91" s="2"/>
      <c r="AFA91" s="2"/>
      <c r="AFB91" s="2"/>
      <c r="AFC91" s="2"/>
      <c r="AFD91" s="2"/>
      <c r="AFE91" s="2"/>
      <c r="AFF91" s="2"/>
      <c r="AFG91" s="2"/>
      <c r="AFH91" s="2"/>
      <c r="AFI91" s="2"/>
      <c r="AFJ91" s="2"/>
      <c r="AFK91" s="2"/>
      <c r="AFL91" s="2">
        <f t="shared" si="1"/>
        <v>3989</v>
      </c>
    </row>
    <row r="92" spans="1:844" s="11" customFormat="1" x14ac:dyDescent="0.3">
      <c r="B92" s="91">
        <v>6560200055</v>
      </c>
      <c r="C92" s="52" t="s">
        <v>171</v>
      </c>
      <c r="D92" s="35" t="s">
        <v>18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>
        <v>16</v>
      </c>
      <c r="NP92" s="2"/>
      <c r="NQ92" s="2"/>
      <c r="NR92" s="2"/>
      <c r="NS92" s="2"/>
      <c r="NT92" s="2"/>
      <c r="NU92" s="2"/>
      <c r="NV92" s="2"/>
      <c r="NW92" s="2">
        <v>8</v>
      </c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>
        <f>16+16</f>
        <v>32</v>
      </c>
      <c r="OI92" s="2"/>
      <c r="OJ92" s="2"/>
      <c r="OK92" s="2"/>
      <c r="OL92" s="2"/>
      <c r="OM92" s="2"/>
      <c r="ON92" s="2"/>
      <c r="OO92" s="2"/>
      <c r="OP92" s="2">
        <f>87+4+5</f>
        <v>96</v>
      </c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>
        <v>96</v>
      </c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>
        <f>48</f>
        <v>48</v>
      </c>
      <c r="RA92" s="2">
        <v>48</v>
      </c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2"/>
      <c r="SO92" s="2"/>
      <c r="SP92" s="2"/>
      <c r="SQ92" s="2"/>
      <c r="SR92" s="2"/>
      <c r="SS92" s="2"/>
      <c r="ST92" s="2"/>
      <c r="SU92" s="2"/>
      <c r="SV92" s="2"/>
      <c r="SW92" s="2"/>
      <c r="SX92" s="2"/>
      <c r="SY92" s="2"/>
      <c r="SZ92" s="2"/>
      <c r="TA92" s="2"/>
      <c r="TB92" s="2"/>
      <c r="TC92" s="2"/>
      <c r="TD92" s="2"/>
      <c r="TE92" s="2"/>
      <c r="TF92" s="2"/>
      <c r="TG92" s="2"/>
      <c r="TH92" s="2"/>
      <c r="TI92" s="2">
        <v>6</v>
      </c>
      <c r="TJ92" s="2"/>
      <c r="TK92" s="2"/>
      <c r="TL92" s="2"/>
      <c r="TM92" s="2"/>
      <c r="TN92" s="2"/>
      <c r="TO92" s="2"/>
      <c r="TP92" s="2"/>
      <c r="TQ92" s="2"/>
      <c r="TR92" s="2"/>
      <c r="TS92" s="2"/>
      <c r="TT92" s="2"/>
      <c r="TU92" s="2"/>
      <c r="TV92" s="2"/>
      <c r="TW92" s="2"/>
      <c r="TX92" s="2"/>
      <c r="TY92" s="2"/>
      <c r="TZ92" s="2"/>
      <c r="UA92" s="2"/>
      <c r="UB92" s="2"/>
      <c r="UC92" s="2"/>
      <c r="UD92" s="2"/>
      <c r="UE92" s="2"/>
      <c r="UF92" s="2"/>
      <c r="UG92" s="2"/>
      <c r="UH92" s="2"/>
      <c r="UI92" s="2"/>
      <c r="UJ92" s="2"/>
      <c r="UK92" s="2"/>
      <c r="UL92" s="2"/>
      <c r="UM92" s="2"/>
      <c r="UN92" s="2"/>
      <c r="UO92" s="2"/>
      <c r="UP92" s="2"/>
      <c r="UQ92" s="2"/>
      <c r="UR92" s="2"/>
      <c r="US92" s="2"/>
      <c r="UT92" s="2"/>
      <c r="UU92" s="2">
        <v>24</v>
      </c>
      <c r="UV92" s="2"/>
      <c r="UW92" s="2"/>
      <c r="UX92" s="2"/>
      <c r="UY92" s="2"/>
      <c r="UZ92" s="2"/>
      <c r="VA92" s="2"/>
      <c r="VB92" s="2"/>
      <c r="VC92" s="2"/>
      <c r="VD92" s="2"/>
      <c r="VE92" s="2"/>
      <c r="VF92" s="2"/>
      <c r="VG92" s="2"/>
      <c r="VH92" s="2"/>
      <c r="VI92" s="2"/>
      <c r="VJ92" s="2"/>
      <c r="VK92" s="2"/>
      <c r="VL92" s="2"/>
      <c r="VM92" s="2"/>
      <c r="VN92" s="2"/>
      <c r="VO92" s="2"/>
      <c r="VP92" s="2"/>
      <c r="VQ92" s="2">
        <v>18</v>
      </c>
      <c r="VR92" s="2"/>
      <c r="VS92" s="2"/>
      <c r="VT92" s="2"/>
      <c r="VU92" s="2"/>
      <c r="VV92" s="2"/>
      <c r="VW92" s="2"/>
      <c r="VX92" s="2"/>
      <c r="VY92" s="2"/>
      <c r="VZ92" s="2"/>
      <c r="WA92" s="2"/>
      <c r="WB92" s="2"/>
      <c r="WC92" s="2"/>
      <c r="WD92" s="2"/>
      <c r="WE92" s="2"/>
      <c r="WF92" s="2"/>
      <c r="WG92" s="2"/>
      <c r="WH92" s="2"/>
      <c r="WI92" s="2">
        <v>8</v>
      </c>
      <c r="WJ92" s="2"/>
      <c r="WK92" s="2"/>
      <c r="WL92" s="2"/>
      <c r="WM92" s="2"/>
      <c r="WN92" s="2"/>
      <c r="WO92" s="2"/>
      <c r="WP92" s="2"/>
      <c r="WQ92" s="2"/>
      <c r="WR92" s="2"/>
      <c r="WS92" s="2"/>
      <c r="WT92" s="2"/>
      <c r="WU92" s="2"/>
      <c r="WV92" s="2"/>
      <c r="WW92" s="2"/>
      <c r="WX92" s="2"/>
      <c r="WY92" s="2"/>
      <c r="WZ92" s="2"/>
      <c r="XA92" s="2"/>
      <c r="XB92" s="2"/>
      <c r="XC92" s="2"/>
      <c r="XD92" s="2"/>
      <c r="XE92" s="2"/>
      <c r="XF92" s="2"/>
      <c r="XG92" s="2"/>
      <c r="XH92" s="2"/>
      <c r="XI92" s="2"/>
      <c r="XJ92" s="2"/>
      <c r="XK92" s="2"/>
      <c r="XL92" s="2"/>
      <c r="XM92" s="2"/>
      <c r="XN92" s="2"/>
      <c r="XO92" s="2"/>
      <c r="XP92" s="2"/>
      <c r="XQ92" s="2"/>
      <c r="XR92" s="2"/>
      <c r="XS92" s="2"/>
      <c r="XT92" s="2"/>
      <c r="XU92" s="2"/>
      <c r="XV92" s="2"/>
      <c r="XW92" s="2"/>
      <c r="XX92" s="2"/>
      <c r="XY92" s="2"/>
      <c r="XZ92" s="2"/>
      <c r="YA92" s="2"/>
      <c r="YB92" s="2"/>
      <c r="YC92" s="2"/>
      <c r="YD92" s="2"/>
      <c r="YE92" s="2"/>
      <c r="YF92" s="2"/>
      <c r="YG92" s="2"/>
      <c r="YH92" s="2"/>
      <c r="YI92" s="2"/>
      <c r="YJ92" s="2"/>
      <c r="YK92" s="2"/>
      <c r="YL92" s="2"/>
      <c r="YM92" s="2"/>
      <c r="YN92" s="2"/>
      <c r="YO92" s="2"/>
      <c r="YP92" s="2"/>
      <c r="YQ92" s="2"/>
      <c r="YR92" s="2"/>
      <c r="YS92" s="2"/>
      <c r="YT92" s="2"/>
      <c r="YU92" s="2"/>
      <c r="YV92" s="2"/>
      <c r="YW92" s="2"/>
      <c r="YX92" s="2"/>
      <c r="YY92" s="2"/>
      <c r="YZ92" s="2"/>
      <c r="ZA92" s="2"/>
      <c r="ZB92" s="2"/>
      <c r="ZC92" s="2"/>
      <c r="ZD92" s="2"/>
      <c r="ZE92" s="2"/>
      <c r="ZF92" s="2"/>
      <c r="ZG92" s="2"/>
      <c r="ZH92" s="2"/>
      <c r="ZI92" s="2"/>
      <c r="ZJ92" s="2"/>
      <c r="ZK92" s="2"/>
      <c r="ZL92" s="2"/>
      <c r="ZM92" s="2"/>
      <c r="ZN92" s="2"/>
      <c r="ZO92" s="2"/>
      <c r="ZP92" s="2"/>
      <c r="ZQ92" s="2"/>
      <c r="ZR92" s="2"/>
      <c r="ZS92" s="2"/>
      <c r="ZT92" s="2"/>
      <c r="ZU92" s="2"/>
      <c r="ZV92" s="2"/>
      <c r="ZW92" s="2"/>
      <c r="ZX92" s="2"/>
      <c r="ZY92" s="2">
        <v>120</v>
      </c>
      <c r="ZZ92" s="2"/>
      <c r="AAA92" s="2"/>
      <c r="AAB92" s="2"/>
      <c r="AAC92" s="2"/>
      <c r="AAD92" s="2"/>
      <c r="AAE92" s="2"/>
      <c r="AAF92" s="2"/>
      <c r="AAG92" s="2"/>
      <c r="AAH92" s="2"/>
      <c r="AAI92" s="2"/>
      <c r="AAJ92" s="2"/>
      <c r="AAK92" s="2"/>
      <c r="AAL92" s="2"/>
      <c r="AAM92" s="2"/>
      <c r="AAN92" s="2"/>
      <c r="AAO92" s="2"/>
      <c r="AAP92" s="2"/>
      <c r="AAQ92" s="2"/>
      <c r="AAR92" s="2"/>
      <c r="AAS92" s="2"/>
      <c r="AAT92" s="2"/>
      <c r="AAU92" s="2"/>
      <c r="AAV92" s="2"/>
      <c r="AAW92" s="2"/>
      <c r="AAX92" s="2"/>
      <c r="AAY92" s="2"/>
      <c r="AAZ92" s="2"/>
      <c r="ABA92" s="2"/>
      <c r="ABB92" s="2"/>
      <c r="ABC92" s="2"/>
      <c r="ABD92" s="2"/>
      <c r="ABE92" s="2"/>
      <c r="ABF92" s="2"/>
      <c r="ABG92" s="2"/>
      <c r="ABH92" s="2"/>
      <c r="ABI92" s="2"/>
      <c r="ABJ92" s="2"/>
      <c r="ABK92" s="2"/>
      <c r="ABL92" s="2"/>
      <c r="ABM92" s="2"/>
      <c r="ABN92" s="2"/>
      <c r="ABO92" s="2"/>
      <c r="ABP92" s="2"/>
      <c r="ABQ92" s="2"/>
      <c r="ABR92" s="2"/>
      <c r="ABS92" s="2"/>
      <c r="ABT92" s="2"/>
      <c r="ABU92" s="2"/>
      <c r="ABV92" s="2"/>
      <c r="ABW92" s="2"/>
      <c r="ABX92" s="2"/>
      <c r="ABY92" s="2"/>
      <c r="ABZ92" s="2"/>
      <c r="ACA92" s="2"/>
      <c r="ACB92" s="2"/>
      <c r="ACC92" s="2"/>
      <c r="ACD92" s="2"/>
      <c r="ACE92" s="2"/>
      <c r="ACF92" s="2"/>
      <c r="ACG92" s="2"/>
      <c r="ACH92" s="2"/>
      <c r="ACI92" s="2"/>
      <c r="ACJ92" s="2"/>
      <c r="ACK92" s="2"/>
      <c r="ACL92" s="2"/>
      <c r="ACM92" s="2"/>
      <c r="ACN92" s="2"/>
      <c r="ACO92" s="2"/>
      <c r="ACP92" s="2"/>
      <c r="ACQ92" s="2"/>
      <c r="ACR92" s="2"/>
      <c r="ACS92" s="2"/>
      <c r="ACT92" s="2"/>
      <c r="ACU92" s="2"/>
      <c r="ACV92" s="2"/>
      <c r="ACW92" s="2"/>
      <c r="ACX92" s="2"/>
      <c r="ACY92" s="2"/>
      <c r="ACZ92" s="2"/>
      <c r="ADA92" s="2"/>
      <c r="ADB92" s="2"/>
      <c r="ADC92" s="2"/>
      <c r="ADD92" s="2"/>
      <c r="ADE92" s="2"/>
      <c r="ADF92" s="2"/>
      <c r="ADG92" s="2"/>
      <c r="ADH92" s="2"/>
      <c r="ADI92" s="2"/>
      <c r="ADJ92" s="2"/>
      <c r="ADK92" s="2"/>
      <c r="ADL92" s="2"/>
      <c r="ADM92" s="2"/>
      <c r="ADN92" s="2"/>
      <c r="ADO92" s="2"/>
      <c r="ADP92" s="2"/>
      <c r="ADQ92" s="2"/>
      <c r="ADR92" s="2"/>
      <c r="ADS92" s="2"/>
      <c r="ADT92" s="2"/>
      <c r="ADU92" s="2"/>
      <c r="ADV92" s="2"/>
      <c r="ADW92" s="2"/>
      <c r="ADX92" s="2"/>
      <c r="ADY92" s="2"/>
      <c r="ADZ92" s="2"/>
      <c r="AEA92" s="2"/>
      <c r="AEB92" s="2"/>
      <c r="AEC92" s="2"/>
      <c r="AED92" s="2"/>
      <c r="AEE92" s="2"/>
      <c r="AEF92" s="2"/>
      <c r="AEG92" s="2"/>
      <c r="AEH92" s="2"/>
      <c r="AEI92" s="2"/>
      <c r="AEJ92" s="2"/>
      <c r="AEK92" s="2"/>
      <c r="AEL92" s="2">
        <v>58</v>
      </c>
      <c r="AEM92" s="2"/>
      <c r="AEN92" s="2"/>
      <c r="AEO92" s="2"/>
      <c r="AEP92" s="2"/>
      <c r="AEQ92" s="2"/>
      <c r="AER92" s="2"/>
      <c r="AES92" s="2"/>
      <c r="AET92" s="2"/>
      <c r="AEU92" s="2"/>
      <c r="AEV92" s="2"/>
      <c r="AEW92" s="2"/>
      <c r="AEX92" s="2"/>
      <c r="AEY92" s="2"/>
      <c r="AEZ92" s="2"/>
      <c r="AFA92" s="2"/>
      <c r="AFB92" s="2"/>
      <c r="AFC92" s="2"/>
      <c r="AFD92" s="2"/>
      <c r="AFE92" s="2"/>
      <c r="AFF92" s="2"/>
      <c r="AFG92" s="2"/>
      <c r="AFH92" s="2"/>
      <c r="AFI92" s="2"/>
      <c r="AFJ92" s="2"/>
      <c r="AFK92" s="2"/>
      <c r="AFL92" s="2">
        <f t="shared" si="1"/>
        <v>578</v>
      </c>
    </row>
    <row r="93" spans="1:844" s="11" customFormat="1" x14ac:dyDescent="0.3">
      <c r="B93" s="35"/>
      <c r="C93" s="20" t="s">
        <v>985</v>
      </c>
      <c r="D93" s="71" t="s">
        <v>905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2"/>
      <c r="SO93" s="2"/>
      <c r="SP93" s="2"/>
      <c r="SQ93" s="2"/>
      <c r="SR93" s="2"/>
      <c r="SS93" s="2"/>
      <c r="ST93" s="2"/>
      <c r="SU93" s="2"/>
      <c r="SV93" s="2"/>
      <c r="SW93" s="2"/>
      <c r="SX93" s="2"/>
      <c r="SY93" s="2"/>
      <c r="SZ93" s="2"/>
      <c r="TA93" s="2"/>
      <c r="TB93" s="2"/>
      <c r="TC93" s="2"/>
      <c r="TD93" s="2"/>
      <c r="TE93" s="2"/>
      <c r="TF93" s="2"/>
      <c r="TG93" s="2"/>
      <c r="TH93" s="2"/>
      <c r="TI93" s="2"/>
      <c r="TJ93" s="2"/>
      <c r="TK93" s="2"/>
      <c r="TL93" s="2"/>
      <c r="TM93" s="2"/>
      <c r="TN93" s="2"/>
      <c r="TO93" s="2"/>
      <c r="TP93" s="2"/>
      <c r="TQ93" s="2"/>
      <c r="TR93" s="2"/>
      <c r="TS93" s="2"/>
      <c r="TT93" s="2"/>
      <c r="TU93" s="2"/>
      <c r="TV93" s="2"/>
      <c r="TW93" s="2"/>
      <c r="TX93" s="2"/>
      <c r="TY93" s="2"/>
      <c r="TZ93" s="2"/>
      <c r="UA93" s="2"/>
      <c r="UB93" s="2"/>
      <c r="UC93" s="2"/>
      <c r="UD93" s="2"/>
      <c r="UE93" s="2"/>
      <c r="UF93" s="2"/>
      <c r="UG93" s="2"/>
      <c r="UH93" s="2"/>
      <c r="UI93" s="2"/>
      <c r="UJ93" s="2"/>
      <c r="UK93" s="2"/>
      <c r="UL93" s="2"/>
      <c r="UM93" s="2"/>
      <c r="UN93" s="2"/>
      <c r="UO93" s="2"/>
      <c r="UP93" s="2"/>
      <c r="UQ93" s="2"/>
      <c r="UR93" s="2"/>
      <c r="US93" s="2"/>
      <c r="UT93" s="2"/>
      <c r="UU93" s="2"/>
      <c r="UV93" s="2"/>
      <c r="UW93" s="2"/>
      <c r="UX93" s="2"/>
      <c r="UY93" s="2"/>
      <c r="UZ93" s="2"/>
      <c r="VA93" s="2"/>
      <c r="VB93" s="2"/>
      <c r="VC93" s="2"/>
      <c r="VD93" s="2"/>
      <c r="VE93" s="2"/>
      <c r="VF93" s="2"/>
      <c r="VG93" s="2"/>
      <c r="VH93" s="2"/>
      <c r="VI93" s="2"/>
      <c r="VJ93" s="2"/>
      <c r="VK93" s="2"/>
      <c r="VL93" s="2"/>
      <c r="VM93" s="2"/>
      <c r="VN93" s="2"/>
      <c r="VO93" s="2"/>
      <c r="VP93" s="2"/>
      <c r="VQ93" s="2"/>
      <c r="VR93" s="2"/>
      <c r="VS93" s="2"/>
      <c r="VT93" s="2"/>
      <c r="VU93" s="2"/>
      <c r="VV93" s="2"/>
      <c r="VW93" s="2"/>
      <c r="VX93" s="2"/>
      <c r="VY93" s="2"/>
      <c r="VZ93" s="2"/>
      <c r="WA93" s="2"/>
      <c r="WB93" s="2"/>
      <c r="WC93" s="2"/>
      <c r="WD93" s="2"/>
      <c r="WE93" s="2"/>
      <c r="WF93" s="2"/>
      <c r="WG93" s="2"/>
      <c r="WH93" s="2"/>
      <c r="WI93" s="2"/>
      <c r="WJ93" s="2"/>
      <c r="WK93" s="2"/>
      <c r="WL93" s="2"/>
      <c r="WM93" s="2"/>
      <c r="WN93" s="2"/>
      <c r="WO93" s="2"/>
      <c r="WP93" s="2"/>
      <c r="WQ93" s="2"/>
      <c r="WR93" s="2"/>
      <c r="WS93" s="2"/>
      <c r="WT93" s="2"/>
      <c r="WU93" s="2"/>
      <c r="WV93" s="2"/>
      <c r="WW93" s="2"/>
      <c r="WX93" s="2"/>
      <c r="WY93" s="2"/>
      <c r="WZ93" s="2"/>
      <c r="XA93" s="2"/>
      <c r="XB93" s="2"/>
      <c r="XC93" s="2"/>
      <c r="XD93" s="2"/>
      <c r="XE93" s="2"/>
      <c r="XF93" s="2"/>
      <c r="XG93" s="2"/>
      <c r="XH93" s="2"/>
      <c r="XI93" s="2"/>
      <c r="XJ93" s="2"/>
      <c r="XK93" s="2"/>
      <c r="XL93" s="2"/>
      <c r="XM93" s="2"/>
      <c r="XN93" s="2"/>
      <c r="XO93" s="2"/>
      <c r="XP93" s="2"/>
      <c r="XQ93" s="2"/>
      <c r="XR93" s="2"/>
      <c r="XS93" s="2"/>
      <c r="XT93" s="2"/>
      <c r="XU93" s="2"/>
      <c r="XV93" s="2"/>
      <c r="XW93" s="2"/>
      <c r="XX93" s="2"/>
      <c r="XY93" s="2"/>
      <c r="XZ93" s="2"/>
      <c r="YA93" s="2"/>
      <c r="YB93" s="2"/>
      <c r="YC93" s="2"/>
      <c r="YD93" s="2"/>
      <c r="YE93" s="2"/>
      <c r="YF93" s="2"/>
      <c r="YG93" s="2"/>
      <c r="YH93" s="2"/>
      <c r="YI93" s="2"/>
      <c r="YJ93" s="2"/>
      <c r="YK93" s="2"/>
      <c r="YL93" s="2"/>
      <c r="YM93" s="2"/>
      <c r="YN93" s="2"/>
      <c r="YO93" s="2"/>
      <c r="YP93" s="2"/>
      <c r="YQ93" s="2"/>
      <c r="YR93" s="2"/>
      <c r="YS93" s="2"/>
      <c r="YT93" s="2"/>
      <c r="YU93" s="2"/>
      <c r="YV93" s="2"/>
      <c r="YW93" s="2"/>
      <c r="YX93" s="2"/>
      <c r="YY93" s="2"/>
      <c r="YZ93" s="2"/>
      <c r="ZA93" s="2"/>
      <c r="ZB93" s="2"/>
      <c r="ZC93" s="2"/>
      <c r="ZD93" s="2"/>
      <c r="ZE93" s="2"/>
      <c r="ZF93" s="2"/>
      <c r="ZG93" s="2"/>
      <c r="ZH93" s="2"/>
      <c r="ZI93" s="2"/>
      <c r="ZJ93" s="2"/>
      <c r="ZK93" s="2"/>
      <c r="ZL93" s="2"/>
      <c r="ZM93" s="2"/>
      <c r="ZN93" s="2"/>
      <c r="ZO93" s="2"/>
      <c r="ZP93" s="2"/>
      <c r="ZQ93" s="2"/>
      <c r="ZR93" s="2"/>
      <c r="ZS93" s="2"/>
      <c r="ZT93" s="2"/>
      <c r="ZU93" s="2"/>
      <c r="ZV93" s="2"/>
      <c r="ZW93" s="2"/>
      <c r="ZX93" s="2"/>
      <c r="ZY93" s="2"/>
      <c r="ZZ93" s="2"/>
      <c r="AAA93" s="2"/>
      <c r="AAB93" s="2"/>
      <c r="AAC93" s="2"/>
      <c r="AAD93" s="2"/>
      <c r="AAE93" s="2"/>
      <c r="AAF93" s="2"/>
      <c r="AAG93" s="2"/>
      <c r="AAH93" s="2"/>
      <c r="AAI93" s="2"/>
      <c r="AAJ93" s="2"/>
      <c r="AAK93" s="2"/>
      <c r="AAL93" s="2"/>
      <c r="AAM93" s="2"/>
      <c r="AAN93" s="2"/>
      <c r="AAO93" s="2"/>
      <c r="AAP93" s="2"/>
      <c r="AAQ93" s="2"/>
      <c r="AAR93" s="2"/>
      <c r="AAS93" s="2"/>
      <c r="AAT93" s="2"/>
      <c r="AAU93" s="2"/>
      <c r="AAV93" s="2"/>
      <c r="AAW93" s="2"/>
      <c r="AAX93" s="2"/>
      <c r="AAY93" s="2"/>
      <c r="AAZ93" s="2"/>
      <c r="ABA93" s="2"/>
      <c r="ABB93" s="2"/>
      <c r="ABC93" s="2"/>
      <c r="ABD93" s="2"/>
      <c r="ABE93" s="2"/>
      <c r="ABF93" s="2"/>
      <c r="ABG93" s="2"/>
      <c r="ABH93" s="2"/>
      <c r="ABI93" s="2"/>
      <c r="ABJ93" s="2"/>
      <c r="ABK93" s="2"/>
      <c r="ABL93" s="2"/>
      <c r="ABM93" s="2"/>
      <c r="ABN93" s="2"/>
      <c r="ABO93" s="2"/>
      <c r="ABP93" s="2"/>
      <c r="ABQ93" s="2"/>
      <c r="ABR93" s="2"/>
      <c r="ABS93" s="2"/>
      <c r="ABT93" s="2"/>
      <c r="ABU93" s="2"/>
      <c r="ABV93" s="2"/>
      <c r="ABW93" s="2"/>
      <c r="ABX93" s="2"/>
      <c r="ABY93" s="2"/>
      <c r="ABZ93" s="2"/>
      <c r="ACA93" s="2"/>
      <c r="ACB93" s="2"/>
      <c r="ACC93" s="2"/>
      <c r="ACD93" s="2"/>
      <c r="ACE93" s="2"/>
      <c r="ACF93" s="2"/>
      <c r="ACG93" s="2"/>
      <c r="ACH93" s="2"/>
      <c r="ACI93" s="2"/>
      <c r="ACJ93" s="2"/>
      <c r="ACK93" s="2"/>
      <c r="ACL93" s="2"/>
      <c r="ACM93" s="2"/>
      <c r="ACN93" s="2"/>
      <c r="ACO93" s="2"/>
      <c r="ACP93" s="2"/>
      <c r="ACQ93" s="2"/>
      <c r="ACR93" s="2"/>
      <c r="ACS93" s="2"/>
      <c r="ACT93" s="2"/>
      <c r="ACU93" s="2"/>
      <c r="ACV93" s="2"/>
      <c r="ACW93" s="2"/>
      <c r="ACX93" s="2"/>
      <c r="ACY93" s="2"/>
      <c r="ACZ93" s="2"/>
      <c r="ADA93" s="2"/>
      <c r="ADB93" s="2"/>
      <c r="ADC93" s="2"/>
      <c r="ADD93" s="2"/>
      <c r="ADE93" s="2"/>
      <c r="ADF93" s="2"/>
      <c r="ADG93" s="2"/>
      <c r="ADH93" s="2"/>
      <c r="ADI93" s="2"/>
      <c r="ADJ93" s="2"/>
      <c r="ADK93" s="2"/>
      <c r="ADL93" s="2"/>
      <c r="ADM93" s="2"/>
      <c r="ADN93" s="2"/>
      <c r="ADO93" s="2"/>
      <c r="ADP93" s="2"/>
      <c r="ADQ93" s="2"/>
      <c r="ADR93" s="2"/>
      <c r="ADS93" s="2"/>
      <c r="ADT93" s="2"/>
      <c r="ADU93" s="2"/>
      <c r="ADV93" s="2"/>
      <c r="ADW93" s="2"/>
      <c r="ADX93" s="2"/>
      <c r="ADY93" s="2"/>
      <c r="ADZ93" s="2"/>
      <c r="AEA93" s="2"/>
      <c r="AEB93" s="2"/>
      <c r="AEC93" s="2"/>
      <c r="AED93" s="2"/>
      <c r="AEE93" s="2"/>
      <c r="AEF93" s="2"/>
      <c r="AEG93" s="2"/>
      <c r="AEH93" s="2"/>
      <c r="AEI93" s="2"/>
      <c r="AEJ93" s="2"/>
      <c r="AEK93" s="2"/>
      <c r="AEL93" s="2"/>
      <c r="AEM93" s="2"/>
      <c r="AEN93" s="2"/>
      <c r="AEO93" s="2"/>
      <c r="AEP93" s="2"/>
      <c r="AEQ93" s="2"/>
      <c r="AER93" s="2"/>
      <c r="AES93" s="2"/>
      <c r="AET93" s="2"/>
      <c r="AEU93" s="2"/>
      <c r="AEV93" s="2"/>
      <c r="AEW93" s="2"/>
      <c r="AEX93" s="2"/>
      <c r="AEY93" s="2"/>
      <c r="AEZ93" s="2"/>
      <c r="AFA93" s="2"/>
      <c r="AFB93" s="2"/>
      <c r="AFC93" s="2"/>
      <c r="AFD93" s="2"/>
      <c r="AFE93" s="2"/>
      <c r="AFF93" s="2"/>
      <c r="AFG93" s="2"/>
      <c r="AFH93" s="2"/>
      <c r="AFI93" s="2"/>
      <c r="AFJ93" s="2"/>
      <c r="AFK93" s="2"/>
      <c r="AFL93" s="2">
        <f t="shared" si="1"/>
        <v>0</v>
      </c>
    </row>
    <row r="94" spans="1:844" x14ac:dyDescent="0.3">
      <c r="B94" s="10">
        <v>6560300055</v>
      </c>
      <c r="C94" s="13" t="s">
        <v>904</v>
      </c>
      <c r="D94" s="72" t="s">
        <v>18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2"/>
      <c r="SO94" s="2"/>
      <c r="SP94" s="2"/>
      <c r="SQ94" s="2"/>
      <c r="SR94" s="2"/>
      <c r="SS94" s="2"/>
      <c r="ST94" s="2"/>
      <c r="SU94" s="2"/>
      <c r="SV94" s="2"/>
      <c r="SW94" s="2"/>
      <c r="SX94" s="2"/>
      <c r="SY94" s="2"/>
      <c r="SZ94" s="2"/>
      <c r="TA94" s="2"/>
      <c r="TB94" s="2"/>
      <c r="TC94" s="2"/>
      <c r="TD94" s="2"/>
      <c r="TE94" s="2"/>
      <c r="TF94" s="2"/>
      <c r="TG94" s="2"/>
      <c r="TH94" s="2"/>
      <c r="TI94" s="2"/>
      <c r="TJ94" s="2"/>
      <c r="TK94" s="2"/>
      <c r="TL94" s="2"/>
      <c r="TM94" s="2"/>
      <c r="TN94" s="2"/>
      <c r="TO94" s="2"/>
      <c r="TP94" s="2"/>
      <c r="TQ94" s="2"/>
      <c r="TR94" s="2"/>
      <c r="TS94" s="2"/>
      <c r="TT94" s="2"/>
      <c r="TU94" s="2"/>
      <c r="TV94" s="2"/>
      <c r="TW94" s="2"/>
      <c r="TX94" s="2"/>
      <c r="TY94" s="2"/>
      <c r="TZ94" s="2"/>
      <c r="UA94" s="2"/>
      <c r="UB94" s="2"/>
      <c r="UC94" s="2"/>
      <c r="UD94" s="2"/>
      <c r="UE94" s="2"/>
      <c r="UF94" s="2"/>
      <c r="UG94" s="2"/>
      <c r="UH94" s="2"/>
      <c r="UI94" s="2"/>
      <c r="UJ94" s="2"/>
      <c r="UK94" s="2"/>
      <c r="UL94" s="2"/>
      <c r="UM94" s="2"/>
      <c r="UN94" s="2"/>
      <c r="UO94" s="2"/>
      <c r="UP94" s="2"/>
      <c r="UQ94" s="2"/>
      <c r="UR94" s="2"/>
      <c r="US94" s="2"/>
      <c r="UT94" s="2"/>
      <c r="UU94" s="2"/>
      <c r="UV94" s="2"/>
      <c r="UW94" s="2"/>
      <c r="UX94" s="2"/>
      <c r="UY94" s="2"/>
      <c r="UZ94" s="2"/>
      <c r="VA94" s="2"/>
      <c r="VB94" s="2"/>
      <c r="VC94" s="2"/>
      <c r="VD94" s="2"/>
      <c r="VE94" s="2"/>
      <c r="VF94" s="2"/>
      <c r="VG94" s="2"/>
      <c r="VH94" s="2"/>
      <c r="VI94" s="2"/>
      <c r="VJ94" s="2"/>
      <c r="VK94" s="2"/>
      <c r="VL94" s="2"/>
      <c r="VM94" s="2"/>
      <c r="VN94" s="2"/>
      <c r="VO94" s="2"/>
      <c r="VP94" s="2"/>
      <c r="VQ94" s="2"/>
      <c r="VR94" s="2"/>
      <c r="VS94" s="2"/>
      <c r="VT94" s="2"/>
      <c r="VU94" s="2"/>
      <c r="VV94" s="2"/>
      <c r="VW94" s="2"/>
      <c r="VX94" s="2"/>
      <c r="VY94" s="2"/>
      <c r="VZ94" s="2"/>
      <c r="WA94" s="2"/>
      <c r="WB94" s="2"/>
      <c r="WC94" s="2"/>
      <c r="WD94" s="2"/>
      <c r="WE94" s="2"/>
      <c r="WF94" s="2"/>
      <c r="WG94" s="2">
        <v>20</v>
      </c>
      <c r="WH94" s="2"/>
      <c r="WI94" s="2"/>
      <c r="WJ94" s="2"/>
      <c r="WK94" s="2"/>
      <c r="WL94" s="2"/>
      <c r="WM94" s="2"/>
      <c r="WN94" s="2"/>
      <c r="WO94" s="2"/>
      <c r="WP94" s="2"/>
      <c r="WQ94" s="2"/>
      <c r="WR94" s="2"/>
      <c r="WS94" s="2"/>
      <c r="WT94" s="2"/>
      <c r="WU94" s="2"/>
      <c r="WV94" s="2"/>
      <c r="WW94" s="2"/>
      <c r="WX94" s="2"/>
      <c r="WY94" s="2"/>
      <c r="WZ94" s="2"/>
      <c r="XA94" s="2"/>
      <c r="XB94" s="2"/>
      <c r="XC94" s="2"/>
      <c r="XD94" s="2"/>
      <c r="XE94" s="2"/>
      <c r="XF94" s="2"/>
      <c r="XG94" s="2"/>
      <c r="XH94" s="2"/>
      <c r="XI94" s="2"/>
      <c r="XJ94" s="2"/>
      <c r="XK94" s="2"/>
      <c r="XL94" s="2"/>
      <c r="XM94" s="2"/>
      <c r="XN94" s="2"/>
      <c r="XO94" s="2"/>
      <c r="XP94" s="2"/>
      <c r="XQ94" s="2"/>
      <c r="XR94" s="2"/>
      <c r="XS94" s="2"/>
      <c r="XT94" s="2"/>
      <c r="XU94" s="2"/>
      <c r="XV94" s="2"/>
      <c r="XW94" s="2"/>
      <c r="XX94" s="2"/>
      <c r="XY94" s="2"/>
      <c r="XZ94" s="2"/>
      <c r="YA94" s="2"/>
      <c r="YB94" s="2"/>
      <c r="YC94" s="2"/>
      <c r="YD94" s="2"/>
      <c r="YE94" s="2"/>
      <c r="YF94" s="2"/>
      <c r="YG94" s="2"/>
      <c r="YH94" s="2"/>
      <c r="YI94" s="2"/>
      <c r="YJ94" s="2"/>
      <c r="YK94" s="2"/>
      <c r="YL94" s="2"/>
      <c r="YM94" s="2"/>
      <c r="YN94" s="2"/>
      <c r="YO94" s="2"/>
      <c r="YP94" s="2"/>
      <c r="YQ94" s="2"/>
      <c r="YR94" s="2"/>
      <c r="YS94" s="2"/>
      <c r="YT94" s="2"/>
      <c r="YU94" s="2"/>
      <c r="YV94" s="2"/>
      <c r="YW94" s="2"/>
      <c r="YX94" s="2"/>
      <c r="YY94" s="2"/>
      <c r="YZ94" s="2"/>
      <c r="ZA94" s="2"/>
      <c r="ZB94" s="2"/>
      <c r="ZC94" s="2"/>
      <c r="ZD94" s="2"/>
      <c r="ZE94" s="2"/>
      <c r="ZF94" s="2"/>
      <c r="ZG94" s="2"/>
      <c r="ZH94" s="2"/>
      <c r="ZI94" s="2"/>
      <c r="ZJ94" s="2"/>
      <c r="ZK94" s="2"/>
      <c r="ZL94" s="2"/>
      <c r="ZM94" s="2"/>
      <c r="ZN94" s="2"/>
      <c r="ZO94" s="2"/>
      <c r="ZP94" s="2"/>
      <c r="ZQ94" s="2"/>
      <c r="ZR94" s="2"/>
      <c r="ZS94" s="2"/>
      <c r="ZT94" s="2"/>
      <c r="ZU94" s="2"/>
      <c r="ZV94" s="2"/>
      <c r="ZW94" s="2"/>
      <c r="ZX94" s="2"/>
      <c r="ZY94" s="2"/>
      <c r="ZZ94" s="2"/>
      <c r="AAA94" s="2"/>
      <c r="AAB94" s="2"/>
      <c r="AAC94" s="2"/>
      <c r="AAD94" s="2"/>
      <c r="AAE94" s="2"/>
      <c r="AAF94" s="2"/>
      <c r="AAG94" s="2"/>
      <c r="AAH94" s="2"/>
      <c r="AAI94" s="2"/>
      <c r="AAJ94" s="2"/>
      <c r="AAK94" s="2"/>
      <c r="AAL94" s="2"/>
      <c r="AAM94" s="2"/>
      <c r="AAN94" s="2"/>
      <c r="AAO94" s="2"/>
      <c r="AAP94" s="2"/>
      <c r="AAQ94" s="2"/>
      <c r="AAR94" s="2"/>
      <c r="AAS94" s="2"/>
      <c r="AAT94" s="2"/>
      <c r="AAU94" s="2"/>
      <c r="AAV94" s="2"/>
      <c r="AAW94" s="2"/>
      <c r="AAX94" s="2"/>
      <c r="AAY94" s="2"/>
      <c r="AAZ94" s="2"/>
      <c r="ABA94" s="2"/>
      <c r="ABB94" s="2"/>
      <c r="ABC94" s="2"/>
      <c r="ABD94" s="2"/>
      <c r="ABE94" s="2"/>
      <c r="ABF94" s="2"/>
      <c r="ABG94" s="2"/>
      <c r="ABH94" s="2"/>
      <c r="ABI94" s="2"/>
      <c r="ABJ94" s="2"/>
      <c r="ABK94" s="2"/>
      <c r="ABL94" s="2"/>
      <c r="ABM94" s="2"/>
      <c r="ABN94" s="2"/>
      <c r="ABO94" s="2"/>
      <c r="ABP94" s="2"/>
      <c r="ABQ94" s="2"/>
      <c r="ABR94" s="2"/>
      <c r="ABS94" s="2"/>
      <c r="ABT94" s="2"/>
      <c r="ABU94" s="2"/>
      <c r="ABV94" s="2"/>
      <c r="ABW94" s="2"/>
      <c r="ABX94" s="2"/>
      <c r="ABY94" s="2"/>
      <c r="ABZ94" s="2"/>
      <c r="ACA94" s="2"/>
      <c r="ACB94" s="2"/>
      <c r="ACC94" s="2"/>
      <c r="ACD94" s="2"/>
      <c r="ACE94" s="2"/>
      <c r="ACF94" s="2"/>
      <c r="ACG94" s="2"/>
      <c r="ACH94" s="2"/>
      <c r="ACI94" s="2"/>
      <c r="ACJ94" s="2"/>
      <c r="ACK94" s="2"/>
      <c r="ACL94" s="2"/>
      <c r="ACM94" s="2"/>
      <c r="ACN94" s="2"/>
      <c r="ACO94" s="2"/>
      <c r="ACP94" s="2"/>
      <c r="ACQ94" s="2"/>
      <c r="ACR94" s="2">
        <v>4</v>
      </c>
      <c r="ACS94" s="2"/>
      <c r="ACT94" s="2"/>
      <c r="ACU94" s="2"/>
      <c r="ACV94" s="2"/>
      <c r="ACW94" s="2"/>
      <c r="ACX94" s="2"/>
      <c r="ACY94" s="2"/>
      <c r="ACZ94" s="2"/>
      <c r="ADA94" s="2"/>
      <c r="ADB94" s="2"/>
      <c r="ADC94" s="2"/>
      <c r="ADD94" s="2"/>
      <c r="ADE94" s="2"/>
      <c r="ADF94" s="2">
        <f>40+8</f>
        <v>48</v>
      </c>
      <c r="ADG94" s="2"/>
      <c r="ADH94" s="2"/>
      <c r="ADI94" s="2"/>
      <c r="ADJ94" s="2"/>
      <c r="ADK94" s="2"/>
      <c r="ADL94" s="2"/>
      <c r="ADM94" s="2"/>
      <c r="ADN94" s="2"/>
      <c r="ADO94" s="2"/>
      <c r="ADP94" s="2"/>
      <c r="ADQ94" s="2"/>
      <c r="ADR94" s="2"/>
      <c r="ADS94" s="2"/>
      <c r="ADT94" s="2"/>
      <c r="ADU94" s="2"/>
      <c r="ADV94" s="2"/>
      <c r="ADW94" s="2"/>
      <c r="ADX94" s="2"/>
      <c r="ADY94" s="2"/>
      <c r="ADZ94" s="2"/>
      <c r="AEA94" s="2"/>
      <c r="AEB94" s="2"/>
      <c r="AEC94" s="2"/>
      <c r="AED94" s="2"/>
      <c r="AEE94" s="2"/>
      <c r="AEF94" s="2"/>
      <c r="AEG94" s="2"/>
      <c r="AEH94" s="2"/>
      <c r="AEI94" s="2"/>
      <c r="AEJ94" s="2"/>
      <c r="AEK94" s="2"/>
      <c r="AEL94" s="2"/>
      <c r="AEM94" s="2"/>
      <c r="AEN94" s="2"/>
      <c r="AEO94" s="2"/>
      <c r="AEP94" s="2"/>
      <c r="AEQ94" s="2"/>
      <c r="AER94" s="2"/>
      <c r="AES94" s="2"/>
      <c r="AET94" s="2"/>
      <c r="AEU94" s="2"/>
      <c r="AEV94" s="2"/>
      <c r="AEW94" s="2"/>
      <c r="AEX94" s="2"/>
      <c r="AEY94" s="2"/>
      <c r="AEZ94" s="2"/>
      <c r="AFA94" s="2"/>
      <c r="AFB94" s="2"/>
      <c r="AFC94" s="2"/>
      <c r="AFD94" s="2"/>
      <c r="AFE94" s="2"/>
      <c r="AFF94" s="2"/>
      <c r="AFG94" s="2"/>
      <c r="AFH94" s="2"/>
      <c r="AFI94" s="2"/>
      <c r="AFJ94" s="2"/>
      <c r="AFK94" s="2"/>
      <c r="AFL94" s="2">
        <f t="shared" si="1"/>
        <v>72</v>
      </c>
    </row>
    <row r="95" spans="1:844" x14ac:dyDescent="0.3">
      <c r="B95" s="91">
        <v>550043380</v>
      </c>
      <c r="C95" s="52" t="s">
        <v>175</v>
      </c>
      <c r="D95" s="64" t="s">
        <v>18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>
        <v>40</v>
      </c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>
        <f>2</f>
        <v>2</v>
      </c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2"/>
      <c r="SO95" s="2"/>
      <c r="SP95" s="2"/>
      <c r="SQ95" s="2"/>
      <c r="SR95" s="2"/>
      <c r="SS95" s="2"/>
      <c r="ST95" s="2"/>
      <c r="SU95" s="2"/>
      <c r="SV95" s="2"/>
      <c r="SW95" s="2"/>
      <c r="SX95" s="2"/>
      <c r="SY95" s="2"/>
      <c r="SZ95" s="2"/>
      <c r="TA95" s="2"/>
      <c r="TB95" s="2"/>
      <c r="TC95" s="2"/>
      <c r="TD95" s="2"/>
      <c r="TE95" s="2"/>
      <c r="TF95" s="2"/>
      <c r="TG95" s="2"/>
      <c r="TH95" s="2"/>
      <c r="TI95" s="2"/>
      <c r="TJ95" s="2"/>
      <c r="TK95" s="2"/>
      <c r="TL95" s="2"/>
      <c r="TM95" s="2"/>
      <c r="TN95" s="2"/>
      <c r="TO95" s="2"/>
      <c r="TP95" s="2"/>
      <c r="TQ95" s="2"/>
      <c r="TR95" s="2"/>
      <c r="TS95" s="2"/>
      <c r="TT95" s="2"/>
      <c r="TU95" s="2"/>
      <c r="TV95" s="2"/>
      <c r="TW95" s="2"/>
      <c r="TX95" s="2"/>
      <c r="TY95" s="2"/>
      <c r="TZ95" s="2"/>
      <c r="UA95" s="2"/>
      <c r="UB95" s="2"/>
      <c r="UC95" s="2"/>
      <c r="UD95" s="2"/>
      <c r="UE95" s="2"/>
      <c r="UF95" s="2"/>
      <c r="UG95" s="2"/>
      <c r="UH95" s="2"/>
      <c r="UI95" s="2"/>
      <c r="UJ95" s="2"/>
      <c r="UK95" s="2"/>
      <c r="UL95" s="2"/>
      <c r="UM95" s="2"/>
      <c r="UN95" s="2"/>
      <c r="UO95" s="2"/>
      <c r="UP95" s="2"/>
      <c r="UQ95" s="2"/>
      <c r="UR95" s="2"/>
      <c r="US95" s="2"/>
      <c r="UT95" s="2"/>
      <c r="UU95" s="2"/>
      <c r="UV95" s="2"/>
      <c r="UW95" s="2"/>
      <c r="UX95" s="2"/>
      <c r="UY95" s="2"/>
      <c r="UZ95" s="2"/>
      <c r="VA95" s="2"/>
      <c r="VB95" s="2"/>
      <c r="VC95" s="2"/>
      <c r="VD95" s="2"/>
      <c r="VE95" s="2"/>
      <c r="VF95" s="2"/>
      <c r="VG95" s="2"/>
      <c r="VH95" s="2"/>
      <c r="VI95" s="2"/>
      <c r="VJ95" s="2"/>
      <c r="VK95" s="2"/>
      <c r="VL95" s="2"/>
      <c r="VM95" s="2"/>
      <c r="VN95" s="2"/>
      <c r="VO95" s="2"/>
      <c r="VP95" s="2"/>
      <c r="VQ95" s="2"/>
      <c r="VR95" s="2"/>
      <c r="VS95" s="2"/>
      <c r="VT95" s="2"/>
      <c r="VU95" s="2"/>
      <c r="VV95" s="2"/>
      <c r="VW95" s="2"/>
      <c r="VX95" s="2"/>
      <c r="VY95" s="2"/>
      <c r="VZ95" s="2"/>
      <c r="WA95" s="2"/>
      <c r="WB95" s="2"/>
      <c r="WC95" s="2"/>
      <c r="WD95" s="2"/>
      <c r="WE95" s="2"/>
      <c r="WF95" s="2"/>
      <c r="WG95" s="2"/>
      <c r="WH95" s="2"/>
      <c r="WI95" s="2"/>
      <c r="WJ95" s="2"/>
      <c r="WK95" s="2"/>
      <c r="WL95" s="2"/>
      <c r="WM95" s="2"/>
      <c r="WN95" s="2"/>
      <c r="WO95" s="2"/>
      <c r="WP95" s="2"/>
      <c r="WQ95" s="2"/>
      <c r="WR95" s="2"/>
      <c r="WS95" s="2"/>
      <c r="WT95" s="2"/>
      <c r="WU95" s="2"/>
      <c r="WV95" s="2"/>
      <c r="WW95" s="2"/>
      <c r="WX95" s="2"/>
      <c r="WY95" s="2"/>
      <c r="WZ95" s="2"/>
      <c r="XA95" s="2"/>
      <c r="XB95" s="2"/>
      <c r="XC95" s="2"/>
      <c r="XD95" s="2"/>
      <c r="XE95" s="2"/>
      <c r="XF95" s="2"/>
      <c r="XG95" s="2"/>
      <c r="XH95" s="2"/>
      <c r="XI95" s="2"/>
      <c r="XJ95" s="2"/>
      <c r="XK95" s="2"/>
      <c r="XL95" s="2"/>
      <c r="XM95" s="2"/>
      <c r="XN95" s="2"/>
      <c r="XO95" s="2"/>
      <c r="XP95" s="2"/>
      <c r="XQ95" s="2"/>
      <c r="XR95" s="2"/>
      <c r="XS95" s="2"/>
      <c r="XT95" s="2"/>
      <c r="XU95" s="2"/>
      <c r="XV95" s="2"/>
      <c r="XW95" s="2"/>
      <c r="XX95" s="2"/>
      <c r="XY95" s="2"/>
      <c r="XZ95" s="2"/>
      <c r="YA95" s="2"/>
      <c r="YB95" s="2"/>
      <c r="YC95" s="2"/>
      <c r="YD95" s="2"/>
      <c r="YE95" s="2"/>
      <c r="YF95" s="2"/>
      <c r="YG95" s="2"/>
      <c r="YH95" s="2"/>
      <c r="YI95" s="2"/>
      <c r="YJ95" s="2"/>
      <c r="YK95" s="2"/>
      <c r="YL95" s="2"/>
      <c r="YM95" s="2"/>
      <c r="YN95" s="2"/>
      <c r="YO95" s="2"/>
      <c r="YP95" s="2"/>
      <c r="YQ95" s="2"/>
      <c r="YR95" s="2"/>
      <c r="YS95" s="2"/>
      <c r="YT95" s="2"/>
      <c r="YU95" s="2"/>
      <c r="YV95" s="2"/>
      <c r="YW95" s="2"/>
      <c r="YX95" s="2"/>
      <c r="YY95" s="2"/>
      <c r="YZ95" s="2"/>
      <c r="ZA95" s="2"/>
      <c r="ZB95" s="2"/>
      <c r="ZC95" s="2"/>
      <c r="ZD95" s="2"/>
      <c r="ZE95" s="2"/>
      <c r="ZF95" s="2"/>
      <c r="ZG95" s="2"/>
      <c r="ZH95" s="2"/>
      <c r="ZI95" s="2"/>
      <c r="ZJ95" s="2"/>
      <c r="ZK95" s="2"/>
      <c r="ZL95" s="2"/>
      <c r="ZM95" s="2"/>
      <c r="ZN95" s="2"/>
      <c r="ZO95" s="2"/>
      <c r="ZP95" s="2"/>
      <c r="ZQ95" s="2"/>
      <c r="ZR95" s="2"/>
      <c r="ZS95" s="2"/>
      <c r="ZT95" s="2"/>
      <c r="ZU95" s="2"/>
      <c r="ZV95" s="2"/>
      <c r="ZW95" s="2"/>
      <c r="ZX95" s="2"/>
      <c r="ZY95" s="2"/>
      <c r="ZZ95" s="2"/>
      <c r="AAA95" s="2"/>
      <c r="AAB95" s="2"/>
      <c r="AAC95" s="2"/>
      <c r="AAD95" s="2"/>
      <c r="AAE95" s="2"/>
      <c r="AAF95" s="2"/>
      <c r="AAG95" s="2"/>
      <c r="AAH95" s="2"/>
      <c r="AAI95" s="2"/>
      <c r="AAJ95" s="2"/>
      <c r="AAK95" s="2"/>
      <c r="AAL95" s="2"/>
      <c r="AAM95" s="2"/>
      <c r="AAN95" s="2"/>
      <c r="AAO95" s="2"/>
      <c r="AAP95" s="2"/>
      <c r="AAQ95" s="2"/>
      <c r="AAR95" s="2"/>
      <c r="AAS95" s="2"/>
      <c r="AAT95" s="2"/>
      <c r="AAU95" s="2"/>
      <c r="AAV95" s="2"/>
      <c r="AAW95" s="2"/>
      <c r="AAX95" s="2"/>
      <c r="AAY95" s="2"/>
      <c r="AAZ95" s="2"/>
      <c r="ABA95" s="2"/>
      <c r="ABB95" s="2"/>
      <c r="ABC95" s="2"/>
      <c r="ABD95" s="2"/>
      <c r="ABE95" s="2"/>
      <c r="ABF95" s="2"/>
      <c r="ABG95" s="2"/>
      <c r="ABH95" s="2"/>
      <c r="ABI95" s="2"/>
      <c r="ABJ95" s="2"/>
      <c r="ABK95" s="2"/>
      <c r="ABL95" s="2"/>
      <c r="ABM95" s="2"/>
      <c r="ABN95" s="2"/>
      <c r="ABO95" s="2"/>
      <c r="ABP95" s="2"/>
      <c r="ABQ95" s="2"/>
      <c r="ABR95" s="2"/>
      <c r="ABS95" s="2"/>
      <c r="ABT95" s="2"/>
      <c r="ABU95" s="2"/>
      <c r="ABV95" s="2"/>
      <c r="ABW95" s="2"/>
      <c r="ABX95" s="2"/>
      <c r="ABY95" s="2"/>
      <c r="ABZ95" s="2"/>
      <c r="ACA95" s="2"/>
      <c r="ACB95" s="2"/>
      <c r="ACC95" s="2"/>
      <c r="ACD95" s="2"/>
      <c r="ACE95" s="2"/>
      <c r="ACF95" s="2"/>
      <c r="ACG95" s="2"/>
      <c r="ACH95" s="2">
        <v>3</v>
      </c>
      <c r="ACI95" s="2"/>
      <c r="ACJ95" s="2"/>
      <c r="ACK95" s="2"/>
      <c r="ACL95" s="2"/>
      <c r="ACM95" s="2"/>
      <c r="ACN95" s="2"/>
      <c r="ACO95" s="2"/>
      <c r="ACP95" s="2"/>
      <c r="ACQ95" s="2"/>
      <c r="ACR95" s="2"/>
      <c r="ACS95" s="2"/>
      <c r="ACT95" s="2"/>
      <c r="ACU95" s="2"/>
      <c r="ACV95" s="2"/>
      <c r="ACW95" s="2"/>
      <c r="ACX95" s="2"/>
      <c r="ACY95" s="2"/>
      <c r="ACZ95" s="2"/>
      <c r="ADA95" s="2"/>
      <c r="ADB95" s="2"/>
      <c r="ADC95" s="2"/>
      <c r="ADD95" s="2"/>
      <c r="ADE95" s="2"/>
      <c r="ADF95" s="2"/>
      <c r="ADG95" s="2"/>
      <c r="ADH95" s="2"/>
      <c r="ADI95" s="2"/>
      <c r="ADJ95" s="2"/>
      <c r="ADK95" s="2"/>
      <c r="ADL95" s="2"/>
      <c r="ADM95" s="2"/>
      <c r="ADN95" s="2"/>
      <c r="ADO95" s="2"/>
      <c r="ADP95" s="2"/>
      <c r="ADQ95" s="2"/>
      <c r="ADR95" s="2"/>
      <c r="ADS95" s="2"/>
      <c r="ADT95" s="2"/>
      <c r="ADU95" s="2"/>
      <c r="ADV95" s="2"/>
      <c r="ADW95" s="2"/>
      <c r="ADX95" s="2"/>
      <c r="ADY95" s="2"/>
      <c r="ADZ95" s="2"/>
      <c r="AEA95" s="2"/>
      <c r="AEB95" s="2"/>
      <c r="AEC95" s="2"/>
      <c r="AED95" s="2"/>
      <c r="AEE95" s="2"/>
      <c r="AEF95" s="2"/>
      <c r="AEG95" s="2"/>
      <c r="AEH95" s="2"/>
      <c r="AEI95" s="2"/>
      <c r="AEJ95" s="2"/>
      <c r="AEK95" s="2"/>
      <c r="AEL95" s="2"/>
      <c r="AEM95" s="2"/>
      <c r="AEN95" s="2"/>
      <c r="AEO95" s="2"/>
      <c r="AEP95" s="2"/>
      <c r="AEQ95" s="2"/>
      <c r="AER95" s="2"/>
      <c r="AES95" s="2"/>
      <c r="AET95" s="2"/>
      <c r="AEU95" s="2"/>
      <c r="AEV95" s="2"/>
      <c r="AEW95" s="2"/>
      <c r="AEX95" s="2"/>
      <c r="AEY95" s="2"/>
      <c r="AEZ95" s="2"/>
      <c r="AFA95" s="2"/>
      <c r="AFB95" s="2"/>
      <c r="AFC95" s="2"/>
      <c r="AFD95" s="2"/>
      <c r="AFE95" s="2"/>
      <c r="AFF95" s="2"/>
      <c r="AFG95" s="2"/>
      <c r="AFH95" s="2"/>
      <c r="AFI95" s="2"/>
      <c r="AFJ95" s="2"/>
      <c r="AFK95" s="2"/>
      <c r="AFL95" s="2">
        <f t="shared" si="1"/>
        <v>45</v>
      </c>
    </row>
    <row r="96" spans="1:844" x14ac:dyDescent="0.3">
      <c r="B96" s="42">
        <v>6560500055</v>
      </c>
      <c r="C96" s="13" t="s">
        <v>173</v>
      </c>
      <c r="D96" s="64" t="s">
        <v>18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>
        <f>4</f>
        <v>4</v>
      </c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2"/>
      <c r="SO96" s="2"/>
      <c r="SP96" s="2"/>
      <c r="SQ96" s="2"/>
      <c r="SR96" s="2"/>
      <c r="SS96" s="2"/>
      <c r="ST96" s="2"/>
      <c r="SU96" s="2"/>
      <c r="SV96" s="2"/>
      <c r="SW96" s="2"/>
      <c r="SX96" s="2"/>
      <c r="SY96" s="2"/>
      <c r="SZ96" s="2"/>
      <c r="TA96" s="2"/>
      <c r="TB96" s="2"/>
      <c r="TC96" s="2"/>
      <c r="TD96" s="2"/>
      <c r="TE96" s="2"/>
      <c r="TF96" s="2"/>
      <c r="TG96" s="2"/>
      <c r="TH96" s="2"/>
      <c r="TI96" s="2"/>
      <c r="TJ96" s="2"/>
      <c r="TK96" s="2"/>
      <c r="TL96" s="2"/>
      <c r="TM96" s="2"/>
      <c r="TN96" s="2"/>
      <c r="TO96" s="2"/>
      <c r="TP96" s="2"/>
      <c r="TQ96" s="2"/>
      <c r="TR96" s="2"/>
      <c r="TS96" s="2"/>
      <c r="TT96" s="2"/>
      <c r="TU96" s="2"/>
      <c r="TV96" s="2"/>
      <c r="TW96" s="2"/>
      <c r="TX96" s="2"/>
      <c r="TY96" s="2"/>
      <c r="TZ96" s="2"/>
      <c r="UA96" s="2"/>
      <c r="UB96" s="2"/>
      <c r="UC96" s="2"/>
      <c r="UD96" s="2"/>
      <c r="UE96" s="2"/>
      <c r="UF96" s="2"/>
      <c r="UG96" s="2"/>
      <c r="UH96" s="2"/>
      <c r="UI96" s="2"/>
      <c r="UJ96" s="2"/>
      <c r="UK96" s="2"/>
      <c r="UL96" s="2"/>
      <c r="UM96" s="2"/>
      <c r="UN96" s="2"/>
      <c r="UO96" s="2"/>
      <c r="UP96" s="2"/>
      <c r="UQ96" s="2"/>
      <c r="UR96" s="2"/>
      <c r="US96" s="2"/>
      <c r="UT96" s="2"/>
      <c r="UU96" s="2"/>
      <c r="UV96" s="2"/>
      <c r="UW96" s="2"/>
      <c r="UX96" s="2"/>
      <c r="UY96" s="2"/>
      <c r="UZ96" s="2"/>
      <c r="VA96" s="2"/>
      <c r="VB96" s="2"/>
      <c r="VC96" s="2"/>
      <c r="VD96" s="2"/>
      <c r="VE96" s="2"/>
      <c r="VF96" s="2"/>
      <c r="VG96" s="2"/>
      <c r="VH96" s="2"/>
      <c r="VI96" s="2"/>
      <c r="VJ96" s="2"/>
      <c r="VK96" s="2"/>
      <c r="VL96" s="2"/>
      <c r="VM96" s="2"/>
      <c r="VN96" s="2"/>
      <c r="VO96" s="2"/>
      <c r="VP96" s="2"/>
      <c r="VQ96" s="2"/>
      <c r="VR96" s="2"/>
      <c r="VS96" s="2"/>
      <c r="VT96" s="2"/>
      <c r="VU96" s="2"/>
      <c r="VV96" s="2"/>
      <c r="VW96" s="2"/>
      <c r="VX96" s="2"/>
      <c r="VY96" s="2"/>
      <c r="VZ96" s="2"/>
      <c r="WA96" s="2"/>
      <c r="WB96" s="2"/>
      <c r="WC96" s="2"/>
      <c r="WD96" s="2"/>
      <c r="WE96" s="2"/>
      <c r="WF96" s="2"/>
      <c r="WG96" s="2"/>
      <c r="WH96" s="2"/>
      <c r="WI96" s="2"/>
      <c r="WJ96" s="2"/>
      <c r="WK96" s="2"/>
      <c r="WL96" s="2"/>
      <c r="WM96" s="2"/>
      <c r="WN96" s="2"/>
      <c r="WO96" s="2"/>
      <c r="WP96" s="2"/>
      <c r="WQ96" s="2"/>
      <c r="WR96" s="2"/>
      <c r="WS96" s="2"/>
      <c r="WT96" s="2"/>
      <c r="WU96" s="2"/>
      <c r="WV96" s="2"/>
      <c r="WW96" s="2"/>
      <c r="WX96" s="2"/>
      <c r="WY96" s="2"/>
      <c r="WZ96" s="2"/>
      <c r="XA96" s="2"/>
      <c r="XB96" s="2"/>
      <c r="XC96" s="2"/>
      <c r="XD96" s="2"/>
      <c r="XE96" s="2"/>
      <c r="XF96" s="2"/>
      <c r="XG96" s="2"/>
      <c r="XH96" s="2"/>
      <c r="XI96" s="2"/>
      <c r="XJ96" s="2"/>
      <c r="XK96" s="2"/>
      <c r="XL96" s="2"/>
      <c r="XM96" s="2"/>
      <c r="XN96" s="2"/>
      <c r="XO96" s="2"/>
      <c r="XP96" s="2"/>
      <c r="XQ96" s="2"/>
      <c r="XR96" s="2"/>
      <c r="XS96" s="2"/>
      <c r="XT96" s="2"/>
      <c r="XU96" s="2"/>
      <c r="XV96" s="2"/>
      <c r="XW96" s="2"/>
      <c r="XX96" s="2"/>
      <c r="XY96" s="2"/>
      <c r="XZ96" s="2"/>
      <c r="YA96" s="2"/>
      <c r="YB96" s="2"/>
      <c r="YC96" s="2"/>
      <c r="YD96" s="2"/>
      <c r="YE96" s="2"/>
      <c r="YF96" s="2"/>
      <c r="YG96" s="2"/>
      <c r="YH96" s="2"/>
      <c r="YI96" s="2"/>
      <c r="YJ96" s="2"/>
      <c r="YK96" s="2"/>
      <c r="YL96" s="2"/>
      <c r="YM96" s="2">
        <v>10</v>
      </c>
      <c r="YN96" s="2"/>
      <c r="YO96" s="2"/>
      <c r="YP96" s="2"/>
      <c r="YQ96" s="2"/>
      <c r="YR96" s="2"/>
      <c r="YS96" s="2"/>
      <c r="YT96" s="2"/>
      <c r="YU96" s="2"/>
      <c r="YV96" s="2"/>
      <c r="YW96" s="2"/>
      <c r="YX96" s="2"/>
      <c r="YY96" s="2"/>
      <c r="YZ96" s="2"/>
      <c r="ZA96" s="2"/>
      <c r="ZB96" s="2"/>
      <c r="ZC96" s="2"/>
      <c r="ZD96" s="2"/>
      <c r="ZE96" s="2"/>
      <c r="ZF96" s="2"/>
      <c r="ZG96" s="2"/>
      <c r="ZH96" s="2"/>
      <c r="ZI96" s="2"/>
      <c r="ZJ96" s="2"/>
      <c r="ZK96" s="2"/>
      <c r="ZL96" s="2"/>
      <c r="ZM96" s="2"/>
      <c r="ZN96" s="2"/>
      <c r="ZO96" s="2"/>
      <c r="ZP96" s="2"/>
      <c r="ZQ96" s="2"/>
      <c r="ZR96" s="2"/>
      <c r="ZS96" s="2"/>
      <c r="ZT96" s="2"/>
      <c r="ZU96" s="2"/>
      <c r="ZV96" s="2"/>
      <c r="ZW96" s="2"/>
      <c r="ZX96" s="2"/>
      <c r="ZY96" s="2"/>
      <c r="ZZ96" s="2"/>
      <c r="AAA96" s="2"/>
      <c r="AAB96" s="2"/>
      <c r="AAC96" s="2"/>
      <c r="AAD96" s="2"/>
      <c r="AAE96" s="2"/>
      <c r="AAF96" s="2"/>
      <c r="AAG96" s="2"/>
      <c r="AAH96" s="2"/>
      <c r="AAI96" s="2"/>
      <c r="AAJ96" s="2"/>
      <c r="AAK96" s="2"/>
      <c r="AAL96" s="2"/>
      <c r="AAM96" s="2"/>
      <c r="AAN96" s="2"/>
      <c r="AAO96" s="2"/>
      <c r="AAP96" s="2"/>
      <c r="AAQ96" s="2"/>
      <c r="AAR96" s="2"/>
      <c r="AAS96" s="2"/>
      <c r="AAT96" s="2"/>
      <c r="AAU96" s="2"/>
      <c r="AAV96" s="2"/>
      <c r="AAW96" s="2"/>
      <c r="AAX96" s="2"/>
      <c r="AAY96" s="2"/>
      <c r="AAZ96" s="2"/>
      <c r="ABA96" s="2"/>
      <c r="ABB96" s="2"/>
      <c r="ABC96" s="2"/>
      <c r="ABD96" s="2"/>
      <c r="ABE96" s="2"/>
      <c r="ABF96" s="2"/>
      <c r="ABG96" s="2"/>
      <c r="ABH96" s="2"/>
      <c r="ABI96" s="2"/>
      <c r="ABJ96" s="2"/>
      <c r="ABK96" s="2"/>
      <c r="ABL96" s="2"/>
      <c r="ABM96" s="2"/>
      <c r="ABN96" s="2"/>
      <c r="ABO96" s="2"/>
      <c r="ABP96" s="2"/>
      <c r="ABQ96" s="2"/>
      <c r="ABR96" s="2"/>
      <c r="ABS96" s="2"/>
      <c r="ABT96" s="2"/>
      <c r="ABU96" s="2"/>
      <c r="ABV96" s="2"/>
      <c r="ABW96" s="2"/>
      <c r="ABX96" s="2"/>
      <c r="ABY96" s="2"/>
      <c r="ABZ96" s="2"/>
      <c r="ACA96" s="2"/>
      <c r="ACB96" s="2"/>
      <c r="ACC96" s="2"/>
      <c r="ACD96" s="2"/>
      <c r="ACE96" s="2"/>
      <c r="ACF96" s="2"/>
      <c r="ACG96" s="2"/>
      <c r="ACH96" s="2"/>
      <c r="ACI96" s="2"/>
      <c r="ACJ96" s="2"/>
      <c r="ACK96" s="2"/>
      <c r="ACL96" s="2"/>
      <c r="ACM96" s="2"/>
      <c r="ACN96" s="2"/>
      <c r="ACO96" s="2"/>
      <c r="ACP96" s="2"/>
      <c r="ACQ96" s="2"/>
      <c r="ACR96" s="2"/>
      <c r="ACS96" s="2"/>
      <c r="ACT96" s="2"/>
      <c r="ACU96" s="2"/>
      <c r="ACV96" s="2"/>
      <c r="ACW96" s="2"/>
      <c r="ACX96" s="2"/>
      <c r="ACY96" s="2"/>
      <c r="ACZ96" s="2"/>
      <c r="ADA96" s="2"/>
      <c r="ADB96" s="2"/>
      <c r="ADC96" s="2"/>
      <c r="ADD96" s="2"/>
      <c r="ADE96" s="2"/>
      <c r="ADF96" s="2"/>
      <c r="ADG96" s="2"/>
      <c r="ADH96" s="2"/>
      <c r="ADI96" s="2"/>
      <c r="ADJ96" s="2"/>
      <c r="ADK96" s="2"/>
      <c r="ADL96" s="2"/>
      <c r="ADM96" s="2"/>
      <c r="ADN96" s="2"/>
      <c r="ADO96" s="2"/>
      <c r="ADP96" s="2"/>
      <c r="ADQ96" s="2"/>
      <c r="ADR96" s="2"/>
      <c r="ADS96" s="2"/>
      <c r="ADT96" s="2"/>
      <c r="ADU96" s="2"/>
      <c r="ADV96" s="2"/>
      <c r="ADW96" s="2"/>
      <c r="ADX96" s="2"/>
      <c r="ADY96" s="2"/>
      <c r="ADZ96" s="2"/>
      <c r="AEA96" s="2"/>
      <c r="AEB96" s="2"/>
      <c r="AEC96" s="2"/>
      <c r="AED96" s="2"/>
      <c r="AEE96" s="2"/>
      <c r="AEF96" s="2"/>
      <c r="AEG96" s="2"/>
      <c r="AEH96" s="2"/>
      <c r="AEI96" s="2"/>
      <c r="AEJ96" s="2"/>
      <c r="AEK96" s="2"/>
      <c r="AEL96" s="2"/>
      <c r="AEM96" s="2"/>
      <c r="AEN96" s="2"/>
      <c r="AEO96" s="2"/>
      <c r="AEP96" s="2"/>
      <c r="AEQ96" s="2"/>
      <c r="AER96" s="2"/>
      <c r="AES96" s="2"/>
      <c r="AET96" s="2"/>
      <c r="AEU96" s="2"/>
      <c r="AEV96" s="2"/>
      <c r="AEW96" s="2"/>
      <c r="AEX96" s="2"/>
      <c r="AEY96" s="2"/>
      <c r="AEZ96" s="2"/>
      <c r="AFA96" s="2"/>
      <c r="AFB96" s="2"/>
      <c r="AFC96" s="2"/>
      <c r="AFD96" s="2"/>
      <c r="AFE96" s="2"/>
      <c r="AFF96" s="2"/>
      <c r="AFG96" s="2"/>
      <c r="AFH96" s="2"/>
      <c r="AFI96" s="2"/>
      <c r="AFJ96" s="2"/>
      <c r="AFK96" s="2"/>
      <c r="AFL96" s="2">
        <f t="shared" si="1"/>
        <v>14</v>
      </c>
    </row>
    <row r="97" spans="2:844" x14ac:dyDescent="0.3">
      <c r="B97" s="42">
        <v>550047744</v>
      </c>
      <c r="C97" s="13" t="s">
        <v>917</v>
      </c>
      <c r="D97" s="35" t="s">
        <v>928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2"/>
      <c r="SO97" s="2"/>
      <c r="SP97" s="2"/>
      <c r="SQ97" s="2"/>
      <c r="SR97" s="2"/>
      <c r="SS97" s="2"/>
      <c r="ST97" s="2"/>
      <c r="SU97" s="2"/>
      <c r="SV97" s="2"/>
      <c r="SW97" s="2"/>
      <c r="SX97" s="2"/>
      <c r="SY97" s="2"/>
      <c r="SZ97" s="2"/>
      <c r="TA97" s="2"/>
      <c r="TB97" s="2"/>
      <c r="TC97" s="2"/>
      <c r="TD97" s="2"/>
      <c r="TE97" s="2"/>
      <c r="TF97" s="2"/>
      <c r="TG97" s="2"/>
      <c r="TH97" s="2"/>
      <c r="TI97" s="2"/>
      <c r="TJ97" s="2"/>
      <c r="TK97" s="2"/>
      <c r="TL97" s="2"/>
      <c r="TM97" s="2"/>
      <c r="TN97" s="2"/>
      <c r="TO97" s="2"/>
      <c r="TP97" s="2"/>
      <c r="TQ97" s="2"/>
      <c r="TR97" s="2"/>
      <c r="TS97" s="2"/>
      <c r="TT97" s="2"/>
      <c r="TU97" s="2"/>
      <c r="TV97" s="2"/>
      <c r="TW97" s="2"/>
      <c r="TX97" s="2"/>
      <c r="TY97" s="2"/>
      <c r="TZ97" s="2"/>
      <c r="UA97" s="2"/>
      <c r="UB97" s="2"/>
      <c r="UC97" s="2"/>
      <c r="UD97" s="2"/>
      <c r="UE97" s="2"/>
      <c r="UF97" s="2"/>
      <c r="UG97" s="2"/>
      <c r="UH97" s="2"/>
      <c r="UI97" s="2"/>
      <c r="UJ97" s="2"/>
      <c r="UK97" s="2"/>
      <c r="UL97" s="2"/>
      <c r="UM97" s="2"/>
      <c r="UN97" s="2"/>
      <c r="UO97" s="2"/>
      <c r="UP97" s="2"/>
      <c r="UQ97" s="2"/>
      <c r="UR97" s="2"/>
      <c r="US97" s="2"/>
      <c r="UT97" s="2"/>
      <c r="UU97" s="2"/>
      <c r="UV97" s="2"/>
      <c r="UW97" s="2"/>
      <c r="UX97" s="2"/>
      <c r="UY97" s="2"/>
      <c r="UZ97" s="2"/>
      <c r="VA97" s="2"/>
      <c r="VB97" s="2"/>
      <c r="VC97" s="2"/>
      <c r="VD97" s="2"/>
      <c r="VE97" s="2"/>
      <c r="VF97" s="2"/>
      <c r="VG97" s="2"/>
      <c r="VH97" s="2"/>
      <c r="VI97" s="2"/>
      <c r="VJ97" s="2"/>
      <c r="VK97" s="2"/>
      <c r="VL97" s="2"/>
      <c r="VM97" s="2"/>
      <c r="VN97" s="2"/>
      <c r="VO97" s="2"/>
      <c r="VP97" s="2"/>
      <c r="VQ97" s="2"/>
      <c r="VR97" s="2"/>
      <c r="VS97" s="2"/>
      <c r="VT97" s="2"/>
      <c r="VU97" s="2"/>
      <c r="VV97" s="2"/>
      <c r="VW97" s="2"/>
      <c r="VX97" s="2"/>
      <c r="VY97" s="2"/>
      <c r="VZ97" s="2"/>
      <c r="WA97" s="2"/>
      <c r="WB97" s="2"/>
      <c r="WC97" s="2"/>
      <c r="WD97" s="2"/>
      <c r="WE97" s="2"/>
      <c r="WF97" s="2"/>
      <c r="WG97" s="2"/>
      <c r="WH97" s="2"/>
      <c r="WI97" s="2"/>
      <c r="WJ97" s="2"/>
      <c r="WK97" s="2"/>
      <c r="WL97" s="2"/>
      <c r="WM97" s="2"/>
      <c r="WN97" s="2"/>
      <c r="WO97" s="2"/>
      <c r="WP97" s="2"/>
      <c r="WQ97" s="2"/>
      <c r="WR97" s="2"/>
      <c r="WS97" s="2"/>
      <c r="WT97" s="2"/>
      <c r="WU97" s="2"/>
      <c r="WV97" s="2"/>
      <c r="WW97" s="2"/>
      <c r="WX97" s="2"/>
      <c r="WY97" s="2"/>
      <c r="WZ97" s="2"/>
      <c r="XA97" s="2"/>
      <c r="XB97" s="2"/>
      <c r="XC97" s="2"/>
      <c r="XD97" s="2"/>
      <c r="XE97" s="2"/>
      <c r="XF97" s="2"/>
      <c r="XG97" s="2"/>
      <c r="XH97" s="2"/>
      <c r="XI97" s="2"/>
      <c r="XJ97" s="2"/>
      <c r="XK97" s="2"/>
      <c r="XL97" s="2"/>
      <c r="XM97" s="2"/>
      <c r="XN97" s="2"/>
      <c r="XO97" s="2"/>
      <c r="XP97" s="2"/>
      <c r="XQ97" s="2"/>
      <c r="XR97" s="2"/>
      <c r="XS97" s="2"/>
      <c r="XT97" s="2"/>
      <c r="XU97" s="2"/>
      <c r="XV97" s="2"/>
      <c r="XW97" s="2"/>
      <c r="XX97" s="2"/>
      <c r="XY97" s="2"/>
      <c r="XZ97" s="2"/>
      <c r="YA97" s="2"/>
      <c r="YB97" s="2"/>
      <c r="YC97" s="2"/>
      <c r="YD97" s="2"/>
      <c r="YE97" s="2"/>
      <c r="YF97" s="2"/>
      <c r="YG97" s="2"/>
      <c r="YH97" s="2"/>
      <c r="YI97" s="2"/>
      <c r="YJ97" s="2"/>
      <c r="YK97" s="2"/>
      <c r="YL97" s="2"/>
      <c r="YM97" s="2"/>
      <c r="YN97" s="2"/>
      <c r="YO97" s="2"/>
      <c r="YP97" s="2"/>
      <c r="YQ97" s="2"/>
      <c r="YR97" s="2"/>
      <c r="YS97" s="2"/>
      <c r="YT97" s="2"/>
      <c r="YU97" s="2"/>
      <c r="YV97" s="2"/>
      <c r="YW97" s="2"/>
      <c r="YX97" s="2"/>
      <c r="YY97" s="2"/>
      <c r="YZ97" s="2"/>
      <c r="ZA97" s="2"/>
      <c r="ZB97" s="2"/>
      <c r="ZC97" s="2"/>
      <c r="ZD97" s="2"/>
      <c r="ZE97" s="2"/>
      <c r="ZF97" s="2"/>
      <c r="ZG97" s="2"/>
      <c r="ZH97" s="2"/>
      <c r="ZI97" s="2"/>
      <c r="ZJ97" s="2"/>
      <c r="ZK97" s="2"/>
      <c r="ZL97" s="2"/>
      <c r="ZM97" s="2"/>
      <c r="ZN97" s="2"/>
      <c r="ZO97" s="2"/>
      <c r="ZP97" s="2"/>
      <c r="ZQ97" s="2"/>
      <c r="ZR97" s="2"/>
      <c r="ZS97" s="2"/>
      <c r="ZT97" s="2"/>
      <c r="ZU97" s="2"/>
      <c r="ZV97" s="2"/>
      <c r="ZW97" s="2"/>
      <c r="ZX97" s="2"/>
      <c r="ZY97" s="2"/>
      <c r="ZZ97" s="2"/>
      <c r="AAA97" s="2"/>
      <c r="AAB97" s="2"/>
      <c r="AAC97" s="2"/>
      <c r="AAD97" s="2"/>
      <c r="AAE97" s="2"/>
      <c r="AAF97" s="2"/>
      <c r="AAG97" s="2"/>
      <c r="AAH97" s="2"/>
      <c r="AAI97" s="2"/>
      <c r="AAJ97" s="2"/>
      <c r="AAK97" s="2"/>
      <c r="AAL97" s="2"/>
      <c r="AAM97" s="2"/>
      <c r="AAN97" s="2"/>
      <c r="AAO97" s="2"/>
      <c r="AAP97" s="2"/>
      <c r="AAQ97" s="2"/>
      <c r="AAR97" s="2"/>
      <c r="AAS97" s="2"/>
      <c r="AAT97" s="2"/>
      <c r="AAU97" s="2"/>
      <c r="AAV97" s="2"/>
      <c r="AAW97" s="2"/>
      <c r="AAX97" s="2"/>
      <c r="AAY97" s="2"/>
      <c r="AAZ97" s="2"/>
      <c r="ABA97" s="2"/>
      <c r="ABB97" s="2"/>
      <c r="ABC97" s="2"/>
      <c r="ABD97" s="2"/>
      <c r="ABE97" s="2"/>
      <c r="ABF97" s="2"/>
      <c r="ABG97" s="2"/>
      <c r="ABH97" s="2"/>
      <c r="ABI97" s="2"/>
      <c r="ABJ97" s="2"/>
      <c r="ABK97" s="2"/>
      <c r="ABL97" s="2"/>
      <c r="ABM97" s="2"/>
      <c r="ABN97" s="2"/>
      <c r="ABO97" s="2"/>
      <c r="ABP97" s="2"/>
      <c r="ABQ97" s="2"/>
      <c r="ABR97" s="2"/>
      <c r="ABS97" s="2"/>
      <c r="ABT97" s="2"/>
      <c r="ABU97" s="2"/>
      <c r="ABV97" s="2"/>
      <c r="ABW97" s="2"/>
      <c r="ABX97" s="2"/>
      <c r="ABY97" s="2"/>
      <c r="ABZ97" s="2"/>
      <c r="ACA97" s="2"/>
      <c r="ACB97" s="2"/>
      <c r="ACC97" s="2"/>
      <c r="ACD97" s="2"/>
      <c r="ACE97" s="2"/>
      <c r="ACF97" s="2"/>
      <c r="ACG97" s="2"/>
      <c r="ACH97" s="2"/>
      <c r="ACI97" s="2"/>
      <c r="ACJ97" s="2"/>
      <c r="ACK97" s="2"/>
      <c r="ACL97" s="2"/>
      <c r="ACM97" s="2"/>
      <c r="ACN97" s="2"/>
      <c r="ACO97" s="2"/>
      <c r="ACP97" s="2"/>
      <c r="ACQ97" s="2"/>
      <c r="ACR97" s="2"/>
      <c r="ACS97" s="2"/>
      <c r="ACT97" s="2"/>
      <c r="ACU97" s="2">
        <v>1</v>
      </c>
      <c r="ACV97" s="2"/>
      <c r="ACW97" s="2"/>
      <c r="ACX97" s="2"/>
      <c r="ACY97" s="2"/>
      <c r="ACZ97" s="2"/>
      <c r="ADA97" s="2"/>
      <c r="ADB97" s="2"/>
      <c r="ADC97" s="2"/>
      <c r="ADD97" s="2"/>
      <c r="ADE97" s="2"/>
      <c r="ADF97" s="2"/>
      <c r="ADG97" s="2"/>
      <c r="ADH97" s="2"/>
      <c r="ADI97" s="2"/>
      <c r="ADJ97" s="2"/>
      <c r="ADK97" s="2"/>
      <c r="ADL97" s="2"/>
      <c r="ADM97" s="2"/>
      <c r="ADN97" s="2"/>
      <c r="ADO97" s="2"/>
      <c r="ADP97" s="2"/>
      <c r="ADQ97" s="2"/>
      <c r="ADR97" s="2"/>
      <c r="ADS97" s="2"/>
      <c r="ADT97" s="2"/>
      <c r="ADU97" s="2"/>
      <c r="ADV97" s="2"/>
      <c r="ADW97" s="2"/>
      <c r="ADX97" s="2"/>
      <c r="ADY97" s="2"/>
      <c r="ADZ97" s="2"/>
      <c r="AEA97" s="2"/>
      <c r="AEB97" s="2"/>
      <c r="AEC97" s="2"/>
      <c r="AED97" s="2"/>
      <c r="AEE97" s="2"/>
      <c r="AEF97" s="2"/>
      <c r="AEG97" s="2"/>
      <c r="AEH97" s="2"/>
      <c r="AEI97" s="2"/>
      <c r="AEJ97" s="2"/>
      <c r="AEK97" s="2"/>
      <c r="AEL97" s="2"/>
      <c r="AEM97" s="2"/>
      <c r="AEN97" s="2"/>
      <c r="AEO97" s="2"/>
      <c r="AEP97" s="2"/>
      <c r="AEQ97" s="2"/>
      <c r="AER97" s="2"/>
      <c r="AES97" s="2"/>
      <c r="AET97" s="2"/>
      <c r="AEU97" s="2"/>
      <c r="AEV97" s="2"/>
      <c r="AEW97" s="2"/>
      <c r="AEX97" s="2"/>
      <c r="AEY97" s="2"/>
      <c r="AEZ97" s="2"/>
      <c r="AFA97" s="2"/>
      <c r="AFB97" s="2"/>
      <c r="AFC97" s="2"/>
      <c r="AFD97" s="2"/>
      <c r="AFE97" s="2"/>
      <c r="AFF97" s="2"/>
      <c r="AFG97" s="2"/>
      <c r="AFH97" s="2"/>
      <c r="AFI97" s="2"/>
      <c r="AFJ97" s="2"/>
      <c r="AFK97" s="2"/>
      <c r="AFL97" s="2">
        <f t="shared" si="1"/>
        <v>1</v>
      </c>
    </row>
  </sheetData>
  <autoFilter ref="B3:AFL97" xr:uid="{57F3DAE9-04EC-45CB-8F13-465D1726871D}">
    <sortState ref="B59:AFL59">
      <sortCondition descending="1" ref="C3:C92"/>
    </sortState>
  </autoFilter>
  <sortState ref="B3:AFL97">
    <sortCondition ref="C3:C97"/>
  </sortState>
  <pageMargins left="0.70866141732283472" right="0.70866141732283472" top="0.74803149606299213" bottom="0.74803149606299213" header="0.31496062992125984" footer="0.31496062992125984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pageSetUpPr fitToPage="1"/>
  </sheetPr>
  <dimension ref="A1:XFD110"/>
  <sheetViews>
    <sheetView showGridLines="0" zoomScale="80" zoomScaleNormal="80" workbookViewId="0">
      <pane xSplit="8" ySplit="3" topLeftCell="AQ4" activePane="bottomRight" state="frozen"/>
      <selection activeCell="B62" sqref="B62"/>
      <selection pane="topRight" activeCell="B62" sqref="B62"/>
      <selection pane="bottomLeft" activeCell="B62" sqref="B62"/>
      <selection pane="bottomRight" activeCell="B3" sqref="B3"/>
    </sheetView>
  </sheetViews>
  <sheetFormatPr baseColWidth="10" defaultRowHeight="14.4" x14ac:dyDescent="0.3"/>
  <cols>
    <col min="1" max="1" width="1.88671875" customWidth="1"/>
    <col min="2" max="2" width="16.6640625" style="11" customWidth="1"/>
    <col min="3" max="3" width="46.44140625" customWidth="1"/>
    <col min="4" max="4" width="10.6640625" customWidth="1"/>
    <col min="5" max="5" width="10.33203125" hidden="1" customWidth="1"/>
    <col min="6" max="6" width="9.6640625" hidden="1" customWidth="1"/>
    <col min="7" max="7" width="9.5546875" style="22" bestFit="1" customWidth="1"/>
    <col min="8" max="8" width="12.6640625" customWidth="1"/>
    <col min="9" max="9" width="11.5546875" style="11" hidden="1" customWidth="1"/>
    <col min="10" max="10" width="13" style="11" hidden="1" customWidth="1"/>
    <col min="11" max="11" width="12.33203125" style="11" hidden="1" customWidth="1"/>
    <col min="12" max="12" width="13.33203125" style="11" hidden="1" customWidth="1"/>
    <col min="13" max="13" width="12.6640625" style="11" hidden="1" customWidth="1"/>
    <col min="14" max="14" width="10.109375" style="11" hidden="1" customWidth="1"/>
    <col min="15" max="15" width="13.6640625" style="11" hidden="1" customWidth="1"/>
    <col min="16" max="16" width="11.5546875" style="11" hidden="1" customWidth="1"/>
    <col min="17" max="17" width="13" style="11" hidden="1" customWidth="1"/>
    <col min="18" max="18" width="13.33203125" style="11" hidden="1" customWidth="1"/>
    <col min="19" max="19" width="10.109375" style="11" hidden="1" customWidth="1"/>
    <col min="20" max="20" width="12.6640625" style="11" hidden="1" customWidth="1"/>
    <col min="21" max="21" width="12.33203125" style="11" hidden="1" customWidth="1"/>
    <col min="22" max="22" width="13" style="11" hidden="1" customWidth="1"/>
    <col min="23" max="23" width="13.33203125" style="11" hidden="1" customWidth="1"/>
    <col min="24" max="24" width="13.6640625" style="11" hidden="1" customWidth="1"/>
    <col min="25" max="25" width="11.5546875" style="11" hidden="1" customWidth="1"/>
    <col min="26" max="26" width="10.109375" style="11" hidden="1" customWidth="1"/>
    <col min="27" max="27" width="12.33203125" style="11" hidden="1" customWidth="1"/>
    <col min="28" max="28" width="13.5546875" style="11" hidden="1" customWidth="1"/>
    <col min="29" max="29" width="12.88671875" style="11" hidden="1" customWidth="1"/>
    <col min="30" max="30" width="12.6640625" style="11" hidden="1" customWidth="1"/>
    <col min="31" max="31" width="13" style="11" hidden="1" customWidth="1"/>
    <col min="32" max="32" width="11.44140625" style="11" hidden="1" customWidth="1"/>
    <col min="33" max="33" width="12.33203125" style="11" hidden="1" customWidth="1"/>
    <col min="34" max="34" width="13.5546875" style="11" hidden="1" customWidth="1"/>
    <col min="35" max="36" width="10.109375" style="11" hidden="1" customWidth="1"/>
    <col min="37" max="38" width="13.33203125" style="11" hidden="1" customWidth="1"/>
    <col min="39" max="39" width="12.33203125" style="11" hidden="1" customWidth="1"/>
    <col min="40" max="40" width="11.5546875" style="11" hidden="1" customWidth="1"/>
    <col min="41" max="42" width="14.33203125" style="11" hidden="1" customWidth="1"/>
    <col min="43" max="43" width="16.33203125" customWidth="1"/>
    <col min="44" max="44" width="12.6640625" style="31" hidden="1" customWidth="1"/>
    <col min="45" max="45" width="20" style="30" hidden="1" customWidth="1"/>
    <col min="46" max="46" width="14.33203125" style="11" hidden="1" customWidth="1"/>
    <col min="47" max="47" width="17.6640625" style="4" bestFit="1" customWidth="1"/>
    <col min="48" max="48" width="17.6640625" style="11" hidden="1" customWidth="1"/>
    <col min="49" max="49" width="23.33203125" style="11" hidden="1" customWidth="1"/>
    <col min="50" max="50" width="43.88671875" style="11" customWidth="1"/>
    <col min="51" max="51" width="14" bestFit="1" customWidth="1"/>
    <col min="52" max="52" width="19.44140625" customWidth="1"/>
    <col min="53" max="53" width="17.5546875" customWidth="1"/>
    <col min="54" max="54" width="97.6640625" style="11" customWidth="1"/>
  </cols>
  <sheetData>
    <row r="1" spans="1:54" x14ac:dyDescent="0.3">
      <c r="A1" s="11"/>
      <c r="C1" s="11"/>
      <c r="D1" s="11"/>
    </row>
    <row r="2" spans="1:54" ht="15" thickBot="1" x14ac:dyDescent="0.35">
      <c r="AZ2" s="11"/>
    </row>
    <row r="3" spans="1:54" ht="29.4" thickBot="1" x14ac:dyDescent="0.35">
      <c r="B3" s="8" t="s">
        <v>180</v>
      </c>
      <c r="C3" s="8" t="s">
        <v>0</v>
      </c>
      <c r="D3" s="8" t="s">
        <v>6</v>
      </c>
      <c r="E3" s="49" t="s">
        <v>8</v>
      </c>
      <c r="F3" s="8" t="s">
        <v>9</v>
      </c>
      <c r="G3" s="8" t="s">
        <v>32</v>
      </c>
      <c r="H3" s="8" t="s">
        <v>14</v>
      </c>
      <c r="I3" s="59" t="s">
        <v>19</v>
      </c>
      <c r="J3" s="92" t="s">
        <v>20</v>
      </c>
      <c r="K3" s="57" t="s">
        <v>21</v>
      </c>
      <c r="L3" s="93" t="s">
        <v>22</v>
      </c>
      <c r="M3" s="94" t="s">
        <v>25</v>
      </c>
      <c r="N3" s="8" t="s">
        <v>23</v>
      </c>
      <c r="O3" s="95" t="s">
        <v>24</v>
      </c>
      <c r="P3" s="59" t="s">
        <v>19</v>
      </c>
      <c r="Q3" s="92" t="s">
        <v>20</v>
      </c>
      <c r="R3" s="56" t="s">
        <v>22</v>
      </c>
      <c r="S3" s="38" t="s">
        <v>23</v>
      </c>
      <c r="T3" s="96" t="s">
        <v>25</v>
      </c>
      <c r="U3" s="57" t="s">
        <v>21</v>
      </c>
      <c r="V3" s="92" t="s">
        <v>20</v>
      </c>
      <c r="W3" s="56" t="s">
        <v>22</v>
      </c>
      <c r="X3" s="95" t="s">
        <v>24</v>
      </c>
      <c r="Y3" s="59" t="s">
        <v>19</v>
      </c>
      <c r="Z3" s="38" t="s">
        <v>28</v>
      </c>
      <c r="AA3" s="57" t="s">
        <v>21</v>
      </c>
      <c r="AB3" s="95" t="s">
        <v>36</v>
      </c>
      <c r="AC3" s="95" t="s">
        <v>37</v>
      </c>
      <c r="AD3" s="97" t="s">
        <v>1002</v>
      </c>
      <c r="AE3" s="55" t="s">
        <v>38</v>
      </c>
      <c r="AF3" s="59" t="s">
        <v>39</v>
      </c>
      <c r="AG3" s="57" t="s">
        <v>21</v>
      </c>
      <c r="AH3" s="95" t="s">
        <v>36</v>
      </c>
      <c r="AI3" s="38" t="s">
        <v>23</v>
      </c>
      <c r="AJ3" s="38" t="s">
        <v>23</v>
      </c>
      <c r="AK3" s="56" t="s">
        <v>22</v>
      </c>
      <c r="AL3" s="55" t="s">
        <v>20</v>
      </c>
      <c r="AM3" s="57" t="s">
        <v>21</v>
      </c>
      <c r="AN3" s="59" t="s">
        <v>39</v>
      </c>
      <c r="AO3" s="82" t="s">
        <v>24</v>
      </c>
      <c r="AP3" s="103" t="s">
        <v>1178</v>
      </c>
      <c r="AQ3" s="8" t="s">
        <v>15</v>
      </c>
      <c r="AR3" s="98" t="s">
        <v>30</v>
      </c>
      <c r="AS3" s="99" t="s">
        <v>29</v>
      </c>
      <c r="AT3" s="8" t="s">
        <v>31</v>
      </c>
      <c r="AU3" s="8" t="s">
        <v>16</v>
      </c>
      <c r="AV3" s="8" t="s">
        <v>911</v>
      </c>
      <c r="AW3" s="8" t="s">
        <v>1003</v>
      </c>
      <c r="AX3" s="8" t="s">
        <v>1179</v>
      </c>
      <c r="AY3" s="8" t="s">
        <v>10</v>
      </c>
      <c r="AZ3" s="8" t="s">
        <v>179</v>
      </c>
      <c r="BA3" s="8" t="s">
        <v>932</v>
      </c>
      <c r="BB3" s="8" t="s">
        <v>913</v>
      </c>
    </row>
    <row r="4" spans="1:54" s="11" customFormat="1" ht="15" customHeight="1" x14ac:dyDescent="0.3">
      <c r="B4" s="63">
        <v>45312905</v>
      </c>
      <c r="C4" s="62" t="s">
        <v>53</v>
      </c>
      <c r="D4" s="71" t="s">
        <v>3</v>
      </c>
      <c r="E4" s="9">
        <f>+VLOOKUP(B4,'Recepcion de Producto'!$B$4:LF97,317,0)</f>
        <v>109216</v>
      </c>
      <c r="F4" s="9">
        <f>+VLOOKUP(B4,'Salida de Producto'!$B$3:AFL97,843,0)</f>
        <v>90894</v>
      </c>
      <c r="G4" s="61" t="s">
        <v>34</v>
      </c>
      <c r="H4" s="69">
        <f t="shared" ref="H4:H35" si="0">E4-F4</f>
        <v>18322</v>
      </c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12">
        <f>2*77+15*77+42+16*77</f>
        <v>2583</v>
      </c>
      <c r="AI4" s="88">
        <f>9*77+66+13*77</f>
        <v>1760</v>
      </c>
      <c r="AJ4" s="69"/>
      <c r="AK4" s="88">
        <f>16*77+6*77+63</f>
        <v>1757</v>
      </c>
      <c r="AL4" s="88">
        <f>16*77+16*77+77+12*77+46</f>
        <v>3511</v>
      </c>
      <c r="AM4" s="12">
        <f>16*77+16*77+16*77+16*77+77+21+26*77</f>
        <v>7028</v>
      </c>
      <c r="AN4" s="88">
        <f>16*77+6*77+66</f>
        <v>1760</v>
      </c>
      <c r="AO4" s="69"/>
      <c r="AP4" s="69"/>
      <c r="AQ4" s="69">
        <f>SUM(I4:AP4)</f>
        <v>18399</v>
      </c>
      <c r="AR4" s="100">
        <v>1.2E-2</v>
      </c>
      <c r="AS4" s="101">
        <f>AQ4*AR4</f>
        <v>220.78800000000001</v>
      </c>
      <c r="AT4" s="102">
        <f t="shared" ref="AT4:AT50" si="1">AS4/1.124</f>
        <v>196.4306049822064</v>
      </c>
      <c r="AU4" s="46"/>
      <c r="AV4" s="46">
        <f>IFERROR(VLOOKUP(B4,'Inventario Profit'!$A$2:$G$235,7,0),0)</f>
        <v>0</v>
      </c>
      <c r="AW4" s="46">
        <f t="shared" ref="AW4" si="2">+AV4-AU4</f>
        <v>0</v>
      </c>
      <c r="AX4" s="9"/>
      <c r="AY4" s="2">
        <f t="shared" ref="AY4" si="3">AQ4+AU4-H4</f>
        <v>77</v>
      </c>
      <c r="AZ4" s="2">
        <f>IFERROR(VLOOKUP(B4,'Inventario Profit'!$A$2:$I$230,9,0),0)</f>
        <v>18399</v>
      </c>
      <c r="BA4" s="2">
        <f t="shared" ref="BA4" si="4">AZ4-AQ4-AU4</f>
        <v>0</v>
      </c>
      <c r="BB4" s="60"/>
    </row>
    <row r="5" spans="1:54" s="11" customFormat="1" ht="15" hidden="1" customHeight="1" x14ac:dyDescent="0.3">
      <c r="B5" s="91">
        <v>44774905</v>
      </c>
      <c r="C5" s="20" t="s">
        <v>55</v>
      </c>
      <c r="D5" s="71" t="s">
        <v>3</v>
      </c>
      <c r="E5" s="9">
        <f>+VLOOKUP(B5,'Recepcion de Producto'!$B$4:LF98,317,0)</f>
        <v>5281</v>
      </c>
      <c r="F5" s="9">
        <f>+VLOOKUP(B5,'Salida de Producto'!$B$3:AFL98,843,0)</f>
        <v>4449</v>
      </c>
      <c r="G5" s="81" t="s">
        <v>35</v>
      </c>
      <c r="H5" s="69">
        <f t="shared" si="0"/>
        <v>832</v>
      </c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12">
        <f>10*77+62</f>
        <v>832</v>
      </c>
      <c r="AO5" s="69"/>
      <c r="AP5" s="69"/>
      <c r="AQ5" s="69">
        <f t="shared" ref="AQ5:AQ71" si="5">SUM(I5:AP5)</f>
        <v>832</v>
      </c>
      <c r="AR5" s="69">
        <v>1.2E-2</v>
      </c>
      <c r="AS5" s="102">
        <f t="shared" ref="AS5:AS16" si="6">AR5*AQ5</f>
        <v>9.984</v>
      </c>
      <c r="AT5" s="102">
        <f t="shared" si="1"/>
        <v>8.882562277580071</v>
      </c>
      <c r="AU5" s="46"/>
      <c r="AV5" s="46">
        <f>IFERROR(VLOOKUP(B5,'Inventario Profit'!$A$2:$G$235,7,0),0)</f>
        <v>0</v>
      </c>
      <c r="AW5" s="46">
        <f t="shared" ref="AW5:AW51" si="7">+AV5-AU5</f>
        <v>0</v>
      </c>
      <c r="AX5" s="9"/>
      <c r="AY5" s="2">
        <f t="shared" ref="AY5:AY51" si="8">AQ5+AU5-H5</f>
        <v>0</v>
      </c>
      <c r="AZ5" s="2">
        <f>IFERROR(VLOOKUP(B5,'Inventario Profit'!$A$2:$I$230,9,0),0)</f>
        <v>832</v>
      </c>
      <c r="BA5" s="2">
        <f t="shared" ref="BA5:BA51" si="9">AZ5-AQ5-AU5</f>
        <v>0</v>
      </c>
      <c r="BB5" s="2"/>
    </row>
    <row r="6" spans="1:54" s="4" customFormat="1" ht="15" hidden="1" customHeight="1" x14ac:dyDescent="0.3">
      <c r="B6" s="42">
        <v>550059865</v>
      </c>
      <c r="C6" s="13" t="s">
        <v>992</v>
      </c>
      <c r="D6" s="71" t="s">
        <v>2</v>
      </c>
      <c r="E6" s="9">
        <f>+VLOOKUP(B6,'Recepcion de Producto'!$B$4:LF99,317,0)</f>
        <v>1662</v>
      </c>
      <c r="F6" s="9">
        <f>+VLOOKUP(B6,'Salida de Producto'!$B$3:AFL99,843,0)</f>
        <v>0</v>
      </c>
      <c r="G6" s="68" t="s">
        <v>35</v>
      </c>
      <c r="H6" s="69">
        <f t="shared" si="0"/>
        <v>1662</v>
      </c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88">
        <f>9*175+87</f>
        <v>1662</v>
      </c>
      <c r="AO6" s="69"/>
      <c r="AP6" s="69"/>
      <c r="AQ6" s="69">
        <f t="shared" si="5"/>
        <v>1662</v>
      </c>
      <c r="AR6" s="100">
        <v>6.0000000000000001E-3</v>
      </c>
      <c r="AS6" s="102">
        <f t="shared" si="6"/>
        <v>9.9719999999999995</v>
      </c>
      <c r="AT6" s="102">
        <f t="shared" si="1"/>
        <v>8.8718861209964395</v>
      </c>
      <c r="AU6" s="46"/>
      <c r="AV6" s="46">
        <f>IFERROR(VLOOKUP(B6,'Inventario Profit'!$A$2:$G$235,7,0),0)</f>
        <v>0</v>
      </c>
      <c r="AW6" s="46">
        <f t="shared" si="7"/>
        <v>0</v>
      </c>
      <c r="AX6" s="112"/>
      <c r="AY6" s="2">
        <f t="shared" si="8"/>
        <v>0</v>
      </c>
      <c r="AZ6" s="2">
        <f>IFERROR(VLOOKUP(B6,'Inventario Profit'!$A$2:$I$230,9,0),0)</f>
        <v>1662</v>
      </c>
      <c r="BA6" s="2">
        <f t="shared" si="9"/>
        <v>0</v>
      </c>
      <c r="BB6" s="2"/>
    </row>
    <row r="7" spans="1:54" s="4" customFormat="1" ht="15" hidden="1" customHeight="1" x14ac:dyDescent="0.3">
      <c r="B7" s="42">
        <v>550053587</v>
      </c>
      <c r="C7" s="20" t="s">
        <v>971</v>
      </c>
      <c r="D7" s="71" t="s">
        <v>3</v>
      </c>
      <c r="E7" s="9">
        <f>+VLOOKUP(B7,'Recepcion de Producto'!$B$4:LF100,317,0)</f>
        <v>1676</v>
      </c>
      <c r="F7" s="9">
        <f>+VLOOKUP(B7,'Salida de Producto'!$B$3:AFL100,843,0)</f>
        <v>0</v>
      </c>
      <c r="G7" s="68" t="s">
        <v>35</v>
      </c>
      <c r="H7" s="69">
        <f t="shared" si="0"/>
        <v>1676</v>
      </c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88">
        <f>6*77+15*77+45</f>
        <v>1662</v>
      </c>
      <c r="AO7" s="69"/>
      <c r="AP7" s="69"/>
      <c r="AQ7" s="69">
        <f t="shared" si="5"/>
        <v>1662</v>
      </c>
      <c r="AR7" s="100">
        <v>1.2E-2</v>
      </c>
      <c r="AS7" s="102">
        <f t="shared" si="6"/>
        <v>19.943999999999999</v>
      </c>
      <c r="AT7" s="102">
        <f t="shared" si="1"/>
        <v>17.743772241992879</v>
      </c>
      <c r="AU7" s="46">
        <v>14</v>
      </c>
      <c r="AV7" s="46">
        <f>IFERROR(VLOOKUP(B7,'Inventario Profit'!$A$2:$G$235,7,0),0)</f>
        <v>14</v>
      </c>
      <c r="AW7" s="46">
        <f t="shared" si="7"/>
        <v>0</v>
      </c>
      <c r="AX7" s="9" t="s">
        <v>1180</v>
      </c>
      <c r="AY7" s="2">
        <f t="shared" si="8"/>
        <v>0</v>
      </c>
      <c r="AZ7" s="2">
        <f>IFERROR(VLOOKUP(B7,'Inventario Profit'!$A$2:$I$230,9,0),0)</f>
        <v>1676</v>
      </c>
      <c r="BA7" s="2">
        <f t="shared" si="9"/>
        <v>0</v>
      </c>
      <c r="BB7" s="2"/>
    </row>
    <row r="8" spans="1:54" s="4" customFormat="1" ht="15" hidden="1" customHeight="1" x14ac:dyDescent="0.3">
      <c r="B8" s="42">
        <v>550059866</v>
      </c>
      <c r="C8" s="13" t="s">
        <v>993</v>
      </c>
      <c r="D8" s="71" t="s">
        <v>2</v>
      </c>
      <c r="E8" s="9">
        <f>+VLOOKUP(B8,'Recepcion de Producto'!$B$4:LF101,317,0)</f>
        <v>1665</v>
      </c>
      <c r="F8" s="9">
        <f>+VLOOKUP(B8,'Salida de Producto'!$B$3:AFL101,843,0)</f>
        <v>1577</v>
      </c>
      <c r="G8" s="68" t="s">
        <v>35</v>
      </c>
      <c r="H8" s="69">
        <f t="shared" si="0"/>
        <v>88</v>
      </c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88">
        <v>88</v>
      </c>
      <c r="AO8" s="69"/>
      <c r="AP8" s="69"/>
      <c r="AQ8" s="69">
        <f t="shared" si="5"/>
        <v>88</v>
      </c>
      <c r="AR8" s="100">
        <v>6.0000000000000001E-3</v>
      </c>
      <c r="AS8" s="102">
        <f t="shared" si="6"/>
        <v>0.52800000000000002</v>
      </c>
      <c r="AT8" s="102">
        <f t="shared" si="1"/>
        <v>0.46975088967971529</v>
      </c>
      <c r="AU8" s="46"/>
      <c r="AV8" s="46">
        <f>IFERROR(VLOOKUP(B8,'Inventario Profit'!$A$2:$G$235,7,0),0)</f>
        <v>0</v>
      </c>
      <c r="AW8" s="46">
        <f t="shared" si="7"/>
        <v>0</v>
      </c>
      <c r="AX8" s="9"/>
      <c r="AY8" s="2">
        <f t="shared" si="8"/>
        <v>0</v>
      </c>
      <c r="AZ8" s="2">
        <f>IFERROR(VLOOKUP(B8,'Inventario Profit'!$A$2:$I$230,9,0),0)</f>
        <v>88</v>
      </c>
      <c r="BA8" s="2">
        <f t="shared" si="9"/>
        <v>0</v>
      </c>
      <c r="BB8" s="2"/>
    </row>
    <row r="9" spans="1:54" s="4" customFormat="1" ht="15" hidden="1" customHeight="1" x14ac:dyDescent="0.3">
      <c r="B9" s="42">
        <v>550052774</v>
      </c>
      <c r="C9" s="20" t="s">
        <v>57</v>
      </c>
      <c r="D9" s="71" t="s">
        <v>18</v>
      </c>
      <c r="E9" s="9">
        <f>+VLOOKUP(B9,'Recepcion de Producto'!$B$4:LF102,317,0)</f>
        <v>76</v>
      </c>
      <c r="F9" s="9">
        <f>+VLOOKUP(B9,'Salida de Producto'!$B$3:AFL102,843,0)</f>
        <v>59</v>
      </c>
      <c r="G9" s="68" t="s">
        <v>35</v>
      </c>
      <c r="H9" s="69">
        <f t="shared" si="0"/>
        <v>17</v>
      </c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12">
        <f>1+2*4</f>
        <v>9</v>
      </c>
      <c r="AA9" s="69"/>
      <c r="AB9" s="12">
        <v>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>
        <f t="shared" si="5"/>
        <v>16</v>
      </c>
      <c r="AR9" s="69">
        <v>0.20799999999999999</v>
      </c>
      <c r="AS9" s="102">
        <f t="shared" si="6"/>
        <v>3.3279999999999998</v>
      </c>
      <c r="AT9" s="102">
        <f t="shared" si="1"/>
        <v>2.9608540925266902</v>
      </c>
      <c r="AU9" s="46">
        <v>1</v>
      </c>
      <c r="AV9" s="46">
        <f>IFERROR(VLOOKUP(B9,'Inventario Profit'!$A$2:$G$235,7,0),0)</f>
        <v>1</v>
      </c>
      <c r="AW9" s="46">
        <f t="shared" si="7"/>
        <v>0</v>
      </c>
      <c r="AX9" s="9" t="s">
        <v>1182</v>
      </c>
      <c r="AY9" s="2">
        <f t="shared" si="8"/>
        <v>0</v>
      </c>
      <c r="AZ9" s="2">
        <f>IFERROR(VLOOKUP(B9,'Inventario Profit'!$A$2:$I$230,9,0),0)</f>
        <v>17</v>
      </c>
      <c r="BA9" s="2">
        <f t="shared" si="9"/>
        <v>0</v>
      </c>
      <c r="BB9" s="2"/>
    </row>
    <row r="10" spans="1:54" s="11" customFormat="1" ht="15" hidden="1" customHeight="1" x14ac:dyDescent="0.3">
      <c r="B10" s="91">
        <v>550052775</v>
      </c>
      <c r="C10" s="20" t="s">
        <v>59</v>
      </c>
      <c r="D10" s="71" t="s">
        <v>18</v>
      </c>
      <c r="E10" s="9">
        <f>+VLOOKUP(B10,'Recepcion de Producto'!$B$4:LF103,317,0)</f>
        <v>92</v>
      </c>
      <c r="F10" s="9">
        <f>+VLOOKUP(B10,'Salida de Producto'!$B$3:AFL103,843,0)</f>
        <v>62</v>
      </c>
      <c r="G10" s="68" t="s">
        <v>35</v>
      </c>
      <c r="H10" s="69">
        <f t="shared" si="0"/>
        <v>30</v>
      </c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12">
        <f>7*4+1</f>
        <v>29</v>
      </c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>
        <f t="shared" si="5"/>
        <v>29</v>
      </c>
      <c r="AR10" s="69">
        <v>0.20799999999999999</v>
      </c>
      <c r="AS10" s="102">
        <f t="shared" si="6"/>
        <v>6.032</v>
      </c>
      <c r="AT10" s="102">
        <f t="shared" si="1"/>
        <v>5.3665480427046255</v>
      </c>
      <c r="AU10" s="46">
        <v>1</v>
      </c>
      <c r="AV10" s="46">
        <f>IFERROR(VLOOKUP(B10,'Inventario Profit'!$A$2:$G$235,7,0),0)</f>
        <v>1</v>
      </c>
      <c r="AW10" s="46">
        <f t="shared" si="7"/>
        <v>0</v>
      </c>
      <c r="AX10" s="9" t="s">
        <v>1182</v>
      </c>
      <c r="AY10" s="2">
        <f t="shared" si="8"/>
        <v>0</v>
      </c>
      <c r="AZ10" s="2">
        <f>IFERROR(VLOOKUP(B10,'Inventario Profit'!$A$2:$I$230,9,0),0)</f>
        <v>30</v>
      </c>
      <c r="BA10" s="2">
        <f t="shared" si="9"/>
        <v>0</v>
      </c>
      <c r="BB10" s="2"/>
    </row>
    <row r="11" spans="1:54" s="11" customFormat="1" ht="15" hidden="1" customHeight="1" x14ac:dyDescent="0.3">
      <c r="B11" s="42">
        <v>550054547</v>
      </c>
      <c r="C11" s="20" t="s">
        <v>61</v>
      </c>
      <c r="D11" s="71" t="s">
        <v>18</v>
      </c>
      <c r="E11" s="9">
        <f>+VLOOKUP(B11,'Recepcion de Producto'!$B$4:LF104,317,0)</f>
        <v>176</v>
      </c>
      <c r="F11" s="9">
        <f>+VLOOKUP(B11,'Salida de Producto'!$B$3:AFL104,843,0)</f>
        <v>39</v>
      </c>
      <c r="G11" s="68" t="s">
        <v>35</v>
      </c>
      <c r="H11" s="69">
        <f t="shared" si="0"/>
        <v>137</v>
      </c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88">
        <f>9*4+1</f>
        <v>37</v>
      </c>
      <c r="U11" s="69"/>
      <c r="V11" s="69"/>
      <c r="W11" s="69"/>
      <c r="X11" s="69"/>
      <c r="Y11" s="69"/>
      <c r="Z11" s="88"/>
      <c r="AA11" s="69"/>
      <c r="AB11" s="88">
        <f>24*4</f>
        <v>96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>
        <f t="shared" si="5"/>
        <v>133</v>
      </c>
      <c r="AR11" s="69">
        <v>0.20799999999999999</v>
      </c>
      <c r="AS11" s="102">
        <f t="shared" si="6"/>
        <v>27.663999999999998</v>
      </c>
      <c r="AT11" s="102">
        <f t="shared" si="1"/>
        <v>24.612099644128108</v>
      </c>
      <c r="AU11" s="46">
        <f>1+3</f>
        <v>4</v>
      </c>
      <c r="AV11" s="46">
        <f>IFERROR(VLOOKUP(B11,'Inventario Profit'!$A$2:$G$235,7,0),0)</f>
        <v>4</v>
      </c>
      <c r="AW11" s="46">
        <f t="shared" si="7"/>
        <v>0</v>
      </c>
      <c r="AX11" s="9" t="s">
        <v>1223</v>
      </c>
      <c r="AY11" s="2">
        <f t="shared" si="8"/>
        <v>0</v>
      </c>
      <c r="AZ11" s="2">
        <f>IFERROR(VLOOKUP(B11,'Inventario Profit'!$A$2:$I$230,9,0),0)</f>
        <v>137</v>
      </c>
      <c r="BA11" s="2">
        <f t="shared" si="9"/>
        <v>0</v>
      </c>
      <c r="BB11" s="2"/>
    </row>
    <row r="12" spans="1:54" ht="15" hidden="1" customHeight="1" x14ac:dyDescent="0.3">
      <c r="B12" s="42">
        <v>550047079</v>
      </c>
      <c r="C12" s="20" t="s">
        <v>63</v>
      </c>
      <c r="D12" s="71" t="s">
        <v>18</v>
      </c>
      <c r="E12" s="9">
        <f>+VLOOKUP(B12,'Recepcion de Producto'!$B$4:LF105,317,0)</f>
        <v>48</v>
      </c>
      <c r="F12" s="9">
        <f>+VLOOKUP(B12,'Salida de Producto'!$B$3:AFL105,843,0)</f>
        <v>26</v>
      </c>
      <c r="G12" s="68" t="s">
        <v>35</v>
      </c>
      <c r="H12" s="69">
        <f t="shared" si="0"/>
        <v>22</v>
      </c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12">
        <f>1+4*4+2</f>
        <v>19</v>
      </c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>
        <f t="shared" si="5"/>
        <v>19</v>
      </c>
      <c r="AR12" s="69">
        <v>0.20799999999999999</v>
      </c>
      <c r="AS12" s="102">
        <f t="shared" si="6"/>
        <v>3.952</v>
      </c>
      <c r="AT12" s="102">
        <f t="shared" si="1"/>
        <v>3.5160142348754446</v>
      </c>
      <c r="AU12" s="46">
        <f>1+2</f>
        <v>3</v>
      </c>
      <c r="AV12" s="46">
        <f>IFERROR(VLOOKUP(B12,'Inventario Profit'!$A$2:$G$235,7,0),0)</f>
        <v>3</v>
      </c>
      <c r="AW12" s="46">
        <f t="shared" si="7"/>
        <v>0</v>
      </c>
      <c r="AX12" s="112" t="s">
        <v>1182</v>
      </c>
      <c r="AY12" s="2">
        <f t="shared" si="8"/>
        <v>0</v>
      </c>
      <c r="AZ12" s="2">
        <f>IFERROR(VLOOKUP(B12,'Inventario Profit'!$A$2:$I$230,9,0),0)</f>
        <v>22</v>
      </c>
      <c r="BA12" s="2">
        <f t="shared" si="9"/>
        <v>0</v>
      </c>
      <c r="BB12" s="2"/>
    </row>
    <row r="13" spans="1:54" ht="15" hidden="1" customHeight="1" x14ac:dyDescent="0.3">
      <c r="B13" s="42">
        <v>550022409</v>
      </c>
      <c r="C13" s="13" t="s">
        <v>989</v>
      </c>
      <c r="D13" s="71" t="s">
        <v>905</v>
      </c>
      <c r="E13" s="9">
        <f>+VLOOKUP(B13,'Recepcion de Producto'!$B$4:LF106,317,0)</f>
        <v>96</v>
      </c>
      <c r="F13" s="9">
        <f>+VLOOKUP(B13,'Salida de Producto'!$B$3:AFL106,843,0)</f>
        <v>2</v>
      </c>
      <c r="G13" s="68" t="s">
        <v>35</v>
      </c>
      <c r="H13" s="69">
        <f t="shared" si="0"/>
        <v>94</v>
      </c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88">
        <f>23*4</f>
        <v>92</v>
      </c>
      <c r="AO13" s="69"/>
      <c r="AP13" s="69"/>
      <c r="AQ13" s="69">
        <f t="shared" si="5"/>
        <v>92</v>
      </c>
      <c r="AR13" s="100">
        <v>0.20899999999999999</v>
      </c>
      <c r="AS13" s="102">
        <f t="shared" si="6"/>
        <v>19.227999999999998</v>
      </c>
      <c r="AT13" s="102">
        <f t="shared" si="1"/>
        <v>17.106761565836294</v>
      </c>
      <c r="AU13" s="46">
        <v>2</v>
      </c>
      <c r="AV13" s="46">
        <f>IFERROR(VLOOKUP(B13,'Inventario Profit'!$A$2:$G$235,7,0),0)</f>
        <v>2</v>
      </c>
      <c r="AW13" s="46">
        <f t="shared" si="7"/>
        <v>0</v>
      </c>
      <c r="AX13" s="9" t="s">
        <v>1182</v>
      </c>
      <c r="AY13" s="2">
        <f t="shared" si="8"/>
        <v>0</v>
      </c>
      <c r="AZ13" s="2">
        <f>IFERROR(VLOOKUP(B13,'Inventario Profit'!$A$2:$I$230,9,0),0)</f>
        <v>94</v>
      </c>
      <c r="BA13" s="2">
        <f t="shared" si="9"/>
        <v>0</v>
      </c>
      <c r="BB13" s="2"/>
    </row>
    <row r="14" spans="1:54" s="11" customFormat="1" ht="15" hidden="1" customHeight="1" x14ac:dyDescent="0.3">
      <c r="B14" s="42">
        <v>550014136</v>
      </c>
      <c r="C14" s="20" t="s">
        <v>65</v>
      </c>
      <c r="D14" s="71" t="s">
        <v>905</v>
      </c>
      <c r="E14" s="9">
        <f>+VLOOKUP(B14,'Recepcion de Producto'!$B$4:LF107,317,0)</f>
        <v>56</v>
      </c>
      <c r="F14" s="9">
        <f>+VLOOKUP(B14,'Salida de Producto'!$B$3:AFL107,843,0)</f>
        <v>56</v>
      </c>
      <c r="G14" s="68" t="s">
        <v>35</v>
      </c>
      <c r="H14" s="69">
        <f t="shared" si="0"/>
        <v>0</v>
      </c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>
        <f t="shared" si="5"/>
        <v>0</v>
      </c>
      <c r="AR14" s="69">
        <v>0.20799999999999999</v>
      </c>
      <c r="AS14" s="102">
        <f t="shared" si="6"/>
        <v>0</v>
      </c>
      <c r="AT14" s="102">
        <f t="shared" si="1"/>
        <v>0</v>
      </c>
      <c r="AU14" s="46"/>
      <c r="AV14" s="46">
        <f>IFERROR(VLOOKUP(B14,'Inventario Profit'!$A$2:$G$235,7,0),0)</f>
        <v>0</v>
      </c>
      <c r="AW14" s="46">
        <f t="shared" si="7"/>
        <v>0</v>
      </c>
      <c r="AX14" s="9"/>
      <c r="AY14" s="2">
        <f t="shared" si="8"/>
        <v>0</v>
      </c>
      <c r="AZ14" s="2">
        <f>IFERROR(VLOOKUP(B14,'Inventario Profit'!$A$2:$I$230,9,0),0)</f>
        <v>0</v>
      </c>
      <c r="BA14" s="2">
        <f t="shared" si="9"/>
        <v>0</v>
      </c>
      <c r="BB14" s="2"/>
    </row>
    <row r="15" spans="1:54" s="11" customFormat="1" ht="15" hidden="1" customHeight="1" x14ac:dyDescent="0.3">
      <c r="B15" s="42">
        <v>550026301</v>
      </c>
      <c r="C15" s="20" t="s">
        <v>986</v>
      </c>
      <c r="D15" s="71" t="s">
        <v>987</v>
      </c>
      <c r="E15" s="9">
        <f>+VLOOKUP(B15,'Recepcion de Producto'!$B$4:LF108,317,0)</f>
        <v>25</v>
      </c>
      <c r="F15" s="9">
        <f>+VLOOKUP(B15,'Salida de Producto'!$B$3:AFL108,843,0)</f>
        <v>0</v>
      </c>
      <c r="G15" s="68" t="s">
        <v>35</v>
      </c>
      <c r="H15" s="69">
        <f t="shared" si="0"/>
        <v>25</v>
      </c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88">
        <v>25</v>
      </c>
      <c r="AO15" s="69"/>
      <c r="AP15" s="69"/>
      <c r="AQ15" s="69">
        <f t="shared" si="5"/>
        <v>25</v>
      </c>
      <c r="AR15" s="100">
        <v>1.9E-2</v>
      </c>
      <c r="AS15" s="102">
        <f t="shared" si="6"/>
        <v>0.47499999999999998</v>
      </c>
      <c r="AT15" s="102">
        <f t="shared" si="1"/>
        <v>0.42259786476868322</v>
      </c>
      <c r="AU15" s="46"/>
      <c r="AV15" s="46">
        <f>IFERROR(VLOOKUP(B15,'Inventario Profit'!$A$2:$G$235,7,0),0)</f>
        <v>0</v>
      </c>
      <c r="AW15" s="46">
        <f t="shared" si="7"/>
        <v>0</v>
      </c>
      <c r="AX15" s="9"/>
      <c r="AY15" s="2">
        <f t="shared" si="8"/>
        <v>0</v>
      </c>
      <c r="AZ15" s="2">
        <f>IFERROR(VLOOKUP(B15,'Inventario Profit'!$A$2:$I$230,9,0),0)</f>
        <v>25</v>
      </c>
      <c r="BA15" s="2">
        <f t="shared" si="9"/>
        <v>0</v>
      </c>
      <c r="BB15" s="2"/>
    </row>
    <row r="16" spans="1:54" s="11" customFormat="1" ht="15" hidden="1" customHeight="1" x14ac:dyDescent="0.3">
      <c r="B16" s="42">
        <v>550027265</v>
      </c>
      <c r="C16" s="20" t="s">
        <v>67</v>
      </c>
      <c r="D16" s="71" t="s">
        <v>4</v>
      </c>
      <c r="E16" s="9">
        <f>+VLOOKUP(B16,'Recepcion de Producto'!$B$4:LF109,317,0)</f>
        <v>1092</v>
      </c>
      <c r="F16" s="9">
        <f>+VLOOKUP(B16,'Salida de Producto'!$B$3:AFL109,843,0)</f>
        <v>657</v>
      </c>
      <c r="G16" s="68" t="s">
        <v>35</v>
      </c>
      <c r="H16" s="69">
        <f t="shared" si="0"/>
        <v>435</v>
      </c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12">
        <v>13</v>
      </c>
      <c r="AE16" s="69"/>
      <c r="AF16" s="88">
        <f>4*42+38</f>
        <v>206</v>
      </c>
      <c r="AG16" s="69"/>
      <c r="AH16" s="69"/>
      <c r="AI16" s="69"/>
      <c r="AJ16" s="69"/>
      <c r="AK16" s="69"/>
      <c r="AL16" s="88">
        <f>4*42+39</f>
        <v>207</v>
      </c>
      <c r="AM16" s="69"/>
      <c r="AN16" s="69"/>
      <c r="AO16" s="69"/>
      <c r="AP16" s="69"/>
      <c r="AQ16" s="69">
        <f t="shared" si="5"/>
        <v>426</v>
      </c>
      <c r="AR16" s="69">
        <v>0.20799999999999999</v>
      </c>
      <c r="AS16" s="102">
        <f t="shared" si="6"/>
        <v>88.60799999999999</v>
      </c>
      <c r="AT16" s="102">
        <f t="shared" si="1"/>
        <v>78.83274021352311</v>
      </c>
      <c r="AU16" s="46">
        <f>4+5</f>
        <v>9</v>
      </c>
      <c r="AV16" s="46">
        <f>IFERROR(VLOOKUP(B16,'Inventario Profit'!$A$2:$G$235,7,0),0)</f>
        <v>9</v>
      </c>
      <c r="AW16" s="46">
        <f t="shared" si="7"/>
        <v>0</v>
      </c>
      <c r="AX16" s="112" t="s">
        <v>1183</v>
      </c>
      <c r="AY16" s="2">
        <f t="shared" si="8"/>
        <v>0</v>
      </c>
      <c r="AZ16" s="2">
        <f>IFERROR(VLOOKUP(B16,'Inventario Profit'!$A$2:$I$230,9,0),0)</f>
        <v>435</v>
      </c>
      <c r="BA16" s="2">
        <f t="shared" si="9"/>
        <v>0</v>
      </c>
      <c r="BB16" s="2"/>
    </row>
    <row r="17" spans="2:55" s="11" customFormat="1" ht="15" customHeight="1" x14ac:dyDescent="0.3">
      <c r="B17" s="42">
        <v>550026300</v>
      </c>
      <c r="C17" s="20" t="s">
        <v>69</v>
      </c>
      <c r="D17" s="71" t="s">
        <v>5</v>
      </c>
      <c r="E17" s="9">
        <f>+VLOOKUP(B17,'Recepcion de Producto'!$B$4:LF110,317,0)</f>
        <v>2646</v>
      </c>
      <c r="F17" s="9">
        <f>+VLOOKUP(B17,'Salida de Producto'!$B$3:AFL110,843,0)</f>
        <v>2294</v>
      </c>
      <c r="G17" s="68" t="s">
        <v>34</v>
      </c>
      <c r="H17" s="69">
        <f t="shared" si="0"/>
        <v>352</v>
      </c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12">
        <f>1*42+16</f>
        <v>58</v>
      </c>
      <c r="AE17" s="69"/>
      <c r="AF17" s="88">
        <f>4*42</f>
        <v>168</v>
      </c>
      <c r="AG17" s="69"/>
      <c r="AH17" s="69"/>
      <c r="AI17" s="69"/>
      <c r="AJ17" s="69"/>
      <c r="AK17" s="69"/>
      <c r="AL17" s="88">
        <f>4*42</f>
        <v>168</v>
      </c>
      <c r="AM17" s="69"/>
      <c r="AN17" s="69"/>
      <c r="AO17" s="69"/>
      <c r="AP17" s="69"/>
      <c r="AQ17" s="69">
        <f t="shared" si="5"/>
        <v>394</v>
      </c>
      <c r="AR17" s="100">
        <v>1.9E-2</v>
      </c>
      <c r="AS17" s="101">
        <f>AQ17*AR17</f>
        <v>7.4859999999999998</v>
      </c>
      <c r="AT17" s="102">
        <f t="shared" si="1"/>
        <v>6.6601423487544471</v>
      </c>
      <c r="AU17" s="46"/>
      <c r="AV17" s="46">
        <f>IFERROR(VLOOKUP(B17,'Inventario Profit'!$A$2:$G$235,7,0),0)</f>
        <v>0</v>
      </c>
      <c r="AW17" s="46">
        <f t="shared" si="7"/>
        <v>0</v>
      </c>
      <c r="AX17" s="9"/>
      <c r="AY17" s="2">
        <f t="shared" si="8"/>
        <v>42</v>
      </c>
      <c r="AZ17" s="2">
        <f>IFERROR(VLOOKUP(B17,'Inventario Profit'!$A$2:$I$230,9,0),0)</f>
        <v>395</v>
      </c>
      <c r="BA17" s="2">
        <f t="shared" si="9"/>
        <v>1</v>
      </c>
      <c r="BB17" s="2" t="s">
        <v>1232</v>
      </c>
    </row>
    <row r="18" spans="2:55" s="11" customFormat="1" ht="15" hidden="1" customHeight="1" x14ac:dyDescent="0.3">
      <c r="B18" s="42">
        <v>550047075</v>
      </c>
      <c r="C18" s="20" t="s">
        <v>71</v>
      </c>
      <c r="D18" s="71" t="s">
        <v>18</v>
      </c>
      <c r="E18" s="9">
        <f>+VLOOKUP(B18,'Recepcion de Producto'!$B$4:LF111,317,0)</f>
        <v>444</v>
      </c>
      <c r="F18" s="9">
        <f>+VLOOKUP(B18,'Salida de Producto'!$B$3:AFL111,843,0)</f>
        <v>168</v>
      </c>
      <c r="G18" s="68" t="s">
        <v>35</v>
      </c>
      <c r="H18" s="69">
        <f t="shared" si="0"/>
        <v>276</v>
      </c>
      <c r="I18" s="69"/>
      <c r="J18" s="69"/>
      <c r="K18" s="69"/>
      <c r="L18" s="69"/>
      <c r="M18" s="69"/>
      <c r="N18" s="69"/>
      <c r="O18" s="88">
        <f>27*4</f>
        <v>108</v>
      </c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88">
        <f>16*4</f>
        <v>64</v>
      </c>
      <c r="AG18" s="69"/>
      <c r="AH18" s="12">
        <f>23*4</f>
        <v>92</v>
      </c>
      <c r="AI18" s="69"/>
      <c r="AJ18" s="69"/>
      <c r="AK18" s="69"/>
      <c r="AL18" s="69"/>
      <c r="AM18" s="69"/>
      <c r="AN18" s="69"/>
      <c r="AO18" s="69"/>
      <c r="AP18" s="69"/>
      <c r="AQ18" s="69">
        <f t="shared" si="5"/>
        <v>264</v>
      </c>
      <c r="AR18" s="69">
        <v>0.20899999999999999</v>
      </c>
      <c r="AS18" s="102">
        <f t="shared" ref="AS18:AS50" si="10">AR18*AQ18</f>
        <v>55.175999999999995</v>
      </c>
      <c r="AT18" s="102">
        <f t="shared" si="1"/>
        <v>49.088967971530238</v>
      </c>
      <c r="AU18" s="46">
        <f>3*4</f>
        <v>12</v>
      </c>
      <c r="AV18" s="46">
        <f>IFERROR(VLOOKUP(B18,'Inventario Profit'!$A$2:$G$235,7,0),0)</f>
        <v>12</v>
      </c>
      <c r="AW18" s="46">
        <f t="shared" si="7"/>
        <v>0</v>
      </c>
      <c r="AX18" s="112" t="s">
        <v>1224</v>
      </c>
      <c r="AY18" s="2">
        <f t="shared" si="8"/>
        <v>0</v>
      </c>
      <c r="AZ18" s="2">
        <f>IFERROR(VLOOKUP(B18,'Inventario Profit'!$A$2:$I$230,9,0),0)</f>
        <v>276</v>
      </c>
      <c r="BA18" s="2">
        <f t="shared" si="9"/>
        <v>0</v>
      </c>
      <c r="BB18" s="2"/>
    </row>
    <row r="19" spans="2:55" s="11" customFormat="1" ht="15" hidden="1" customHeight="1" x14ac:dyDescent="0.3">
      <c r="B19" s="42">
        <v>550052219</v>
      </c>
      <c r="C19" s="13" t="s">
        <v>977</v>
      </c>
      <c r="D19" s="71" t="s">
        <v>982</v>
      </c>
      <c r="E19" s="9">
        <f>+VLOOKUP(B19,'Recepcion de Producto'!$B$4:LF112,317,0)</f>
        <v>8</v>
      </c>
      <c r="F19" s="9">
        <f>+VLOOKUP(B19,'Salida de Producto'!$B$3:AFL112,843,0)</f>
        <v>0</v>
      </c>
      <c r="G19" s="68" t="s">
        <v>35</v>
      </c>
      <c r="H19" s="69">
        <f t="shared" si="0"/>
        <v>8</v>
      </c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88">
        <f>2*4</f>
        <v>8</v>
      </c>
      <c r="AO19" s="69"/>
      <c r="AP19" s="69"/>
      <c r="AQ19" s="69">
        <f t="shared" si="5"/>
        <v>8</v>
      </c>
      <c r="AR19" s="69"/>
      <c r="AS19" s="102">
        <f t="shared" si="10"/>
        <v>0</v>
      </c>
      <c r="AT19" s="102">
        <f t="shared" si="1"/>
        <v>0</v>
      </c>
      <c r="AU19" s="46"/>
      <c r="AV19" s="46">
        <f>IFERROR(VLOOKUP(B19,'Inventario Profit'!$A$2:$G$235,7,0),0)</f>
        <v>0</v>
      </c>
      <c r="AW19" s="46">
        <f t="shared" si="7"/>
        <v>0</v>
      </c>
      <c r="AX19" s="9"/>
      <c r="AY19" s="2">
        <f t="shared" si="8"/>
        <v>0</v>
      </c>
      <c r="AZ19" s="2">
        <f>IFERROR(VLOOKUP(B19,'Inventario Profit'!$A$2:$I$230,9,0),0)</f>
        <v>8</v>
      </c>
      <c r="BA19" s="2">
        <f t="shared" si="9"/>
        <v>0</v>
      </c>
      <c r="BB19" s="2"/>
    </row>
    <row r="20" spans="2:55" s="11" customFormat="1" ht="15" hidden="1" customHeight="1" x14ac:dyDescent="0.3">
      <c r="B20" s="42">
        <v>550027631</v>
      </c>
      <c r="C20" s="20" t="s">
        <v>73</v>
      </c>
      <c r="D20" s="71" t="s">
        <v>916</v>
      </c>
      <c r="E20" s="9">
        <f>+VLOOKUP(B20,'Recepcion de Producto'!$B$4:LF113,317,0)</f>
        <v>20075</v>
      </c>
      <c r="F20" s="9">
        <f>+VLOOKUP(B20,'Salida de Producto'!$B$3:AFL113,843,0)</f>
        <v>20003</v>
      </c>
      <c r="G20" s="68" t="s">
        <v>35</v>
      </c>
      <c r="H20" s="69">
        <f t="shared" si="0"/>
        <v>72</v>
      </c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>
        <f t="shared" si="5"/>
        <v>0</v>
      </c>
      <c r="AR20" s="69">
        <v>4.0000000000000001E-3</v>
      </c>
      <c r="AS20" s="102">
        <f t="shared" si="10"/>
        <v>0</v>
      </c>
      <c r="AT20" s="102">
        <f t="shared" si="1"/>
        <v>0</v>
      </c>
      <c r="AU20" s="46">
        <v>73</v>
      </c>
      <c r="AV20" s="46">
        <f>IFERROR(VLOOKUP(B20,'Inventario Profit'!$A$2:$G$235,7,0),0)</f>
        <v>72</v>
      </c>
      <c r="AW20" s="46">
        <f t="shared" si="7"/>
        <v>-1</v>
      </c>
      <c r="AX20" s="112" t="s">
        <v>1184</v>
      </c>
      <c r="AY20" s="2">
        <f t="shared" si="8"/>
        <v>1</v>
      </c>
      <c r="AZ20" s="2">
        <f>IFERROR(VLOOKUP(B20,'Inventario Profit'!$A$2:$I$230,9,0),0)</f>
        <v>72</v>
      </c>
      <c r="BA20" s="2">
        <f t="shared" si="9"/>
        <v>-1</v>
      </c>
      <c r="BB20" s="2"/>
    </row>
    <row r="21" spans="2:55" s="4" customFormat="1" ht="15" hidden="1" customHeight="1" x14ac:dyDescent="0.3">
      <c r="B21" s="42">
        <v>550050706</v>
      </c>
      <c r="C21" s="20" t="s">
        <v>75</v>
      </c>
      <c r="D21" s="71" t="s">
        <v>17</v>
      </c>
      <c r="E21" s="9">
        <f>+VLOOKUP(B21,'Recepcion de Producto'!$B$4:LF114,317,0)</f>
        <v>4920</v>
      </c>
      <c r="F21" s="9">
        <f>+VLOOKUP(B21,'Salida de Producto'!$B$3:AFL114,843,0)</f>
        <v>4878</v>
      </c>
      <c r="G21" s="68" t="s">
        <v>35</v>
      </c>
      <c r="H21" s="69">
        <f t="shared" si="0"/>
        <v>42</v>
      </c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12">
        <f>3*36+5</f>
        <v>113</v>
      </c>
      <c r="AN21" s="69"/>
      <c r="AO21" s="69"/>
      <c r="AP21" s="69"/>
      <c r="AQ21" s="69">
        <f t="shared" si="5"/>
        <v>113</v>
      </c>
      <c r="AR21" s="69">
        <v>0.18</v>
      </c>
      <c r="AS21" s="102">
        <f t="shared" si="10"/>
        <v>20.34</v>
      </c>
      <c r="AT21" s="102">
        <f t="shared" si="1"/>
        <v>18.096085409252666</v>
      </c>
      <c r="AU21" s="46">
        <v>1</v>
      </c>
      <c r="AV21" s="46">
        <f>IFERROR(VLOOKUP(B21,'Inventario Profit'!$A$2:$G$235,7,0),0)</f>
        <v>1</v>
      </c>
      <c r="AW21" s="46">
        <f t="shared" si="7"/>
        <v>0</v>
      </c>
      <c r="AX21" s="9" t="s">
        <v>1185</v>
      </c>
      <c r="AY21" s="2">
        <f t="shared" si="8"/>
        <v>72</v>
      </c>
      <c r="AZ21" s="2">
        <f>IFERROR(VLOOKUP(B21,'Inventario Profit'!$A$2:$I$230,9,0),0)</f>
        <v>42</v>
      </c>
      <c r="BA21" s="2">
        <f t="shared" si="9"/>
        <v>-72</v>
      </c>
      <c r="BB21" s="2"/>
    </row>
    <row r="22" spans="2:55" s="11" customFormat="1" ht="15" hidden="1" customHeight="1" x14ac:dyDescent="0.3">
      <c r="B22" s="42">
        <v>550050708</v>
      </c>
      <c r="C22" s="20" t="s">
        <v>77</v>
      </c>
      <c r="D22" s="71" t="s">
        <v>17</v>
      </c>
      <c r="E22" s="9">
        <f>+VLOOKUP(B22,'Recepcion de Producto'!$B$4:LF115,317,0)</f>
        <v>2172</v>
      </c>
      <c r="F22" s="9">
        <f>+VLOOKUP(B22,'Salida de Producto'!$B$3:AFL115,843,0)</f>
        <v>2172</v>
      </c>
      <c r="G22" s="68" t="s">
        <v>35</v>
      </c>
      <c r="H22" s="69">
        <f t="shared" si="0"/>
        <v>0</v>
      </c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>
        <f t="shared" si="5"/>
        <v>0</v>
      </c>
      <c r="AR22" s="69">
        <v>0.18</v>
      </c>
      <c r="AS22" s="102">
        <f t="shared" si="10"/>
        <v>0</v>
      </c>
      <c r="AT22" s="102">
        <f t="shared" si="1"/>
        <v>0</v>
      </c>
      <c r="AU22" s="46"/>
      <c r="AV22" s="46">
        <f>IFERROR(VLOOKUP(B22,'Inventario Profit'!$A$2:$G$235,7,0),0)</f>
        <v>0</v>
      </c>
      <c r="AW22" s="46">
        <f t="shared" si="7"/>
        <v>0</v>
      </c>
      <c r="AX22" s="9"/>
      <c r="AY22" s="2">
        <f t="shared" si="8"/>
        <v>0</v>
      </c>
      <c r="AZ22" s="2">
        <f>IFERROR(VLOOKUP(B22,'Inventario Profit'!$A$2:$I$230,9,0),0)</f>
        <v>0</v>
      </c>
      <c r="BA22" s="2">
        <f t="shared" si="9"/>
        <v>0</v>
      </c>
      <c r="BB22" s="2"/>
    </row>
    <row r="23" spans="2:55" s="11" customFormat="1" ht="15" hidden="1" customHeight="1" x14ac:dyDescent="0.3">
      <c r="B23" s="42">
        <v>550027680</v>
      </c>
      <c r="C23" s="13" t="s">
        <v>974</v>
      </c>
      <c r="D23" s="71" t="s">
        <v>983</v>
      </c>
      <c r="E23" s="9">
        <f>+VLOOKUP(B23,'Recepcion de Producto'!$B$4:LF116,317,0)</f>
        <v>4</v>
      </c>
      <c r="F23" s="9">
        <f>+VLOOKUP(B23,'Salida de Producto'!$B$3:AFL116,843,0)</f>
        <v>2</v>
      </c>
      <c r="G23" s="68" t="s">
        <v>35</v>
      </c>
      <c r="H23" s="69">
        <f t="shared" si="0"/>
        <v>2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88">
        <v>2</v>
      </c>
      <c r="AO23" s="69"/>
      <c r="AP23" s="69"/>
      <c r="AQ23" s="69">
        <f t="shared" si="5"/>
        <v>2</v>
      </c>
      <c r="AR23" s="69"/>
      <c r="AS23" s="102">
        <f t="shared" si="10"/>
        <v>0</v>
      </c>
      <c r="AT23" s="102">
        <f t="shared" si="1"/>
        <v>0</v>
      </c>
      <c r="AU23" s="46"/>
      <c r="AV23" s="46">
        <f>IFERROR(VLOOKUP(B23,'Inventario Profit'!$A$2:$G$235,7,0),0)</f>
        <v>0</v>
      </c>
      <c r="AW23" s="46">
        <f t="shared" si="7"/>
        <v>0</v>
      </c>
      <c r="AX23" s="9"/>
      <c r="AY23" s="2">
        <f t="shared" si="8"/>
        <v>0</v>
      </c>
      <c r="AZ23" s="2">
        <f>IFERROR(VLOOKUP(B23,'Inventario Profit'!$A$2:$I$230,9,0),0)</f>
        <v>2</v>
      </c>
      <c r="BA23" s="2">
        <f t="shared" si="9"/>
        <v>0</v>
      </c>
      <c r="BB23" s="2"/>
    </row>
    <row r="24" spans="2:55" s="4" customFormat="1" ht="15" hidden="1" customHeight="1" x14ac:dyDescent="0.3">
      <c r="B24" s="42">
        <v>550025731</v>
      </c>
      <c r="C24" s="20" t="s">
        <v>79</v>
      </c>
      <c r="D24" s="71" t="s">
        <v>905</v>
      </c>
      <c r="E24" s="9">
        <f>+VLOOKUP(B24,'Recepcion de Producto'!$B$4:LF117,317,0)</f>
        <v>256</v>
      </c>
      <c r="F24" s="9">
        <f>+VLOOKUP(B24,'Salida de Producto'!$B$3:AFL117,843,0)</f>
        <v>161</v>
      </c>
      <c r="G24" s="68" t="s">
        <v>35</v>
      </c>
      <c r="H24" s="69">
        <f t="shared" si="0"/>
        <v>95</v>
      </c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12">
        <f>11*4+3</f>
        <v>47</v>
      </c>
      <c r="AH24" s="69"/>
      <c r="AI24" s="69"/>
      <c r="AJ24" s="69"/>
      <c r="AK24" s="69"/>
      <c r="AL24" s="88">
        <f>12*4</f>
        <v>48</v>
      </c>
      <c r="AM24" s="69"/>
      <c r="AN24" s="69"/>
      <c r="AO24" s="69"/>
      <c r="AP24" s="69"/>
      <c r="AQ24" s="69">
        <f t="shared" si="5"/>
        <v>95</v>
      </c>
      <c r="AR24" s="69">
        <v>0.20899999999999999</v>
      </c>
      <c r="AS24" s="102">
        <f t="shared" si="10"/>
        <v>19.855</v>
      </c>
      <c r="AT24" s="102">
        <f t="shared" si="1"/>
        <v>17.664590747330958</v>
      </c>
      <c r="AU24" s="46"/>
      <c r="AV24" s="46">
        <f>IFERROR(VLOOKUP(B24,'Inventario Profit'!$A$2:$G$235,7,0),0)</f>
        <v>0</v>
      </c>
      <c r="AW24" s="46">
        <f t="shared" si="7"/>
        <v>0</v>
      </c>
      <c r="AX24" s="9"/>
      <c r="AY24" s="2">
        <f t="shared" si="8"/>
        <v>0</v>
      </c>
      <c r="AZ24" s="2">
        <f>IFERROR(VLOOKUP(B24,'Inventario Profit'!$A$2:$I$230,9,0),0)</f>
        <v>95</v>
      </c>
      <c r="BA24" s="2">
        <f t="shared" si="9"/>
        <v>0</v>
      </c>
      <c r="BB24" s="2"/>
      <c r="BC24" s="11"/>
    </row>
    <row r="25" spans="2:55" ht="15" hidden="1" customHeight="1" x14ac:dyDescent="0.3">
      <c r="B25" s="42">
        <v>550045838</v>
      </c>
      <c r="C25" s="20" t="s">
        <v>912</v>
      </c>
      <c r="D25" s="71" t="s">
        <v>1</v>
      </c>
      <c r="E25" s="9">
        <f>+VLOOKUP(B25,'Recepcion de Producto'!$B$4:LF118,317,0)</f>
        <v>16008</v>
      </c>
      <c r="F25" s="9">
        <f>+VLOOKUP(B25,'Salida de Producto'!$B$3:AFL118,843,0)</f>
        <v>10748</v>
      </c>
      <c r="G25" s="68" t="s">
        <v>35</v>
      </c>
      <c r="H25" s="69">
        <f t="shared" si="0"/>
        <v>5260</v>
      </c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12">
        <f>12*80+12*80+8*80+60</f>
        <v>2620</v>
      </c>
      <c r="AO25" s="88">
        <f>12*80+12*80+80+15*80</f>
        <v>3200</v>
      </c>
      <c r="AP25" s="69"/>
      <c r="AQ25" s="69">
        <f t="shared" si="5"/>
        <v>5820</v>
      </c>
      <c r="AR25" s="100">
        <v>1.2E-2</v>
      </c>
      <c r="AS25" s="102">
        <f t="shared" si="10"/>
        <v>69.84</v>
      </c>
      <c r="AT25" s="102">
        <f t="shared" si="1"/>
        <v>62.135231316725978</v>
      </c>
      <c r="AU25" s="46">
        <v>1</v>
      </c>
      <c r="AV25" s="46">
        <f>IFERROR(VLOOKUP(B25,'Inventario Profit'!$A$2:$G$235,7,0),0)</f>
        <v>0</v>
      </c>
      <c r="AW25" s="46">
        <f t="shared" si="7"/>
        <v>-1</v>
      </c>
      <c r="AX25" s="112" t="s">
        <v>1186</v>
      </c>
      <c r="AY25" s="2">
        <f t="shared" si="8"/>
        <v>561</v>
      </c>
      <c r="AZ25" s="2">
        <f>IFERROR(VLOOKUP(B25,'Inventario Profit'!$A$2:$I$230,9,0),0)</f>
        <v>5420</v>
      </c>
      <c r="BA25" s="2">
        <f t="shared" si="9"/>
        <v>-401</v>
      </c>
      <c r="BB25" s="70"/>
      <c r="BC25" s="11"/>
    </row>
    <row r="26" spans="2:55" s="4" customFormat="1" ht="15" customHeight="1" x14ac:dyDescent="0.3">
      <c r="B26" s="42">
        <v>43512905</v>
      </c>
      <c r="C26" s="20" t="s">
        <v>81</v>
      </c>
      <c r="D26" s="71" t="s">
        <v>3</v>
      </c>
      <c r="E26" s="9">
        <f>+VLOOKUP(B26,'Recepcion de Producto'!$B$4:LF119,317,0)</f>
        <v>160623</v>
      </c>
      <c r="F26" s="9">
        <f>+VLOOKUP(B26,'Salida de Producto'!$B$3:AFL119,843,0)</f>
        <v>160623</v>
      </c>
      <c r="G26" s="68" t="s">
        <v>33</v>
      </c>
      <c r="H26" s="69">
        <f t="shared" si="0"/>
        <v>0</v>
      </c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 t="s">
        <v>1176</v>
      </c>
      <c r="AH26" s="69"/>
      <c r="AI26" s="69"/>
      <c r="AJ26" s="69"/>
      <c r="AK26" s="69"/>
      <c r="AL26" s="69"/>
      <c r="AM26" s="69"/>
      <c r="AN26" s="69"/>
      <c r="AO26" s="69"/>
      <c r="AP26" s="69"/>
      <c r="AQ26" s="69">
        <f t="shared" si="5"/>
        <v>0</v>
      </c>
      <c r="AR26" s="100">
        <v>1.2E-2</v>
      </c>
      <c r="AS26" s="102">
        <f t="shared" si="10"/>
        <v>0</v>
      </c>
      <c r="AT26" s="102">
        <f t="shared" si="1"/>
        <v>0</v>
      </c>
      <c r="AU26" s="46"/>
      <c r="AV26" s="46">
        <f>IFERROR(VLOOKUP(B26,'Inventario Profit'!$A$2:$G$235,7,0),0)</f>
        <v>0</v>
      </c>
      <c r="AW26" s="46">
        <f t="shared" si="7"/>
        <v>0</v>
      </c>
      <c r="AX26" s="9"/>
      <c r="AY26" s="2">
        <f t="shared" si="8"/>
        <v>0</v>
      </c>
      <c r="AZ26" s="2">
        <f>IFERROR(VLOOKUP(B26,'Inventario Profit'!$A$2:$I$230,9,0),0)</f>
        <v>0</v>
      </c>
      <c r="BA26" s="2">
        <f t="shared" si="9"/>
        <v>0</v>
      </c>
      <c r="BB26" s="60"/>
      <c r="BC26" s="11"/>
    </row>
    <row r="27" spans="2:55" s="4" customFormat="1" ht="15" customHeight="1" x14ac:dyDescent="0.3">
      <c r="B27" s="42">
        <v>550045901</v>
      </c>
      <c r="C27" s="20" t="s">
        <v>929</v>
      </c>
      <c r="D27" s="71" t="s">
        <v>2</v>
      </c>
      <c r="E27" s="9">
        <f>+VLOOKUP(B27,'Recepcion de Producto'!$B$4:LF120,317,0)</f>
        <v>38850</v>
      </c>
      <c r="F27" s="9">
        <f>+VLOOKUP(B27,'Salida de Producto'!$B$3:AFL120,843,0)</f>
        <v>37443</v>
      </c>
      <c r="G27" s="68" t="s">
        <v>34</v>
      </c>
      <c r="H27" s="69">
        <f t="shared" si="0"/>
        <v>1407</v>
      </c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12">
        <f>4+11*175+174+3</f>
        <v>2106</v>
      </c>
      <c r="AQ27" s="69">
        <f t="shared" si="5"/>
        <v>2106</v>
      </c>
      <c r="AR27" s="100">
        <v>6.0000000000000001E-3</v>
      </c>
      <c r="AS27" s="102">
        <f t="shared" si="10"/>
        <v>12.636000000000001</v>
      </c>
      <c r="AT27" s="102">
        <f t="shared" si="1"/>
        <v>11.241992882562277</v>
      </c>
      <c r="AU27" s="46">
        <v>4</v>
      </c>
      <c r="AV27" s="46">
        <f>IFERROR(VLOOKUP(B27,'Inventario Profit'!$A$2:$G$235,7,0),0)</f>
        <v>3</v>
      </c>
      <c r="AW27" s="46">
        <f t="shared" si="7"/>
        <v>-1</v>
      </c>
      <c r="AX27" s="9" t="s">
        <v>1240</v>
      </c>
      <c r="AY27" s="2">
        <f t="shared" si="8"/>
        <v>703</v>
      </c>
      <c r="AZ27" s="2">
        <f>IFERROR(VLOOKUP(B27,'Inventario Profit'!$A$2:$I$230,9,0),0)</f>
        <v>2106</v>
      </c>
      <c r="BA27" s="2">
        <f t="shared" si="9"/>
        <v>-4</v>
      </c>
      <c r="BB27" s="60" t="s">
        <v>1233</v>
      </c>
      <c r="BC27" s="11"/>
    </row>
    <row r="28" spans="2:55" s="11" customFormat="1" ht="15" hidden="1" customHeight="1" x14ac:dyDescent="0.3">
      <c r="B28" s="42">
        <v>43509809</v>
      </c>
      <c r="C28" s="20" t="s">
        <v>83</v>
      </c>
      <c r="D28" s="71" t="s">
        <v>905</v>
      </c>
      <c r="E28" s="9">
        <f>+VLOOKUP(B28,'Recepcion de Producto'!$B$4:LF121,317,0)</f>
        <v>708</v>
      </c>
      <c r="F28" s="9">
        <f>+VLOOKUP(B28,'Salida de Producto'!$B$3:AFL121,843,0)</f>
        <v>508</v>
      </c>
      <c r="G28" s="68" t="s">
        <v>35</v>
      </c>
      <c r="H28" s="69">
        <f t="shared" si="0"/>
        <v>200</v>
      </c>
      <c r="I28" s="69"/>
      <c r="J28" s="69"/>
      <c r="K28" s="69"/>
      <c r="L28" s="69"/>
      <c r="M28" s="12">
        <f>28*4+3</f>
        <v>115</v>
      </c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>
        <f t="shared" si="5"/>
        <v>115</v>
      </c>
      <c r="AR28" s="69">
        <v>0.20899999999999999</v>
      </c>
      <c r="AS28" s="102">
        <f t="shared" si="10"/>
        <v>24.035</v>
      </c>
      <c r="AT28" s="102">
        <f t="shared" si="1"/>
        <v>21.383451957295371</v>
      </c>
      <c r="AU28" s="46">
        <f>1+21*4</f>
        <v>85</v>
      </c>
      <c r="AV28" s="46">
        <f>IFERROR(VLOOKUP(B28,'Inventario Profit'!$A$2:$G$235,7,0),0)</f>
        <v>85</v>
      </c>
      <c r="AW28" s="46">
        <f t="shared" si="7"/>
        <v>0</v>
      </c>
      <c r="AX28" s="9" t="s">
        <v>1187</v>
      </c>
      <c r="AY28" s="2">
        <f t="shared" si="8"/>
        <v>0</v>
      </c>
      <c r="AZ28" s="2">
        <f>IFERROR(VLOOKUP(B28,'Inventario Profit'!$A$2:$I$230,9,0),0)</f>
        <v>200</v>
      </c>
      <c r="BA28" s="2">
        <f t="shared" si="9"/>
        <v>0</v>
      </c>
      <c r="BB28" s="2"/>
    </row>
    <row r="29" spans="2:55" s="11" customFormat="1" ht="15" hidden="1" customHeight="1" x14ac:dyDescent="0.3">
      <c r="B29" s="42">
        <v>550053426</v>
      </c>
      <c r="C29" s="20" t="s">
        <v>85</v>
      </c>
      <c r="D29" s="71" t="s">
        <v>905</v>
      </c>
      <c r="E29" s="9">
        <f>+VLOOKUP(B29,'Recepcion de Producto'!$B$4:LF122,317,0)</f>
        <v>648</v>
      </c>
      <c r="F29" s="9">
        <f>+VLOOKUP(B29,'Salida de Producto'!$B$3:AFL122,843,0)</f>
        <v>645</v>
      </c>
      <c r="G29" s="68" t="s">
        <v>35</v>
      </c>
      <c r="H29" s="69">
        <f t="shared" si="0"/>
        <v>3</v>
      </c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12">
        <f>2*4+3</f>
        <v>11</v>
      </c>
      <c r="AP29" s="69"/>
      <c r="AQ29" s="69">
        <f t="shared" si="5"/>
        <v>11</v>
      </c>
      <c r="AR29" s="69">
        <v>0.20899999999999999</v>
      </c>
      <c r="AS29" s="102">
        <f t="shared" si="10"/>
        <v>2.2989999999999999</v>
      </c>
      <c r="AT29" s="102">
        <f t="shared" si="1"/>
        <v>2.0453736654804269</v>
      </c>
      <c r="AU29" s="46"/>
      <c r="AV29" s="46">
        <f>IFERROR(VLOOKUP(B29,'Inventario Profit'!$A$2:$G$235,7,0),0)</f>
        <v>0</v>
      </c>
      <c r="AW29" s="46">
        <f t="shared" si="7"/>
        <v>0</v>
      </c>
      <c r="AX29" s="9"/>
      <c r="AY29" s="2">
        <f t="shared" si="8"/>
        <v>8</v>
      </c>
      <c r="AZ29" s="2">
        <f>IFERROR(VLOOKUP(B29,'Inventario Profit'!$A$2:$I$230,9,0),0)</f>
        <v>3</v>
      </c>
      <c r="BA29" s="2">
        <f t="shared" si="9"/>
        <v>-8</v>
      </c>
      <c r="BB29" s="2"/>
    </row>
    <row r="30" spans="2:55" s="11" customFormat="1" ht="15" customHeight="1" x14ac:dyDescent="0.3">
      <c r="B30" s="42">
        <v>550045853</v>
      </c>
      <c r="C30" s="20" t="s">
        <v>87</v>
      </c>
      <c r="D30" s="71" t="s">
        <v>1</v>
      </c>
      <c r="E30" s="9">
        <f>+VLOOKUP(B30,'Recepcion de Producto'!$B$4:LF123,317,0)</f>
        <v>106396</v>
      </c>
      <c r="F30" s="9">
        <f>+VLOOKUP(B30,'Salida de Producto'!$B$3:AFL123,843,0)</f>
        <v>96572</v>
      </c>
      <c r="G30" s="68" t="s">
        <v>33</v>
      </c>
      <c r="H30" s="69">
        <f t="shared" si="0"/>
        <v>9824</v>
      </c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12">
        <f>28*80+14*80+9*80+60+9*80+12*80+7*80</f>
        <v>6380</v>
      </c>
      <c r="AN30" s="88">
        <v>3</v>
      </c>
      <c r="AO30" s="88">
        <f>15*80+5*80</f>
        <v>1600</v>
      </c>
      <c r="AP30" s="12">
        <f>5*80+8*80+12*80</f>
        <v>2000</v>
      </c>
      <c r="AQ30" s="69">
        <f t="shared" si="5"/>
        <v>9983</v>
      </c>
      <c r="AR30" s="100">
        <v>1.2E-2</v>
      </c>
      <c r="AS30" s="102">
        <f t="shared" si="10"/>
        <v>119.79600000000001</v>
      </c>
      <c r="AT30" s="102">
        <f t="shared" si="1"/>
        <v>106.58007117437722</v>
      </c>
      <c r="AU30" s="46">
        <v>1</v>
      </c>
      <c r="AV30" s="46">
        <f>IFERROR(VLOOKUP(B30,'Inventario Profit'!$A$2:$G$235,7,0),0)</f>
        <v>1</v>
      </c>
      <c r="AW30" s="46">
        <f t="shared" si="7"/>
        <v>0</v>
      </c>
      <c r="AX30" s="9" t="s">
        <v>1221</v>
      </c>
      <c r="AY30" s="2">
        <f t="shared" si="8"/>
        <v>160</v>
      </c>
      <c r="AZ30" s="2">
        <f>IFERROR(VLOOKUP(B30,'Inventario Profit'!$A$2:$I$230,9,0),0)</f>
        <v>9984</v>
      </c>
      <c r="BA30" s="2">
        <f t="shared" si="9"/>
        <v>0</v>
      </c>
      <c r="BB30" s="70"/>
    </row>
    <row r="31" spans="2:55" s="11" customFormat="1" ht="15" customHeight="1" x14ac:dyDescent="0.3">
      <c r="B31" s="42">
        <v>550045885</v>
      </c>
      <c r="C31" s="20" t="s">
        <v>89</v>
      </c>
      <c r="D31" s="71" t="s">
        <v>2</v>
      </c>
      <c r="E31" s="9">
        <f>+VLOOKUP(B31,'Recepcion de Producto'!$B$4:LF124,317,0)</f>
        <v>545381</v>
      </c>
      <c r="F31" s="9">
        <f>+VLOOKUP(B31,'Salida de Producto'!$B$3:AFL124,843,0)</f>
        <v>492505</v>
      </c>
      <c r="G31" s="68" t="s">
        <v>33</v>
      </c>
      <c r="H31" s="69">
        <f t="shared" si="0"/>
        <v>52876</v>
      </c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12">
        <f>6*175+14*175+14*175+14*175+14*175+28*175+14*175+14*175+10*175+9*175+12*175+12*175+11*175+38</f>
        <v>30138</v>
      </c>
      <c r="AL31" s="12">
        <f>14*175+14*175+12*175+12*175+11*175+159+12*175</f>
        <v>13284</v>
      </c>
      <c r="AM31" s="88">
        <f>10*175</f>
        <v>1750</v>
      </c>
      <c r="AN31" s="88">
        <f>10*175</f>
        <v>1750</v>
      </c>
      <c r="AO31" s="88">
        <f>15*175+16*175+7*175</f>
        <v>6650</v>
      </c>
      <c r="AP31" s="69"/>
      <c r="AQ31" s="69">
        <f t="shared" si="5"/>
        <v>53572</v>
      </c>
      <c r="AR31" s="100">
        <v>6.0000000000000001E-3</v>
      </c>
      <c r="AS31" s="102">
        <f t="shared" si="10"/>
        <v>321.43200000000002</v>
      </c>
      <c r="AT31" s="102">
        <f t="shared" si="1"/>
        <v>285.97153024911029</v>
      </c>
      <c r="AU31" s="46">
        <v>4</v>
      </c>
      <c r="AV31" s="46">
        <f>IFERROR(VLOOKUP(B31,'Inventario Profit'!$A$2:$G$235,7,0),0)</f>
        <v>4</v>
      </c>
      <c r="AW31" s="46">
        <f t="shared" si="7"/>
        <v>0</v>
      </c>
      <c r="AX31" s="112" t="s">
        <v>1220</v>
      </c>
      <c r="AY31" s="2">
        <f t="shared" si="8"/>
        <v>700</v>
      </c>
      <c r="AZ31" s="2">
        <f>IFERROR(VLOOKUP(B31,'Inventario Profit'!$A$2:$I$230,9,0),0)</f>
        <v>53576</v>
      </c>
      <c r="BA31" s="2">
        <f t="shared" si="9"/>
        <v>0</v>
      </c>
      <c r="BB31" s="2"/>
    </row>
    <row r="32" spans="2:55" s="11" customFormat="1" ht="15" customHeight="1" x14ac:dyDescent="0.3">
      <c r="B32" s="42">
        <v>550052038</v>
      </c>
      <c r="C32" s="20" t="s">
        <v>93</v>
      </c>
      <c r="D32" s="71" t="s">
        <v>2</v>
      </c>
      <c r="E32" s="9">
        <f>+VLOOKUP(B32,'Recepcion de Producto'!$B$4:LF125,317,0)</f>
        <v>38604</v>
      </c>
      <c r="F32" s="9">
        <f>+VLOOKUP(B32,'Salida de Producto'!$B$3:AFL125,843,0)</f>
        <v>38604</v>
      </c>
      <c r="G32" s="68" t="s">
        <v>33</v>
      </c>
      <c r="H32" s="69">
        <f t="shared" si="0"/>
        <v>0</v>
      </c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>
        <f t="shared" si="5"/>
        <v>0</v>
      </c>
      <c r="AR32" s="100">
        <v>6.0000000000000001E-3</v>
      </c>
      <c r="AS32" s="102">
        <f t="shared" si="10"/>
        <v>0</v>
      </c>
      <c r="AT32" s="102">
        <f t="shared" si="1"/>
        <v>0</v>
      </c>
      <c r="AU32" s="46"/>
      <c r="AV32" s="46">
        <f>IFERROR(VLOOKUP(B32,'Inventario Profit'!$A$2:$G$235,7,0),0)</f>
        <v>0</v>
      </c>
      <c r="AW32" s="46">
        <f t="shared" si="7"/>
        <v>0</v>
      </c>
      <c r="AX32" s="9"/>
      <c r="AY32" s="2">
        <f t="shared" si="8"/>
        <v>0</v>
      </c>
      <c r="AZ32" s="2">
        <f>IFERROR(VLOOKUP(B32,'Inventario Profit'!$A$2:$I$230,9,0),0)</f>
        <v>0</v>
      </c>
      <c r="BA32" s="2">
        <f t="shared" si="9"/>
        <v>0</v>
      </c>
      <c r="BB32" s="2"/>
    </row>
    <row r="33" spans="2:55" ht="15" customHeight="1" x14ac:dyDescent="0.3">
      <c r="B33" s="42">
        <v>550045905</v>
      </c>
      <c r="C33" s="20" t="s">
        <v>95</v>
      </c>
      <c r="D33" s="71" t="s">
        <v>2</v>
      </c>
      <c r="E33" s="9">
        <f>+VLOOKUP(B33,'Recepcion de Producto'!$B$4:LF126,317,0)</f>
        <v>35732</v>
      </c>
      <c r="F33" s="9">
        <f>+VLOOKUP(B33,'Salida de Producto'!$B$3:AFL126,843,0)</f>
        <v>35732</v>
      </c>
      <c r="G33" s="68" t="s">
        <v>34</v>
      </c>
      <c r="H33" s="69">
        <f t="shared" si="0"/>
        <v>0</v>
      </c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>
        <f t="shared" si="5"/>
        <v>0</v>
      </c>
      <c r="AR33" s="100">
        <v>6.0000000000000001E-3</v>
      </c>
      <c r="AS33" s="102">
        <f t="shared" si="10"/>
        <v>0</v>
      </c>
      <c r="AT33" s="102">
        <f t="shared" si="1"/>
        <v>0</v>
      </c>
      <c r="AU33" s="46"/>
      <c r="AV33" s="46">
        <f>IFERROR(VLOOKUP(B33,'Inventario Profit'!$A$2:$G$235,7,0),0)</f>
        <v>0</v>
      </c>
      <c r="AW33" s="46">
        <f t="shared" si="7"/>
        <v>0</v>
      </c>
      <c r="AX33" s="9"/>
      <c r="AY33" s="2">
        <f t="shared" si="8"/>
        <v>0</v>
      </c>
      <c r="AZ33" s="2">
        <f>IFERROR(VLOOKUP(B33,'Inventario Profit'!$A$2:$I$230,9,0),0)</f>
        <v>0</v>
      </c>
      <c r="BA33" s="2">
        <f t="shared" si="9"/>
        <v>0</v>
      </c>
      <c r="BB33" s="2"/>
      <c r="BC33" s="11"/>
    </row>
    <row r="34" spans="2:55" s="11" customFormat="1" ht="15" hidden="1" customHeight="1" x14ac:dyDescent="0.3">
      <c r="B34" s="42">
        <v>550057747</v>
      </c>
      <c r="C34" s="13" t="s">
        <v>972</v>
      </c>
      <c r="D34" s="71" t="s">
        <v>27</v>
      </c>
      <c r="E34" s="9">
        <f>+VLOOKUP(B34,'Recepcion de Producto'!$B$4:LF127,317,0)</f>
        <v>3</v>
      </c>
      <c r="F34" s="9">
        <f>+VLOOKUP(B34,'Salida de Producto'!$B$3:AFL127,843,0)</f>
        <v>0</v>
      </c>
      <c r="G34" s="68" t="s">
        <v>35</v>
      </c>
      <c r="H34" s="69">
        <f t="shared" si="0"/>
        <v>3</v>
      </c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88">
        <v>2</v>
      </c>
      <c r="AO34" s="69"/>
      <c r="AP34" s="69"/>
      <c r="AQ34" s="69">
        <f t="shared" si="5"/>
        <v>2</v>
      </c>
      <c r="AR34" s="69">
        <v>0.20899999999999999</v>
      </c>
      <c r="AS34" s="102">
        <f t="shared" si="10"/>
        <v>0.41799999999999998</v>
      </c>
      <c r="AT34" s="102">
        <f t="shared" si="1"/>
        <v>0.37188612099644125</v>
      </c>
      <c r="AU34" s="46">
        <v>1</v>
      </c>
      <c r="AV34" s="46">
        <f>IFERROR(VLOOKUP(B34,'Inventario Profit'!$A$2:$G$235,7,0),0)</f>
        <v>1</v>
      </c>
      <c r="AW34" s="46">
        <f t="shared" si="7"/>
        <v>0</v>
      </c>
      <c r="AX34" s="112" t="s">
        <v>1188</v>
      </c>
      <c r="AY34" s="2">
        <f t="shared" si="8"/>
        <v>0</v>
      </c>
      <c r="AZ34" s="2">
        <f>IFERROR(VLOOKUP(B34,'Inventario Profit'!$A$2:$I$230,9,0),0)</f>
        <v>3</v>
      </c>
      <c r="BA34" s="2">
        <f t="shared" si="9"/>
        <v>0</v>
      </c>
      <c r="BB34" s="2"/>
    </row>
    <row r="35" spans="2:55" s="4" customFormat="1" ht="15" customHeight="1" x14ac:dyDescent="0.3">
      <c r="B35" s="42">
        <v>550057749</v>
      </c>
      <c r="C35" s="20" t="s">
        <v>91</v>
      </c>
      <c r="D35" s="71" t="s">
        <v>2</v>
      </c>
      <c r="E35" s="9">
        <f>+VLOOKUP(B35,'Recepcion de Producto'!$B$4:LF128,317,0)</f>
        <v>43404</v>
      </c>
      <c r="F35" s="9">
        <f>+VLOOKUP(B35,'Salida de Producto'!$B$3:AFL128,843,0)</f>
        <v>38209</v>
      </c>
      <c r="G35" s="68" t="s">
        <v>34</v>
      </c>
      <c r="H35" s="69">
        <f t="shared" si="0"/>
        <v>5195</v>
      </c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12">
        <f>175+2+13*175+144+15*175+150</f>
        <v>5371</v>
      </c>
      <c r="AQ35" s="69">
        <f t="shared" si="5"/>
        <v>5371</v>
      </c>
      <c r="AR35" s="100">
        <f>0.006</f>
        <v>6.0000000000000001E-3</v>
      </c>
      <c r="AS35" s="102">
        <f t="shared" si="10"/>
        <v>32.225999999999999</v>
      </c>
      <c r="AT35" s="102">
        <f t="shared" si="1"/>
        <v>28.670818505338076</v>
      </c>
      <c r="AU35" s="46"/>
      <c r="AV35" s="46">
        <f>IFERROR(VLOOKUP(B35,'Inventario Profit'!$A$2:$G$235,7,0),0)</f>
        <v>0</v>
      </c>
      <c r="AW35" s="46">
        <f t="shared" si="7"/>
        <v>0</v>
      </c>
      <c r="AX35" s="9"/>
      <c r="AY35" s="2">
        <f t="shared" si="8"/>
        <v>176</v>
      </c>
      <c r="AZ35" s="2">
        <f>IFERROR(VLOOKUP(B35,'Inventario Profit'!$A$2:$I$230,9,0),0)</f>
        <v>5369</v>
      </c>
      <c r="BA35" s="9">
        <f>AZ35-AQ35-AU35</f>
        <v>-2</v>
      </c>
      <c r="BB35" s="115" t="s">
        <v>1227</v>
      </c>
      <c r="BC35" s="11"/>
    </row>
    <row r="36" spans="2:55" ht="15" customHeight="1" x14ac:dyDescent="0.3">
      <c r="B36" s="42">
        <v>550057767</v>
      </c>
      <c r="C36" s="20" t="s">
        <v>97</v>
      </c>
      <c r="D36" s="71" t="s">
        <v>2</v>
      </c>
      <c r="E36" s="9">
        <f>+VLOOKUP(B36,'Recepcion de Producto'!$B$4:LF129,317,0)</f>
        <v>151440</v>
      </c>
      <c r="F36" s="9">
        <f>+VLOOKUP(B36,'Salida de Producto'!$B$3:AFL129,843,0)</f>
        <v>140153</v>
      </c>
      <c r="G36" s="68" t="s">
        <v>34</v>
      </c>
      <c r="H36" s="69">
        <f t="shared" ref="H36:H69" si="11">E36-F36</f>
        <v>11287</v>
      </c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12">
        <f>175+12*175+87+12*175+28*175+14*175</f>
        <v>11812</v>
      </c>
      <c r="AQ36" s="69">
        <f t="shared" si="5"/>
        <v>11812</v>
      </c>
      <c r="AR36" s="100">
        <v>6.0000000000000001E-3</v>
      </c>
      <c r="AS36" s="102">
        <f t="shared" si="10"/>
        <v>70.872</v>
      </c>
      <c r="AT36" s="102">
        <f t="shared" si="1"/>
        <v>63.05338078291814</v>
      </c>
      <c r="AU36" s="46">
        <v>3</v>
      </c>
      <c r="AV36" s="46">
        <f>IFERROR(VLOOKUP(B36,'Inventario Profit'!$A$2:$G$235,7,0),0)</f>
        <v>2</v>
      </c>
      <c r="AW36" s="46">
        <f t="shared" si="7"/>
        <v>-1</v>
      </c>
      <c r="AX36" s="112" t="s">
        <v>1231</v>
      </c>
      <c r="AY36" s="2">
        <f t="shared" si="8"/>
        <v>528</v>
      </c>
      <c r="AZ36" s="2">
        <f>IFERROR(VLOOKUP(B36,'Inventario Profit'!$A$2:$I$230,9,0),0)</f>
        <v>11814</v>
      </c>
      <c r="BA36" s="2">
        <f t="shared" si="9"/>
        <v>-1</v>
      </c>
      <c r="BB36" s="115" t="s">
        <v>1225</v>
      </c>
      <c r="BC36" s="11"/>
    </row>
    <row r="37" spans="2:55" ht="15" customHeight="1" x14ac:dyDescent="0.3">
      <c r="B37" s="42">
        <v>41051905</v>
      </c>
      <c r="C37" s="20" t="s">
        <v>99</v>
      </c>
      <c r="D37" s="71" t="s">
        <v>3</v>
      </c>
      <c r="E37" s="9">
        <f>+VLOOKUP(B37,'Recepcion de Producto'!$B$4:LF130,317,0)</f>
        <v>7128</v>
      </c>
      <c r="F37" s="9">
        <f>+VLOOKUP(B37,'Salida de Producto'!$B$3:AFL130,843,0)</f>
        <v>7128</v>
      </c>
      <c r="G37" s="68" t="s">
        <v>34</v>
      </c>
      <c r="H37" s="69">
        <f t="shared" si="11"/>
        <v>0</v>
      </c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>
        <f t="shared" si="5"/>
        <v>0</v>
      </c>
      <c r="AR37" s="100">
        <v>1.2E-2</v>
      </c>
      <c r="AS37" s="102">
        <f t="shared" si="10"/>
        <v>0</v>
      </c>
      <c r="AT37" s="102">
        <f t="shared" si="1"/>
        <v>0</v>
      </c>
      <c r="AU37" s="46"/>
      <c r="AV37" s="46">
        <f>IFERROR(VLOOKUP(B37,'Inventario Profit'!$A$2:$G$235,7,0),0)</f>
        <v>0</v>
      </c>
      <c r="AW37" s="46">
        <f t="shared" si="7"/>
        <v>0</v>
      </c>
      <c r="AX37" s="9"/>
      <c r="AY37" s="2">
        <f t="shared" si="8"/>
        <v>0</v>
      </c>
      <c r="AZ37" s="2">
        <f>IFERROR(VLOOKUP(B37,'Inventario Profit'!$A$2:$I$230,9,0),0)</f>
        <v>0</v>
      </c>
      <c r="BA37" s="2">
        <f t="shared" si="9"/>
        <v>0</v>
      </c>
      <c r="BB37" s="2"/>
      <c r="BC37" s="11"/>
    </row>
    <row r="38" spans="2:55" s="4" customFormat="1" ht="15" customHeight="1" x14ac:dyDescent="0.3">
      <c r="B38" s="42">
        <v>40926905</v>
      </c>
      <c r="C38" s="20" t="s">
        <v>101</v>
      </c>
      <c r="D38" s="71" t="s">
        <v>3</v>
      </c>
      <c r="E38" s="9">
        <f>+VLOOKUP(B38,'Recepcion de Producto'!$B$4:LF131,317,0)</f>
        <v>12304</v>
      </c>
      <c r="F38" s="9">
        <f>+VLOOKUP(B38,'Salida de Producto'!$B$3:AFL131,843,0)</f>
        <v>6625</v>
      </c>
      <c r="G38" s="68" t="s">
        <v>34</v>
      </c>
      <c r="H38" s="69">
        <f t="shared" si="11"/>
        <v>5679</v>
      </c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12">
        <f>32+7*77</f>
        <v>571</v>
      </c>
      <c r="AL38" s="69"/>
      <c r="AM38" s="12">
        <f>16*77+4*77+59</f>
        <v>1599</v>
      </c>
      <c r="AN38" s="88">
        <f>10*77+6*77+16*77+42+13*77</f>
        <v>3507</v>
      </c>
      <c r="AO38" s="69"/>
      <c r="AP38" s="69"/>
      <c r="AQ38" s="69">
        <f t="shared" si="5"/>
        <v>5677</v>
      </c>
      <c r="AR38" s="100">
        <v>1.2E-2</v>
      </c>
      <c r="AS38" s="102">
        <f t="shared" si="10"/>
        <v>68.123999999999995</v>
      </c>
      <c r="AT38" s="102">
        <f t="shared" si="1"/>
        <v>60.608540925266894</v>
      </c>
      <c r="AU38" s="46">
        <v>2</v>
      </c>
      <c r="AV38" s="46">
        <f>IFERROR(VLOOKUP(B38,'Inventario Profit'!$A$2:$G$235,7,0),0)</f>
        <v>2</v>
      </c>
      <c r="AW38" s="46">
        <f t="shared" si="7"/>
        <v>0</v>
      </c>
      <c r="AX38" s="112" t="s">
        <v>1180</v>
      </c>
      <c r="AY38" s="2">
        <f t="shared" si="8"/>
        <v>0</v>
      </c>
      <c r="AZ38" s="2">
        <f>IFERROR(VLOOKUP(B38,'Inventario Profit'!$A$2:$I$230,9,0),0)</f>
        <v>5679</v>
      </c>
      <c r="BA38" s="2">
        <f t="shared" si="9"/>
        <v>0</v>
      </c>
      <c r="BB38" s="60"/>
      <c r="BC38" s="11"/>
    </row>
    <row r="39" spans="2:55" ht="15" customHeight="1" x14ac:dyDescent="0.3">
      <c r="B39" s="42">
        <v>550049041</v>
      </c>
      <c r="C39" s="20" t="s">
        <v>103</v>
      </c>
      <c r="D39" s="71" t="s">
        <v>1</v>
      </c>
      <c r="E39" s="9">
        <f>+VLOOKUP(B39,'Recepcion de Producto'!$B$4:LF132,317,0)</f>
        <v>8486</v>
      </c>
      <c r="F39" s="9">
        <f>+VLOOKUP(B39,'Salida de Producto'!$B$3:AFL132,843,0)</f>
        <v>6820</v>
      </c>
      <c r="G39" s="68" t="s">
        <v>34</v>
      </c>
      <c r="H39" s="69">
        <f t="shared" si="11"/>
        <v>1666</v>
      </c>
      <c r="I39" s="69"/>
      <c r="J39" s="69"/>
      <c r="K39" s="69"/>
      <c r="L39" s="69"/>
      <c r="M39" s="69"/>
      <c r="N39" s="69"/>
      <c r="O39" s="12">
        <f>12*80+8*80+12</f>
        <v>1612</v>
      </c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>
        <f t="shared" si="5"/>
        <v>1612</v>
      </c>
      <c r="AR39" s="100">
        <v>1.2E-2</v>
      </c>
      <c r="AS39" s="102">
        <f t="shared" si="10"/>
        <v>19.344000000000001</v>
      </c>
      <c r="AT39" s="102">
        <f t="shared" si="1"/>
        <v>17.209964412811388</v>
      </c>
      <c r="AU39" s="46">
        <v>54</v>
      </c>
      <c r="AV39" s="46">
        <f>IFERROR(VLOOKUP(B39,'Inventario Profit'!$A$2:$G$235,7,0),0)</f>
        <v>54</v>
      </c>
      <c r="AW39" s="46">
        <f t="shared" si="7"/>
        <v>0</v>
      </c>
      <c r="AX39" s="9" t="s">
        <v>1189</v>
      </c>
      <c r="AY39" s="2">
        <f t="shared" si="8"/>
        <v>0</v>
      </c>
      <c r="AZ39" s="2">
        <f>IFERROR(VLOOKUP(B39,'Inventario Profit'!$A$2:$I$230,9,0),0)</f>
        <v>1666</v>
      </c>
      <c r="BA39" s="2">
        <f t="shared" si="9"/>
        <v>0</v>
      </c>
      <c r="BB39" s="9"/>
      <c r="BC39" s="11"/>
    </row>
    <row r="40" spans="2:55" ht="15" customHeight="1" x14ac:dyDescent="0.3">
      <c r="B40" s="42">
        <v>550050102</v>
      </c>
      <c r="C40" s="20" t="s">
        <v>105</v>
      </c>
      <c r="D40" s="71" t="s">
        <v>2</v>
      </c>
      <c r="E40" s="9">
        <f>+VLOOKUP(B40,'Recepcion de Producto'!$B$4:LF133,317,0)</f>
        <v>24150</v>
      </c>
      <c r="F40" s="9">
        <f>+VLOOKUP(B40,'Salida de Producto'!$B$3:AFL133,843,0)</f>
        <v>19810</v>
      </c>
      <c r="G40" s="68" t="s">
        <v>34</v>
      </c>
      <c r="H40" s="69">
        <f t="shared" si="11"/>
        <v>4340</v>
      </c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12">
        <f>5*175+140</f>
        <v>1015</v>
      </c>
      <c r="AO40" s="88">
        <f>11*175+8*175</f>
        <v>3325</v>
      </c>
      <c r="AP40" s="69"/>
      <c r="AQ40" s="69">
        <f t="shared" si="5"/>
        <v>4340</v>
      </c>
      <c r="AR40" s="100">
        <v>6.0000000000000001E-3</v>
      </c>
      <c r="AS40" s="102">
        <f t="shared" si="10"/>
        <v>26.04</v>
      </c>
      <c r="AT40" s="102">
        <f t="shared" si="1"/>
        <v>23.167259786476865</v>
      </c>
      <c r="AU40" s="46"/>
      <c r="AV40" s="46">
        <f>IFERROR(VLOOKUP(B40,'Inventario Profit'!$A$2:$G$235,7,0),0)</f>
        <v>0</v>
      </c>
      <c r="AW40" s="46">
        <f t="shared" si="7"/>
        <v>0</v>
      </c>
      <c r="AX40" s="9"/>
      <c r="AY40" s="2">
        <f t="shared" si="8"/>
        <v>0</v>
      </c>
      <c r="AZ40" s="2">
        <f>IFERROR(VLOOKUP(B40,'Inventario Profit'!$A$2:$I$230,9,0),0)</f>
        <v>4340</v>
      </c>
      <c r="BA40" s="2">
        <f t="shared" si="9"/>
        <v>0</v>
      </c>
      <c r="BB40" s="60"/>
      <c r="BC40" s="11"/>
    </row>
    <row r="41" spans="2:55" s="11" customFormat="1" ht="15" customHeight="1" x14ac:dyDescent="0.3">
      <c r="B41" s="42">
        <v>550057742</v>
      </c>
      <c r="C41" s="20" t="s">
        <v>107</v>
      </c>
      <c r="D41" s="71" t="s">
        <v>2</v>
      </c>
      <c r="E41" s="9">
        <f>+VLOOKUP(B41,'Recepcion de Producto'!$B$4:LF134,317,0)</f>
        <v>52115</v>
      </c>
      <c r="F41" s="9">
        <f>+VLOOKUP(B41,'Salida de Producto'!$B$3:AFL134,843,0)</f>
        <v>42422</v>
      </c>
      <c r="G41" s="68" t="s">
        <v>34</v>
      </c>
      <c r="H41" s="69">
        <f t="shared" si="11"/>
        <v>9693</v>
      </c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12">
        <f>2*175+41</f>
        <v>391</v>
      </c>
      <c r="AM41" s="69"/>
      <c r="AN41" s="69"/>
      <c r="AO41" s="88">
        <f>13*175+175+13*175+16*175+10*175+104</f>
        <v>9379</v>
      </c>
      <c r="AP41" s="69"/>
      <c r="AQ41" s="69">
        <f t="shared" si="5"/>
        <v>9770</v>
      </c>
      <c r="AR41" s="100">
        <v>6.0000000000000001E-3</v>
      </c>
      <c r="AS41" s="102">
        <f t="shared" si="10"/>
        <v>58.620000000000005</v>
      </c>
      <c r="AT41" s="102">
        <f t="shared" si="1"/>
        <v>52.153024911032027</v>
      </c>
      <c r="AU41" s="46">
        <v>98</v>
      </c>
      <c r="AV41" s="46">
        <f>IFERROR(VLOOKUP(B41,'Inventario Profit'!$A$2:$G$235,7,0),0)</f>
        <v>98</v>
      </c>
      <c r="AW41" s="46">
        <f t="shared" si="7"/>
        <v>0</v>
      </c>
      <c r="AX41" s="112" t="s">
        <v>1190</v>
      </c>
      <c r="AY41" s="2">
        <f t="shared" si="8"/>
        <v>175</v>
      </c>
      <c r="AZ41" s="2">
        <f>IFERROR(VLOOKUP(B41,'Inventario Profit'!$A$2:$I$230,9,0),0)</f>
        <v>9868</v>
      </c>
      <c r="BA41" s="2">
        <f t="shared" si="9"/>
        <v>0</v>
      </c>
      <c r="BB41" s="60"/>
    </row>
    <row r="42" spans="2:55" s="11" customFormat="1" ht="15" hidden="1" customHeight="1" x14ac:dyDescent="0.3">
      <c r="B42" s="42">
        <v>550026710</v>
      </c>
      <c r="C42" s="20" t="s">
        <v>109</v>
      </c>
      <c r="D42" s="71" t="s">
        <v>18</v>
      </c>
      <c r="E42" s="9">
        <f>+VLOOKUP(B42,'Recepcion de Producto'!$B$4:LF135,317,0)</f>
        <v>122</v>
      </c>
      <c r="F42" s="9">
        <f>+VLOOKUP(B42,'Salida de Producto'!$B$3:AFL135,843,0)</f>
        <v>122</v>
      </c>
      <c r="G42" s="68" t="s">
        <v>35</v>
      </c>
      <c r="H42" s="69">
        <f t="shared" si="11"/>
        <v>0</v>
      </c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>
        <f t="shared" si="5"/>
        <v>0</v>
      </c>
      <c r="AR42" s="69">
        <v>0.20799999999999999</v>
      </c>
      <c r="AS42" s="102">
        <f t="shared" si="10"/>
        <v>0</v>
      </c>
      <c r="AT42" s="102">
        <f t="shared" si="1"/>
        <v>0</v>
      </c>
      <c r="AU42" s="46"/>
      <c r="AV42" s="46">
        <f>IFERROR(VLOOKUP(B42,'Inventario Profit'!$A$2:$G$235,7,0),0)</f>
        <v>0</v>
      </c>
      <c r="AW42" s="46">
        <f t="shared" si="7"/>
        <v>0</v>
      </c>
      <c r="AX42" s="9"/>
      <c r="AY42" s="2">
        <f t="shared" si="8"/>
        <v>0</v>
      </c>
      <c r="AZ42" s="2">
        <f>IFERROR(VLOOKUP(B42,'Inventario Profit'!$A$2:$I$230,9,0),0)</f>
        <v>0</v>
      </c>
      <c r="BA42" s="2">
        <f t="shared" si="9"/>
        <v>0</v>
      </c>
      <c r="BB42" s="2"/>
    </row>
    <row r="43" spans="2:55" ht="15" hidden="1" customHeight="1" x14ac:dyDescent="0.3">
      <c r="B43" s="42">
        <v>550026700</v>
      </c>
      <c r="C43" s="20" t="s">
        <v>111</v>
      </c>
      <c r="D43" s="71" t="s">
        <v>5</v>
      </c>
      <c r="E43" s="9">
        <f>+VLOOKUP(B43,'Recepcion de Producto'!$B$4:LF136,317,0)</f>
        <v>1260</v>
      </c>
      <c r="F43" s="9">
        <f>+VLOOKUP(B43,'Salida de Producto'!$B$3:AFL136,843,0)</f>
        <v>1260</v>
      </c>
      <c r="G43" s="68" t="s">
        <v>35</v>
      </c>
      <c r="H43" s="69">
        <f t="shared" si="11"/>
        <v>0</v>
      </c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>
        <f t="shared" si="5"/>
        <v>0</v>
      </c>
      <c r="AR43" s="69">
        <v>1.9E-2</v>
      </c>
      <c r="AS43" s="102">
        <f t="shared" si="10"/>
        <v>0</v>
      </c>
      <c r="AT43" s="102">
        <f t="shared" si="1"/>
        <v>0</v>
      </c>
      <c r="AU43" s="46"/>
      <c r="AV43" s="46">
        <f>IFERROR(VLOOKUP(B43,'Inventario Profit'!$A$2:$G$235,7,0),0)</f>
        <v>0</v>
      </c>
      <c r="AW43" s="46">
        <f t="shared" si="7"/>
        <v>0</v>
      </c>
      <c r="AX43" s="9"/>
      <c r="AY43" s="2">
        <f t="shared" si="8"/>
        <v>0</v>
      </c>
      <c r="AZ43" s="2">
        <f>IFERROR(VLOOKUP(B43,'Inventario Profit'!$A$2:$I$230,9,0),0)</f>
        <v>0</v>
      </c>
      <c r="BA43" s="2">
        <f t="shared" si="9"/>
        <v>0</v>
      </c>
      <c r="BB43" s="2"/>
      <c r="BC43" s="11"/>
    </row>
    <row r="44" spans="2:55" s="4" customFormat="1" ht="15" customHeight="1" x14ac:dyDescent="0.3">
      <c r="B44" s="42">
        <v>550026699</v>
      </c>
      <c r="C44" s="20" t="s">
        <v>113</v>
      </c>
      <c r="D44" s="71" t="s">
        <v>18</v>
      </c>
      <c r="E44" s="9">
        <f>+VLOOKUP(B44,'Recepcion de Producto'!$B$4:LF137,317,0)</f>
        <v>3308</v>
      </c>
      <c r="F44" s="9">
        <f>+VLOOKUP(B44,'Salida de Producto'!$B$3:AFL137,843,0)</f>
        <v>2979</v>
      </c>
      <c r="G44" s="68" t="s">
        <v>34</v>
      </c>
      <c r="H44" s="69">
        <f t="shared" si="11"/>
        <v>329</v>
      </c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12">
        <f>17*4+2</f>
        <v>70</v>
      </c>
      <c r="AM44" s="12">
        <f>24*4+29*4+2</f>
        <v>214</v>
      </c>
      <c r="AN44" s="69"/>
      <c r="AO44" s="69"/>
      <c r="AP44" s="69"/>
      <c r="AQ44" s="69">
        <f t="shared" si="5"/>
        <v>284</v>
      </c>
      <c r="AR44" s="100">
        <v>0.20799999999999999</v>
      </c>
      <c r="AS44" s="102">
        <f t="shared" si="10"/>
        <v>59.071999999999996</v>
      </c>
      <c r="AT44" s="102">
        <f t="shared" si="1"/>
        <v>52.555160142348747</v>
      </c>
      <c r="AU44" s="46">
        <f>10*4+1+4</f>
        <v>45</v>
      </c>
      <c r="AV44" s="46">
        <f>IFERROR(VLOOKUP(B44,'Inventario Profit'!$A$2:$G$235,7,0),0)</f>
        <v>45</v>
      </c>
      <c r="AW44" s="46">
        <f t="shared" si="7"/>
        <v>0</v>
      </c>
      <c r="AX44" s="112" t="s">
        <v>1181</v>
      </c>
      <c r="AY44" s="2">
        <f t="shared" si="8"/>
        <v>0</v>
      </c>
      <c r="AZ44" s="2">
        <f>IFERROR(VLOOKUP(B44,'Inventario Profit'!$A$2:$I$230,9,0),0)</f>
        <v>329</v>
      </c>
      <c r="BA44" s="2">
        <f t="shared" si="9"/>
        <v>0</v>
      </c>
      <c r="BB44" s="2"/>
      <c r="BC44" s="11"/>
    </row>
    <row r="45" spans="2:55" s="11" customFormat="1" ht="15" customHeight="1" x14ac:dyDescent="0.3">
      <c r="B45" s="42">
        <v>550026697</v>
      </c>
      <c r="C45" s="20" t="s">
        <v>115</v>
      </c>
      <c r="D45" s="71" t="s">
        <v>5</v>
      </c>
      <c r="E45" s="9">
        <f>+VLOOKUP(B45,'Recepcion de Producto'!$B$4:LF138,317,0)</f>
        <v>16421</v>
      </c>
      <c r="F45" s="9">
        <f>+VLOOKUP(B45,'Salida de Producto'!$B$3:AFL138,843,0)</f>
        <v>10231</v>
      </c>
      <c r="G45" s="68" t="s">
        <v>34</v>
      </c>
      <c r="H45" s="69">
        <f t="shared" si="11"/>
        <v>6190</v>
      </c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12">
        <f>31*42+16*42+17</f>
        <v>1991</v>
      </c>
      <c r="AM45" s="88">
        <f>16*42+6*42+8*42+9*42+41</f>
        <v>1679</v>
      </c>
      <c r="AN45" s="88">
        <f>15*42+8*42+7*42+29*42+41</f>
        <v>2519</v>
      </c>
      <c r="AO45" s="69"/>
      <c r="AP45" s="69"/>
      <c r="AQ45" s="69">
        <f t="shared" si="5"/>
        <v>6189</v>
      </c>
      <c r="AR45" s="100">
        <v>1.9E-2</v>
      </c>
      <c r="AS45" s="102">
        <f t="shared" si="10"/>
        <v>117.59099999999999</v>
      </c>
      <c r="AT45" s="102">
        <f t="shared" si="1"/>
        <v>104.61832740213522</v>
      </c>
      <c r="AU45" s="46">
        <v>1</v>
      </c>
      <c r="AV45" s="46">
        <f>IFERROR(VLOOKUP(B45,'Inventario Profit'!$A$2:$G$235,7,0),0)</f>
        <v>1</v>
      </c>
      <c r="AW45" s="46">
        <f t="shared" si="7"/>
        <v>0</v>
      </c>
      <c r="AX45" s="9" t="s">
        <v>1191</v>
      </c>
      <c r="AY45" s="2">
        <f t="shared" si="8"/>
        <v>0</v>
      </c>
      <c r="AZ45" s="2">
        <f>IFERROR(VLOOKUP(B45,'Inventario Profit'!$A$2:$I$230,9,0),0)</f>
        <v>6190</v>
      </c>
      <c r="BA45" s="2">
        <f t="shared" si="9"/>
        <v>0</v>
      </c>
      <c r="BB45" s="2"/>
    </row>
    <row r="46" spans="2:55" s="11" customFormat="1" ht="15" hidden="1" customHeight="1" x14ac:dyDescent="0.3">
      <c r="B46" s="42">
        <v>550022488</v>
      </c>
      <c r="C46" s="20" t="s">
        <v>117</v>
      </c>
      <c r="D46" s="71" t="s">
        <v>18</v>
      </c>
      <c r="E46" s="9">
        <f>+VLOOKUP(B46,'Recepcion de Producto'!$B$4:LF139,317,0)</f>
        <v>48</v>
      </c>
      <c r="F46" s="9">
        <f>+VLOOKUP(B46,'Salida de Producto'!$B$3:AFL139,843,0)</f>
        <v>47</v>
      </c>
      <c r="G46" s="68" t="s">
        <v>35</v>
      </c>
      <c r="H46" s="69">
        <f t="shared" si="11"/>
        <v>1</v>
      </c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>
        <f t="shared" si="5"/>
        <v>0</v>
      </c>
      <c r="AR46" s="100">
        <v>0.20799999999999999</v>
      </c>
      <c r="AS46" s="102">
        <f t="shared" si="10"/>
        <v>0</v>
      </c>
      <c r="AT46" s="102">
        <f t="shared" si="1"/>
        <v>0</v>
      </c>
      <c r="AU46" s="46">
        <v>1</v>
      </c>
      <c r="AV46" s="46">
        <f>IFERROR(VLOOKUP(B46,'Inventario Profit'!$A$2:$G$235,7,0),0)</f>
        <v>1</v>
      </c>
      <c r="AW46" s="46">
        <f t="shared" si="7"/>
        <v>0</v>
      </c>
      <c r="AX46" s="9" t="s">
        <v>1182</v>
      </c>
      <c r="AY46" s="2">
        <f t="shared" si="8"/>
        <v>0</v>
      </c>
      <c r="AZ46" s="2">
        <f>IFERROR(VLOOKUP(B46,'Inventario Profit'!$A$2:$I$230,9,0),0)</f>
        <v>1</v>
      </c>
      <c r="BA46" s="2">
        <f t="shared" si="9"/>
        <v>0</v>
      </c>
      <c r="BB46" s="2"/>
    </row>
    <row r="47" spans="2:55" s="11" customFormat="1" ht="15" hidden="1" customHeight="1" x14ac:dyDescent="0.3">
      <c r="B47" s="42">
        <v>550036571</v>
      </c>
      <c r="C47" s="20" t="s">
        <v>119</v>
      </c>
      <c r="D47" s="71" t="s">
        <v>18</v>
      </c>
      <c r="E47" s="9">
        <f>+VLOOKUP(B47,'Recepcion de Producto'!$B$4:LF140,317,0)</f>
        <v>120</v>
      </c>
      <c r="F47" s="9">
        <f>+VLOOKUP(B47,'Salida de Producto'!$B$3:AFL140,843,0)</f>
        <v>36</v>
      </c>
      <c r="G47" s="68" t="s">
        <v>35</v>
      </c>
      <c r="H47" s="69">
        <f t="shared" si="11"/>
        <v>84</v>
      </c>
      <c r="I47" s="69"/>
      <c r="J47" s="69"/>
      <c r="K47" s="69"/>
      <c r="L47" s="69"/>
      <c r="M47" s="69"/>
      <c r="N47" s="69"/>
      <c r="O47" s="69"/>
      <c r="P47" s="69"/>
      <c r="Q47" s="69"/>
      <c r="R47" s="88">
        <f>6*4</f>
        <v>24</v>
      </c>
      <c r="S47" s="69"/>
      <c r="T47" s="69"/>
      <c r="U47" s="69"/>
      <c r="V47" s="69"/>
      <c r="W47" s="69"/>
      <c r="X47" s="88">
        <f>12*4</f>
        <v>48</v>
      </c>
      <c r="Y47" s="69"/>
      <c r="Z47" s="88">
        <f>4+3</f>
        <v>7</v>
      </c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>
        <f t="shared" si="5"/>
        <v>79</v>
      </c>
      <c r="AR47" s="69">
        <v>0.20799999999999999</v>
      </c>
      <c r="AS47" s="102">
        <f t="shared" si="10"/>
        <v>16.431999999999999</v>
      </c>
      <c r="AT47" s="102">
        <f t="shared" si="1"/>
        <v>14.619217081850531</v>
      </c>
      <c r="AU47" s="46">
        <f>1+4</f>
        <v>5</v>
      </c>
      <c r="AV47" s="46">
        <f>IFERROR(VLOOKUP(B47,'Inventario Profit'!$A$2:$G$235,7,0),0)</f>
        <v>5</v>
      </c>
      <c r="AW47" s="46">
        <f t="shared" si="7"/>
        <v>0</v>
      </c>
      <c r="AX47" s="9" t="s">
        <v>1222</v>
      </c>
      <c r="AY47" s="2">
        <f t="shared" si="8"/>
        <v>0</v>
      </c>
      <c r="AZ47" s="2">
        <f>IFERROR(VLOOKUP(B47,'Inventario Profit'!$A$2:$I$230,9,0),0)</f>
        <v>84</v>
      </c>
      <c r="BA47" s="2">
        <f t="shared" si="9"/>
        <v>0</v>
      </c>
      <c r="BB47" s="2"/>
    </row>
    <row r="48" spans="2:55" s="11" customFormat="1" ht="15" hidden="1" customHeight="1" x14ac:dyDescent="0.3">
      <c r="B48" s="42">
        <v>550036183</v>
      </c>
      <c r="C48" s="20" t="s">
        <v>121</v>
      </c>
      <c r="D48" s="71" t="s">
        <v>18</v>
      </c>
      <c r="E48" s="9">
        <f>+VLOOKUP(B48,'Recepcion de Producto'!$B$4:LF141,317,0)</f>
        <v>60</v>
      </c>
      <c r="F48" s="9">
        <f>+VLOOKUP(B48,'Salida de Producto'!$B$3:AFL141,843,0)</f>
        <v>34</v>
      </c>
      <c r="G48" s="68" t="s">
        <v>35</v>
      </c>
      <c r="H48" s="69">
        <f t="shared" si="11"/>
        <v>26</v>
      </c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88">
        <f>1+3*4+1</f>
        <v>14</v>
      </c>
      <c r="Y48" s="69"/>
      <c r="Z48" s="88">
        <f>3+2*4</f>
        <v>11</v>
      </c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>
        <f t="shared" si="5"/>
        <v>25</v>
      </c>
      <c r="AR48" s="69">
        <v>0.20799999999999999</v>
      </c>
      <c r="AS48" s="102">
        <f t="shared" si="10"/>
        <v>5.2</v>
      </c>
      <c r="AT48" s="102">
        <f t="shared" si="1"/>
        <v>4.6263345195729535</v>
      </c>
      <c r="AU48" s="46">
        <v>1</v>
      </c>
      <c r="AV48" s="46">
        <f>IFERROR(VLOOKUP(B48,'Inventario Profit'!$A$2:$G$235,7,0),0)</f>
        <v>1</v>
      </c>
      <c r="AW48" s="46">
        <f t="shared" si="7"/>
        <v>0</v>
      </c>
      <c r="AX48" s="9" t="s">
        <v>1182</v>
      </c>
      <c r="AY48" s="2">
        <f t="shared" si="8"/>
        <v>0</v>
      </c>
      <c r="AZ48" s="2">
        <f>IFERROR(VLOOKUP(B48,'Inventario Profit'!$A$2:$I$230,9,0),0)</f>
        <v>26</v>
      </c>
      <c r="BA48" s="2">
        <f t="shared" si="9"/>
        <v>0</v>
      </c>
      <c r="BB48" s="2"/>
    </row>
    <row r="49" spans="2:55" s="11" customFormat="1" ht="15" customHeight="1" x14ac:dyDescent="0.3">
      <c r="B49" s="42">
        <v>550049771</v>
      </c>
      <c r="C49" s="20" t="s">
        <v>123</v>
      </c>
      <c r="D49" s="71" t="s">
        <v>2</v>
      </c>
      <c r="E49" s="9">
        <f>+VLOOKUP(B49,'Recepcion de Producto'!$B$4:LF142,317,0)</f>
        <v>28726</v>
      </c>
      <c r="F49" s="9">
        <f>+VLOOKUP(B49,'Salida de Producto'!$B$3:AFL142,843,0)</f>
        <v>28636</v>
      </c>
      <c r="G49" s="68" t="s">
        <v>34</v>
      </c>
      <c r="H49" s="69">
        <f t="shared" si="11"/>
        <v>90</v>
      </c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12">
        <f>2*175+88+2</f>
        <v>440</v>
      </c>
      <c r="AN49" s="69"/>
      <c r="AO49" s="69"/>
      <c r="AP49" s="69"/>
      <c r="AQ49" s="69">
        <f t="shared" si="5"/>
        <v>440</v>
      </c>
      <c r="AR49" s="100">
        <v>6.0000000000000001E-3</v>
      </c>
      <c r="AS49" s="102">
        <f t="shared" si="10"/>
        <v>2.64</v>
      </c>
      <c r="AT49" s="102">
        <f t="shared" si="1"/>
        <v>2.3487544483985765</v>
      </c>
      <c r="AU49" s="46"/>
      <c r="AV49" s="46">
        <f>IFERROR(VLOOKUP(B49,'Inventario Profit'!$A$2:$G$235,7,0),0)</f>
        <v>0</v>
      </c>
      <c r="AW49" s="46">
        <f t="shared" si="7"/>
        <v>0</v>
      </c>
      <c r="AX49" s="9"/>
      <c r="AY49" s="2">
        <f t="shared" si="8"/>
        <v>350</v>
      </c>
      <c r="AZ49" s="2">
        <f>IFERROR(VLOOKUP(B49,'Inventario Profit'!$A$2:$I$230,9,0),0)</f>
        <v>438</v>
      </c>
      <c r="BA49" s="2">
        <f t="shared" si="9"/>
        <v>-2</v>
      </c>
      <c r="BB49" s="2" t="s">
        <v>1234</v>
      </c>
    </row>
    <row r="50" spans="2:55" s="11" customFormat="1" ht="15" hidden="1" customHeight="1" x14ac:dyDescent="0.3">
      <c r="B50" s="42">
        <v>45657855</v>
      </c>
      <c r="C50" s="20" t="s">
        <v>41</v>
      </c>
      <c r="D50" s="116" t="s">
        <v>4</v>
      </c>
      <c r="E50" s="9">
        <f>+VLOOKUP(B50,'Recepcion de Producto'!$B$4:LF143,317,0)</f>
        <v>360</v>
      </c>
      <c r="F50" s="9">
        <f>+VLOOKUP(B50,'Salida de Producto'!$B$3:AFL143,843,0)</f>
        <v>257</v>
      </c>
      <c r="G50" s="68" t="s">
        <v>35</v>
      </c>
      <c r="H50" s="69">
        <f t="shared" si="11"/>
        <v>103</v>
      </c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88">
        <f>36*2+27</f>
        <v>99</v>
      </c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>
        <f t="shared" si="5"/>
        <v>99</v>
      </c>
      <c r="AR50" s="69">
        <v>0.02</v>
      </c>
      <c r="AS50" s="102">
        <f t="shared" si="10"/>
        <v>1.98</v>
      </c>
      <c r="AT50" s="102">
        <f t="shared" si="1"/>
        <v>1.7615658362989322</v>
      </c>
      <c r="AU50" s="46">
        <f>3+1</f>
        <v>4</v>
      </c>
      <c r="AV50" s="46">
        <f>IFERROR(VLOOKUP(B50,'Inventario Profit'!$A$2:$G$235,7,0),0)</f>
        <v>4</v>
      </c>
      <c r="AW50" s="46">
        <f t="shared" si="7"/>
        <v>0</v>
      </c>
      <c r="AX50" s="112" t="s">
        <v>1185</v>
      </c>
      <c r="AY50" s="2">
        <f t="shared" si="8"/>
        <v>0</v>
      </c>
      <c r="AZ50" s="2">
        <f>IFERROR(VLOOKUP(B50,'Inventario Profit'!$A$2:$I$230,9,0),0)</f>
        <v>103</v>
      </c>
      <c r="BA50" s="2">
        <f t="shared" si="9"/>
        <v>0</v>
      </c>
      <c r="BB50" s="2"/>
    </row>
    <row r="51" spans="2:55" s="11" customFormat="1" ht="15" hidden="1" customHeight="1" x14ac:dyDescent="0.3">
      <c r="B51" s="42">
        <v>550047182</v>
      </c>
      <c r="C51" s="13" t="s">
        <v>1033</v>
      </c>
      <c r="D51" s="71" t="s">
        <v>905</v>
      </c>
      <c r="E51" s="9">
        <f>+VLOOKUP(B51,'Recepcion de Producto'!$B$4:LF144,317,0)</f>
        <v>32</v>
      </c>
      <c r="F51" s="9">
        <f>+VLOOKUP(B51,'Salida de Producto'!$B$3:AFL144,843,0)</f>
        <v>1</v>
      </c>
      <c r="G51" s="68" t="s">
        <v>35</v>
      </c>
      <c r="H51" s="69">
        <f t="shared" si="11"/>
        <v>31</v>
      </c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88">
        <f>3+7*4</f>
        <v>31</v>
      </c>
      <c r="AP51" s="69"/>
      <c r="AQ51" s="69">
        <f t="shared" si="5"/>
        <v>31</v>
      </c>
      <c r="AR51" s="69"/>
      <c r="AS51" s="102"/>
      <c r="AT51" s="102"/>
      <c r="AU51" s="46"/>
      <c r="AV51" s="46">
        <f>IFERROR(VLOOKUP(B51,'Inventario Profit'!$A$2:$G$235,7,0),0)</f>
        <v>0</v>
      </c>
      <c r="AW51" s="46">
        <f t="shared" si="7"/>
        <v>0</v>
      </c>
      <c r="AX51" s="9"/>
      <c r="AY51" s="2">
        <f t="shared" si="8"/>
        <v>0</v>
      </c>
      <c r="AZ51" s="2">
        <f>IFERROR(VLOOKUP(B51,'Inventario Profit'!$A$2:$I$230,9,0),0)</f>
        <v>31</v>
      </c>
      <c r="BA51" s="2">
        <f t="shared" si="9"/>
        <v>0</v>
      </c>
      <c r="BB51" s="2"/>
    </row>
    <row r="52" spans="2:55" s="4" customFormat="1" ht="15" hidden="1" customHeight="1" x14ac:dyDescent="0.3">
      <c r="B52" s="42">
        <v>45659855</v>
      </c>
      <c r="C52" s="20" t="s">
        <v>43</v>
      </c>
      <c r="D52" s="116" t="s">
        <v>4</v>
      </c>
      <c r="E52" s="9">
        <f>+VLOOKUP(B52,'Recepcion de Producto'!$B$4:LF145,317,0)</f>
        <v>1788</v>
      </c>
      <c r="F52" s="9">
        <f>+VLOOKUP(B52,'Salida de Producto'!$B$3:AFL145,843,0)</f>
        <v>1788</v>
      </c>
      <c r="G52" s="68" t="s">
        <v>35</v>
      </c>
      <c r="H52" s="69">
        <f t="shared" si="11"/>
        <v>0</v>
      </c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>
        <f t="shared" si="5"/>
        <v>0</v>
      </c>
      <c r="AR52" s="69">
        <v>0.02</v>
      </c>
      <c r="AS52" s="102">
        <f>AR52*AQ52</f>
        <v>0</v>
      </c>
      <c r="AT52" s="102">
        <f>AS52/1.124</f>
        <v>0</v>
      </c>
      <c r="AU52" s="46"/>
      <c r="AV52" s="46">
        <f>IFERROR(VLOOKUP(B52,'Inventario Profit'!$A$2:$G$235,7,0),0)</f>
        <v>0</v>
      </c>
      <c r="AW52" s="46">
        <f t="shared" ref="AW52:AW97" si="12">+AV52-AU52</f>
        <v>0</v>
      </c>
      <c r="AX52" s="9"/>
      <c r="AY52" s="2">
        <f t="shared" ref="AY52:AY97" si="13">AQ52+AU52-H52</f>
        <v>0</v>
      </c>
      <c r="AZ52" s="2">
        <f>IFERROR(VLOOKUP(B52,'Inventario Profit'!$A$2:$I$230,9,0),0)</f>
        <v>0</v>
      </c>
      <c r="BA52" s="2">
        <f t="shared" ref="BA52:BA97" si="14">AZ52-AQ52-AU52</f>
        <v>0</v>
      </c>
      <c r="BB52" s="2"/>
      <c r="BC52" s="11"/>
    </row>
    <row r="53" spans="2:55" s="11" customFormat="1" ht="15" hidden="1" customHeight="1" x14ac:dyDescent="0.3">
      <c r="B53" s="42">
        <v>45683809</v>
      </c>
      <c r="C53" s="20" t="s">
        <v>45</v>
      </c>
      <c r="D53" s="116" t="s">
        <v>905</v>
      </c>
      <c r="E53" s="9">
        <f>+VLOOKUP(B53,'Recepcion de Producto'!$B$4:LF146,317,0)</f>
        <v>175</v>
      </c>
      <c r="F53" s="9">
        <f>+VLOOKUP(B53,'Salida de Producto'!$B$3:AFL146,843,0)</f>
        <v>175</v>
      </c>
      <c r="G53" s="68" t="s">
        <v>35</v>
      </c>
      <c r="H53" s="69">
        <f t="shared" si="11"/>
        <v>0</v>
      </c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>
        <f t="shared" si="5"/>
        <v>0</v>
      </c>
      <c r="AR53" s="69">
        <v>0.20899999999999999</v>
      </c>
      <c r="AS53" s="102">
        <f>AR53*AQ53</f>
        <v>0</v>
      </c>
      <c r="AT53" s="102">
        <f>AS53/1.124</f>
        <v>0</v>
      </c>
      <c r="AU53" s="46"/>
      <c r="AV53" s="46">
        <f>IFERROR(VLOOKUP(B53,'Inventario Profit'!$A$2:$G$235,7,0),0)</f>
        <v>0</v>
      </c>
      <c r="AW53" s="46">
        <f t="shared" si="12"/>
        <v>0</v>
      </c>
      <c r="AX53" s="9"/>
      <c r="AY53" s="2">
        <f t="shared" si="13"/>
        <v>0</v>
      </c>
      <c r="AZ53" s="2">
        <f>IFERROR(VLOOKUP(B53,'Inventario Profit'!$A$2:$I$230,9,0),0)</f>
        <v>0</v>
      </c>
      <c r="BA53" s="2">
        <f t="shared" si="14"/>
        <v>0</v>
      </c>
      <c r="BB53" s="2"/>
    </row>
    <row r="54" spans="2:55" ht="15" hidden="1" customHeight="1" x14ac:dyDescent="0.3">
      <c r="B54" s="42">
        <v>45660855</v>
      </c>
      <c r="C54" s="20" t="s">
        <v>47</v>
      </c>
      <c r="D54" s="116" t="s">
        <v>4</v>
      </c>
      <c r="E54" s="9">
        <f>+VLOOKUP(B54,'Recepcion de Producto'!$B$4:LF147,317,0)</f>
        <v>1080</v>
      </c>
      <c r="F54" s="9">
        <f>+VLOOKUP(B54,'Salida de Producto'!$B$3:AFL147,843,0)</f>
        <v>1080</v>
      </c>
      <c r="G54" s="68" t="s">
        <v>35</v>
      </c>
      <c r="H54" s="69">
        <f t="shared" si="11"/>
        <v>0</v>
      </c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>
        <f t="shared" si="5"/>
        <v>0</v>
      </c>
      <c r="AR54" s="69">
        <v>0.02</v>
      </c>
      <c r="AS54" s="102">
        <f>AR54*AQ54</f>
        <v>0</v>
      </c>
      <c r="AT54" s="102">
        <f>AS54/1.124</f>
        <v>0</v>
      </c>
      <c r="AU54" s="46"/>
      <c r="AV54" s="46">
        <f>IFERROR(VLOOKUP(B54,'Inventario Profit'!$A$2:$G$235,7,0),0)</f>
        <v>0</v>
      </c>
      <c r="AW54" s="46">
        <f t="shared" si="12"/>
        <v>0</v>
      </c>
      <c r="AX54" s="9"/>
      <c r="AY54" s="2">
        <f t="shared" si="13"/>
        <v>0</v>
      </c>
      <c r="AZ54" s="2">
        <f>IFERROR(VLOOKUP(B54,'Inventario Profit'!$A$2:$I$230,9,0),0)</f>
        <v>0</v>
      </c>
      <c r="BA54" s="2">
        <f t="shared" si="14"/>
        <v>0</v>
      </c>
      <c r="BB54" s="2"/>
      <c r="BC54" s="11"/>
    </row>
    <row r="55" spans="2:55" s="4" customFormat="1" ht="15" hidden="1" customHeight="1" x14ac:dyDescent="0.3">
      <c r="B55" s="42">
        <v>45684809</v>
      </c>
      <c r="C55" s="20" t="s">
        <v>49</v>
      </c>
      <c r="D55" s="71" t="s">
        <v>905</v>
      </c>
      <c r="E55" s="9">
        <f>+VLOOKUP(B55,'Recepcion de Producto'!$B$4:LF148,317,0)</f>
        <v>144</v>
      </c>
      <c r="F55" s="9">
        <f>+VLOOKUP(B55,'Salida de Producto'!$B$3:AFL148,843,0)</f>
        <v>144</v>
      </c>
      <c r="G55" s="68" t="s">
        <v>35</v>
      </c>
      <c r="H55" s="69">
        <f t="shared" si="11"/>
        <v>0</v>
      </c>
      <c r="I55" s="69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>
        <f t="shared" si="5"/>
        <v>0</v>
      </c>
      <c r="AR55" s="69">
        <v>0.20899999999999999</v>
      </c>
      <c r="AS55" s="102">
        <f>AR55*AQ55</f>
        <v>0</v>
      </c>
      <c r="AT55" s="102">
        <f>AS55/1.124</f>
        <v>0</v>
      </c>
      <c r="AU55" s="46"/>
      <c r="AV55" s="46">
        <f>IFERROR(VLOOKUP(B55,'Inventario Profit'!$A$2:$G$235,7,0),0)</f>
        <v>0</v>
      </c>
      <c r="AW55" s="46">
        <f t="shared" si="12"/>
        <v>0</v>
      </c>
      <c r="AX55" s="9"/>
      <c r="AY55" s="2">
        <f t="shared" si="13"/>
        <v>0</v>
      </c>
      <c r="AZ55" s="2">
        <f>IFERROR(VLOOKUP(B55,'Inventario Profit'!$A$2:$I$230,9,0),0)</f>
        <v>0</v>
      </c>
      <c r="BA55" s="2">
        <f t="shared" si="14"/>
        <v>0</v>
      </c>
      <c r="BB55" s="2"/>
      <c r="BC55" s="11"/>
    </row>
    <row r="56" spans="2:55" s="11" customFormat="1" ht="15" hidden="1" customHeight="1" x14ac:dyDescent="0.3">
      <c r="B56" s="42">
        <v>550047184</v>
      </c>
      <c r="C56" s="13" t="s">
        <v>1034</v>
      </c>
      <c r="D56" s="71" t="s">
        <v>905</v>
      </c>
      <c r="E56" s="9">
        <f>+VLOOKUP(B56,'Recepcion de Producto'!$B$4:LF149,317,0)</f>
        <v>32</v>
      </c>
      <c r="F56" s="9">
        <f>+VLOOKUP(B56,'Salida de Producto'!$B$3:AFL149,843,0)</f>
        <v>26</v>
      </c>
      <c r="G56" s="68" t="s">
        <v>35</v>
      </c>
      <c r="H56" s="69">
        <f t="shared" si="11"/>
        <v>6</v>
      </c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12">
        <f>4+2</f>
        <v>6</v>
      </c>
      <c r="AP56" s="69"/>
      <c r="AQ56" s="69">
        <f t="shared" si="5"/>
        <v>6</v>
      </c>
      <c r="AR56" s="69"/>
      <c r="AS56" s="102"/>
      <c r="AT56" s="102"/>
      <c r="AU56" s="46"/>
      <c r="AV56" s="46">
        <f>IFERROR(VLOOKUP(B56,'Inventario Profit'!$A$2:$G$235,7,0),0)</f>
        <v>0</v>
      </c>
      <c r="AW56" s="46">
        <f t="shared" si="12"/>
        <v>0</v>
      </c>
      <c r="AX56" s="112"/>
      <c r="AY56" s="2">
        <f t="shared" si="13"/>
        <v>0</v>
      </c>
      <c r="AZ56" s="2">
        <f>IFERROR(VLOOKUP(B56,'Inventario Profit'!$A$2:$I$230,9,0),0)</f>
        <v>6</v>
      </c>
      <c r="BA56" s="2">
        <f t="shared" si="14"/>
        <v>0</v>
      </c>
      <c r="BB56" s="2"/>
    </row>
    <row r="57" spans="2:55" s="11" customFormat="1" ht="15" hidden="1" customHeight="1" x14ac:dyDescent="0.3">
      <c r="B57" s="42">
        <v>45685855</v>
      </c>
      <c r="C57" s="20" t="s">
        <v>51</v>
      </c>
      <c r="D57" s="71" t="s">
        <v>4</v>
      </c>
      <c r="E57" s="9">
        <f>+VLOOKUP(B57,'Recepcion de Producto'!$B$4:LF150,317,0)</f>
        <v>360</v>
      </c>
      <c r="F57" s="9">
        <f>+VLOOKUP(B57,'Salida de Producto'!$B$3:AFL150,843,0)</f>
        <v>360</v>
      </c>
      <c r="G57" s="68" t="s">
        <v>35</v>
      </c>
      <c r="H57" s="69">
        <f t="shared" si="11"/>
        <v>0</v>
      </c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>
        <f t="shared" si="5"/>
        <v>0</v>
      </c>
      <c r="AR57" s="69">
        <v>0.02</v>
      </c>
      <c r="AS57" s="102">
        <f t="shared" ref="AS57:AS97" si="15">AR57*AQ57</f>
        <v>0</v>
      </c>
      <c r="AT57" s="102">
        <f t="shared" ref="AT57:AT97" si="16">AS57/1.124</f>
        <v>0</v>
      </c>
      <c r="AU57" s="46"/>
      <c r="AV57" s="46">
        <f>IFERROR(VLOOKUP(B57,'Inventario Profit'!$A$2:$G$235,7,0),0)</f>
        <v>0</v>
      </c>
      <c r="AW57" s="46">
        <f t="shared" si="12"/>
        <v>0</v>
      </c>
      <c r="AX57" s="9"/>
      <c r="AY57" s="2">
        <f t="shared" si="13"/>
        <v>0</v>
      </c>
      <c r="AZ57" s="2">
        <f>IFERROR(VLOOKUP(B57,'Inventario Profit'!$A$2:$I$230,9,0),0)</f>
        <v>0</v>
      </c>
      <c r="BA57" s="2">
        <f t="shared" si="14"/>
        <v>0</v>
      </c>
      <c r="BB57" s="2"/>
    </row>
    <row r="58" spans="2:55" s="11" customFormat="1" ht="15" hidden="1" customHeight="1" x14ac:dyDescent="0.3">
      <c r="B58" s="42">
        <v>550025692</v>
      </c>
      <c r="C58" s="20" t="s">
        <v>125</v>
      </c>
      <c r="D58" s="71" t="s">
        <v>4</v>
      </c>
      <c r="E58" s="9">
        <f>+VLOOKUP(B58,'Recepcion de Producto'!$B$4:LF151,317,0)</f>
        <v>2044</v>
      </c>
      <c r="F58" s="9">
        <f>+VLOOKUP(B58,'Salida de Producto'!$B$3:AFL151,843,0)</f>
        <v>537</v>
      </c>
      <c r="G58" s="68" t="s">
        <v>35</v>
      </c>
      <c r="H58" s="69">
        <f t="shared" si="11"/>
        <v>1507</v>
      </c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12">
        <f>12*28+12*28+23+11*28</f>
        <v>1003</v>
      </c>
      <c r="V58" s="88">
        <f>16*28</f>
        <v>448</v>
      </c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>
        <f t="shared" si="5"/>
        <v>1451</v>
      </c>
      <c r="AR58" s="69">
        <v>0.02</v>
      </c>
      <c r="AS58" s="102">
        <f t="shared" si="15"/>
        <v>29.02</v>
      </c>
      <c r="AT58" s="102">
        <f t="shared" si="16"/>
        <v>25.818505338078289</v>
      </c>
      <c r="AU58" s="46">
        <f>2*28</f>
        <v>56</v>
      </c>
      <c r="AV58" s="46">
        <f>IFERROR(VLOOKUP(B58,'Inventario Profit'!$A$2:$G$235,7,0),0)</f>
        <v>56</v>
      </c>
      <c r="AW58" s="46">
        <f t="shared" si="12"/>
        <v>0</v>
      </c>
      <c r="AX58" s="112" t="s">
        <v>1186</v>
      </c>
      <c r="AY58" s="2">
        <f t="shared" si="13"/>
        <v>0</v>
      </c>
      <c r="AZ58" s="2">
        <f>IFERROR(VLOOKUP(B58,'Inventario Profit'!$A$2:$I$230,9,0),0)</f>
        <v>1507</v>
      </c>
      <c r="BA58" s="2">
        <f t="shared" si="14"/>
        <v>0</v>
      </c>
      <c r="BB58" s="2"/>
    </row>
    <row r="59" spans="2:55" s="11" customFormat="1" ht="15" hidden="1" customHeight="1" x14ac:dyDescent="0.3">
      <c r="B59" s="42">
        <v>550026834</v>
      </c>
      <c r="C59" s="20" t="s">
        <v>127</v>
      </c>
      <c r="D59" s="71" t="s">
        <v>18</v>
      </c>
      <c r="E59" s="9">
        <f>+VLOOKUP(B59,'Recepcion de Producto'!$B$4:LF152,317,0)</f>
        <v>212</v>
      </c>
      <c r="F59" s="9">
        <f>+VLOOKUP(B59,'Salida de Producto'!$B$3:AFL152,843,0)</f>
        <v>190</v>
      </c>
      <c r="G59" s="68" t="s">
        <v>35</v>
      </c>
      <c r="H59" s="69">
        <f t="shared" si="11"/>
        <v>22</v>
      </c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88">
        <f>5*4+1</f>
        <v>21</v>
      </c>
      <c r="AH59" s="69"/>
      <c r="AI59" s="69"/>
      <c r="AJ59" s="69"/>
      <c r="AK59" s="69"/>
      <c r="AL59" s="69"/>
      <c r="AM59" s="69"/>
      <c r="AN59" s="69"/>
      <c r="AO59" s="69"/>
      <c r="AP59" s="69"/>
      <c r="AQ59" s="69">
        <f t="shared" si="5"/>
        <v>21</v>
      </c>
      <c r="AR59" s="69">
        <v>0.20799999999999999</v>
      </c>
      <c r="AS59" s="102">
        <f t="shared" si="15"/>
        <v>4.3679999999999994</v>
      </c>
      <c r="AT59" s="102">
        <f t="shared" si="16"/>
        <v>3.8861209964412802</v>
      </c>
      <c r="AU59" s="46">
        <v>1</v>
      </c>
      <c r="AV59" s="46">
        <f>IFERROR(VLOOKUP(B59,'Inventario Profit'!$A$2:$G$235,7,0),0)</f>
        <v>1</v>
      </c>
      <c r="AW59" s="46">
        <f t="shared" si="12"/>
        <v>0</v>
      </c>
      <c r="AX59" s="9" t="s">
        <v>1182</v>
      </c>
      <c r="AY59" s="2">
        <f t="shared" si="13"/>
        <v>0</v>
      </c>
      <c r="AZ59" s="2">
        <f>IFERROR(VLOOKUP(B59,'Inventario Profit'!$A$2:$I$230,9,0),0)</f>
        <v>22</v>
      </c>
      <c r="BA59" s="2">
        <f t="shared" si="14"/>
        <v>0</v>
      </c>
      <c r="BB59" s="2"/>
    </row>
    <row r="60" spans="2:55" ht="15" hidden="1" customHeight="1" x14ac:dyDescent="0.3">
      <c r="B60" s="42"/>
      <c r="C60" s="20" t="s">
        <v>177</v>
      </c>
      <c r="D60" s="71" t="s">
        <v>5</v>
      </c>
      <c r="E60" s="9">
        <f>+VLOOKUP(C60,'Recepcion de Producto'!$C$4:LF153,316,0)</f>
        <v>386</v>
      </c>
      <c r="F60" s="9" t="e">
        <f>+VLOOKUP(B60,'Salida de Producto'!$B$3:AFL153,843,0)</f>
        <v>#N/A</v>
      </c>
      <c r="G60" s="68" t="s">
        <v>35</v>
      </c>
      <c r="H60" s="69" t="e">
        <f t="shared" si="11"/>
        <v>#N/A</v>
      </c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>
        <f t="shared" si="5"/>
        <v>0</v>
      </c>
      <c r="AR60" s="69">
        <v>0.02</v>
      </c>
      <c r="AS60" s="102">
        <f t="shared" si="15"/>
        <v>0</v>
      </c>
      <c r="AT60" s="102">
        <f t="shared" si="16"/>
        <v>0</v>
      </c>
      <c r="AU60" s="46"/>
      <c r="AV60" s="46">
        <f>IFERROR(VLOOKUP(B60,'Inventario Profit'!$A$2:$G$235,7,0),0)</f>
        <v>0</v>
      </c>
      <c r="AW60" s="46">
        <f t="shared" si="12"/>
        <v>0</v>
      </c>
      <c r="AX60" s="9"/>
      <c r="AY60" s="2" t="e">
        <f t="shared" si="13"/>
        <v>#N/A</v>
      </c>
      <c r="AZ60" s="2">
        <f>IFERROR(VLOOKUP(B60,'Inventario Profit'!$A$2:$I$230,9,0),0)</f>
        <v>0</v>
      </c>
      <c r="BA60" s="2">
        <f t="shared" si="14"/>
        <v>0</v>
      </c>
      <c r="BB60" s="2"/>
      <c r="BC60" s="11"/>
    </row>
    <row r="61" spans="2:55" ht="15" hidden="1" customHeight="1" x14ac:dyDescent="0.3">
      <c r="B61" s="42">
        <v>550025702</v>
      </c>
      <c r="C61" s="20" t="s">
        <v>129</v>
      </c>
      <c r="D61" s="71" t="s">
        <v>4</v>
      </c>
      <c r="E61" s="9">
        <f>+VLOOKUP(B61,'Recepcion de Producto'!$B$4:LF154,317,0)</f>
        <v>1818</v>
      </c>
      <c r="F61" s="9">
        <f>+VLOOKUP(B61,'Salida de Producto'!$B$3:AFL154,843,0)</f>
        <v>1346</v>
      </c>
      <c r="G61" s="68" t="s">
        <v>35</v>
      </c>
      <c r="H61" s="69">
        <f>E61-F61</f>
        <v>472</v>
      </c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88">
        <f>3*28+22+9*28</f>
        <v>358</v>
      </c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>
        <f t="shared" si="5"/>
        <v>358</v>
      </c>
      <c r="AR61" s="69">
        <v>0.02</v>
      </c>
      <c r="AS61" s="102">
        <f t="shared" si="15"/>
        <v>7.16</v>
      </c>
      <c r="AT61" s="102">
        <f t="shared" si="16"/>
        <v>6.370106761565836</v>
      </c>
      <c r="AU61" s="46">
        <f>2*28+8+28+22</f>
        <v>114</v>
      </c>
      <c r="AV61" s="46">
        <f>IFERROR(VLOOKUP(B61,'Inventario Profit'!$A$2:$G$235,7,0),0)</f>
        <v>114</v>
      </c>
      <c r="AW61" s="46">
        <f t="shared" si="12"/>
        <v>0</v>
      </c>
      <c r="AX61" s="9" t="s">
        <v>1192</v>
      </c>
      <c r="AY61" s="2">
        <f t="shared" si="13"/>
        <v>0</v>
      </c>
      <c r="AZ61" s="2">
        <f>IFERROR(VLOOKUP(B61,'Inventario Profit'!$A$2:$I$230,9,0),0)</f>
        <v>472</v>
      </c>
      <c r="BA61" s="2">
        <f t="shared" si="14"/>
        <v>0</v>
      </c>
      <c r="BB61" s="2"/>
      <c r="BC61" s="11"/>
    </row>
    <row r="62" spans="2:55" ht="15" customHeight="1" x14ac:dyDescent="0.3">
      <c r="B62" s="42">
        <v>44245855</v>
      </c>
      <c r="C62" s="20" t="s">
        <v>133</v>
      </c>
      <c r="D62" s="71" t="s">
        <v>4</v>
      </c>
      <c r="E62" s="9">
        <f>+VLOOKUP(B62,'Recepcion de Producto'!$B$4:LF155,317,0)</f>
        <v>384192</v>
      </c>
      <c r="F62" s="9">
        <f>+VLOOKUP(B62,'Salida de Producto'!$B$3:AFL155,843,0)</f>
        <v>377686</v>
      </c>
      <c r="G62" s="68" t="s">
        <v>33</v>
      </c>
      <c r="H62" s="69">
        <f t="shared" si="11"/>
        <v>6506</v>
      </c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12">
        <f>4*48+28+5*48+42*48+30*48+5*48+73*36+1+12+19+22</f>
        <v>6838</v>
      </c>
      <c r="AQ62" s="69">
        <f t="shared" si="5"/>
        <v>6838</v>
      </c>
      <c r="AR62" s="100">
        <v>0.02</v>
      </c>
      <c r="AS62" s="102">
        <f t="shared" si="15"/>
        <v>136.76</v>
      </c>
      <c r="AT62" s="102">
        <f t="shared" si="16"/>
        <v>121.67259786476866</v>
      </c>
      <c r="AU62" s="46">
        <f>7+46+48</f>
        <v>101</v>
      </c>
      <c r="AV62" s="46">
        <f>IFERROR(VLOOKUP(B62,'Inventario Profit'!$A$2:$G$235,7,0),0)</f>
        <v>101</v>
      </c>
      <c r="AW62" s="46">
        <f t="shared" si="12"/>
        <v>0</v>
      </c>
      <c r="AX62" s="9" t="s">
        <v>1193</v>
      </c>
      <c r="AY62" s="2">
        <f t="shared" si="13"/>
        <v>433</v>
      </c>
      <c r="AZ62" s="2">
        <f>IFERROR(VLOOKUP(B62,'Inventario Profit'!$A$2:$I$230,9,0),0)</f>
        <v>4995</v>
      </c>
      <c r="BA62" s="9">
        <f t="shared" si="14"/>
        <v>-1944</v>
      </c>
      <c r="BB62" s="2" t="s">
        <v>1236</v>
      </c>
      <c r="BC62" s="11"/>
    </row>
    <row r="63" spans="2:55" s="11" customFormat="1" ht="15" customHeight="1" x14ac:dyDescent="0.3">
      <c r="B63" s="42">
        <v>550044601</v>
      </c>
      <c r="C63" s="20" t="s">
        <v>996</v>
      </c>
      <c r="D63" s="71" t="s">
        <v>905</v>
      </c>
      <c r="E63" s="9">
        <f>+VLOOKUP(B63,'Recepcion de Producto'!$B$4:LF156,317,0)</f>
        <v>1548</v>
      </c>
      <c r="F63" s="9">
        <f>+VLOOKUP(B63,'Salida de Producto'!$B$3:AFL156,843,0)</f>
        <v>591</v>
      </c>
      <c r="G63" s="68" t="s">
        <v>33</v>
      </c>
      <c r="H63" s="69">
        <f t="shared" si="11"/>
        <v>957</v>
      </c>
      <c r="I63" s="69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12">
        <f>2+1+30*4+1*4</f>
        <v>127</v>
      </c>
      <c r="AP63" s="88">
        <f>24*4+24*4+23*4+24*4+24*4+23*4+24*4+23*4+21*4+4</f>
        <v>844</v>
      </c>
      <c r="AQ63" s="69">
        <f t="shared" si="5"/>
        <v>971</v>
      </c>
      <c r="AR63" s="100"/>
      <c r="AS63" s="102"/>
      <c r="AT63" s="102"/>
      <c r="AU63" s="46">
        <v>2</v>
      </c>
      <c r="AV63" s="46">
        <f>IFERROR(VLOOKUP(B63,'Inventario Profit'!$A$2:$G$235,7,0),0)</f>
        <v>2</v>
      </c>
      <c r="AW63" s="46">
        <f t="shared" ref="AW63" si="17">+AV63-AU63</f>
        <v>0</v>
      </c>
      <c r="AX63" s="9" t="s">
        <v>1181</v>
      </c>
      <c r="AY63" s="2">
        <f t="shared" ref="AY63" si="18">AQ63+AU63-H63</f>
        <v>16</v>
      </c>
      <c r="AZ63" s="2">
        <f>IFERROR(VLOOKUP(B63,'Inventario Profit'!$A$2:$I$230,9,0),0)</f>
        <v>972</v>
      </c>
      <c r="BA63" s="2">
        <f t="shared" ref="BA63" si="19">AZ63-AQ63-AU63</f>
        <v>-1</v>
      </c>
      <c r="BB63" s="2" t="s">
        <v>1235</v>
      </c>
    </row>
    <row r="64" spans="2:55" s="11" customFormat="1" ht="15" customHeight="1" x14ac:dyDescent="0.3">
      <c r="B64" s="42">
        <v>44245809</v>
      </c>
      <c r="C64" s="20" t="s">
        <v>131</v>
      </c>
      <c r="D64" s="71" t="s">
        <v>905</v>
      </c>
      <c r="E64" s="9">
        <f>+VLOOKUP(B64,'Recepcion de Producto'!$B$4:LF157,317,0)</f>
        <v>14401</v>
      </c>
      <c r="F64" s="9">
        <f>+VLOOKUP(B64,'Salida de Producto'!$B$3:AFL157,843,0)</f>
        <v>13825</v>
      </c>
      <c r="G64" s="68" t="s">
        <v>33</v>
      </c>
      <c r="H64" s="69">
        <f t="shared" si="11"/>
        <v>576</v>
      </c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12">
        <f>56*4+56*4+32*4</f>
        <v>576</v>
      </c>
      <c r="AQ64" s="69">
        <f t="shared" si="5"/>
        <v>576</v>
      </c>
      <c r="AR64" s="69">
        <v>0.20899999999999999</v>
      </c>
      <c r="AS64" s="102">
        <f t="shared" si="15"/>
        <v>120.384</v>
      </c>
      <c r="AT64" s="102">
        <f t="shared" si="16"/>
        <v>107.10320284697508</v>
      </c>
      <c r="AU64" s="46"/>
      <c r="AV64" s="46">
        <f>IFERROR(VLOOKUP(B64,'Inventario Profit'!$A$2:$G$235,7,0),0)</f>
        <v>0</v>
      </c>
      <c r="AW64" s="46">
        <f t="shared" si="12"/>
        <v>0</v>
      </c>
      <c r="AX64" s="9"/>
      <c r="AY64" s="2">
        <f t="shared" si="13"/>
        <v>0</v>
      </c>
      <c r="AZ64" s="2">
        <f>IFERROR(VLOOKUP(B64,'Inventario Profit'!$A$2:$I$230,9,0),0)</f>
        <v>512</v>
      </c>
      <c r="BA64" s="9">
        <f t="shared" si="14"/>
        <v>-64</v>
      </c>
      <c r="BB64" s="2" t="s">
        <v>1237</v>
      </c>
    </row>
    <row r="65" spans="2:55" ht="15" hidden="1" customHeight="1" x14ac:dyDescent="0.3">
      <c r="B65" s="42">
        <v>550054282</v>
      </c>
      <c r="C65" s="20" t="s">
        <v>178</v>
      </c>
      <c r="D65" s="71" t="s">
        <v>5</v>
      </c>
      <c r="E65" s="9">
        <f>+VLOOKUP(B65,'Recepcion de Producto'!$B$4:LF158,317,0)</f>
        <v>1056</v>
      </c>
      <c r="F65" s="9">
        <f>+VLOOKUP(B65,'Salida de Producto'!$B$3:AFL158,843,0)</f>
        <v>1055</v>
      </c>
      <c r="G65" s="68" t="s">
        <v>35</v>
      </c>
      <c r="H65" s="69">
        <f t="shared" si="11"/>
        <v>1</v>
      </c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>
        <f t="shared" si="5"/>
        <v>0</v>
      </c>
      <c r="AR65" s="100">
        <v>1.02</v>
      </c>
      <c r="AS65" s="102">
        <f t="shared" si="15"/>
        <v>0</v>
      </c>
      <c r="AT65" s="102">
        <f t="shared" si="16"/>
        <v>0</v>
      </c>
      <c r="AU65" s="46">
        <v>1</v>
      </c>
      <c r="AV65" s="46">
        <f>IFERROR(VLOOKUP(B65,'Inventario Profit'!$A$2:$G$235,7,0),0)</f>
        <v>1</v>
      </c>
      <c r="AW65" s="46">
        <f t="shared" si="12"/>
        <v>0</v>
      </c>
      <c r="AX65" s="112" t="s">
        <v>1183</v>
      </c>
      <c r="AY65" s="2">
        <f t="shared" si="13"/>
        <v>0</v>
      </c>
      <c r="AZ65" s="2">
        <f>IFERROR(VLOOKUP(B65,'Inventario Profit'!$A$2:$I$230,9,0),0)</f>
        <v>1</v>
      </c>
      <c r="BA65" s="2">
        <f t="shared" si="14"/>
        <v>0</v>
      </c>
      <c r="BB65" s="51"/>
      <c r="BC65" s="11"/>
    </row>
    <row r="66" spans="2:55" s="4" customFormat="1" ht="15" customHeight="1" x14ac:dyDescent="0.3">
      <c r="B66" s="42">
        <v>550045436</v>
      </c>
      <c r="C66" s="20" t="s">
        <v>137</v>
      </c>
      <c r="D66" s="71" t="s">
        <v>1</v>
      </c>
      <c r="E66" s="9">
        <f>+VLOOKUP(B66,'Recepcion de Producto'!$B$4:LF159,317,0)</f>
        <v>7711</v>
      </c>
      <c r="F66" s="9">
        <f>+VLOOKUP(B66,'Salida de Producto'!$B$3:AFL159,843,0)</f>
        <v>7703</v>
      </c>
      <c r="G66" s="68" t="s">
        <v>34</v>
      </c>
      <c r="H66" s="69">
        <f t="shared" si="11"/>
        <v>8</v>
      </c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88">
        <v>8</v>
      </c>
      <c r="AP66" s="69"/>
      <c r="AQ66" s="69">
        <f t="shared" si="5"/>
        <v>8</v>
      </c>
      <c r="AR66" s="100">
        <v>1.2E-2</v>
      </c>
      <c r="AS66" s="102">
        <f t="shared" si="15"/>
        <v>9.6000000000000002E-2</v>
      </c>
      <c r="AT66" s="102">
        <f t="shared" si="16"/>
        <v>8.5409252669039135E-2</v>
      </c>
      <c r="AU66" s="46"/>
      <c r="AV66" s="46">
        <f>IFERROR(VLOOKUP(B66,'Inventario Profit'!$A$2:$G$235,7,0),0)</f>
        <v>0</v>
      </c>
      <c r="AW66" s="46">
        <f t="shared" si="12"/>
        <v>0</v>
      </c>
      <c r="AX66" s="9"/>
      <c r="AY66" s="2">
        <f t="shared" si="13"/>
        <v>0</v>
      </c>
      <c r="AZ66" s="2">
        <f>IFERROR(VLOOKUP(B66,'Inventario Profit'!$A$2:$I$230,9,0),0)</f>
        <v>8</v>
      </c>
      <c r="BA66" s="2">
        <f t="shared" si="14"/>
        <v>0</v>
      </c>
      <c r="BB66" s="9"/>
      <c r="BC66" s="11"/>
    </row>
    <row r="67" spans="2:55" s="11" customFormat="1" ht="15" customHeight="1" x14ac:dyDescent="0.3">
      <c r="B67" s="42">
        <v>44243855</v>
      </c>
      <c r="C67" s="20" t="s">
        <v>135</v>
      </c>
      <c r="D67" s="71" t="s">
        <v>4</v>
      </c>
      <c r="E67" s="9">
        <f>+VLOOKUP(B67,'Recepcion de Producto'!$B$4:LF160,317,0)</f>
        <v>141627</v>
      </c>
      <c r="F67" s="9">
        <f>+VLOOKUP(B67,'Salida de Producto'!$B$3:AFL160,843,0)</f>
        <v>136267</v>
      </c>
      <c r="G67" s="68" t="s">
        <v>33</v>
      </c>
      <c r="H67" s="69">
        <f t="shared" si="11"/>
        <v>5360</v>
      </c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12">
        <f>21+24*48+10*48+56*48+28*48</f>
        <v>5685</v>
      </c>
      <c r="AQ67" s="69">
        <f t="shared" si="5"/>
        <v>5685</v>
      </c>
      <c r="AR67" s="100">
        <v>0.02</v>
      </c>
      <c r="AS67" s="102">
        <f t="shared" si="15"/>
        <v>113.7</v>
      </c>
      <c r="AT67" s="102">
        <f t="shared" si="16"/>
        <v>101.15658362989323</v>
      </c>
      <c r="AU67" s="46">
        <f>22+36+1</f>
        <v>59</v>
      </c>
      <c r="AV67" s="46">
        <f>IFERROR(VLOOKUP(B67,'Inventario Profit'!$A$2:$G$235,7,0),0)</f>
        <v>59</v>
      </c>
      <c r="AW67" s="46">
        <f t="shared" si="12"/>
        <v>0</v>
      </c>
      <c r="AX67" s="112" t="s">
        <v>1194</v>
      </c>
      <c r="AY67" s="2">
        <f t="shared" si="13"/>
        <v>384</v>
      </c>
      <c r="AZ67" s="2">
        <f>IFERROR(VLOOKUP(B67,'Inventario Profit'!$A$2:$I$230,9,0),0)</f>
        <v>5744</v>
      </c>
      <c r="BA67" s="9">
        <f t="shared" si="14"/>
        <v>0</v>
      </c>
      <c r="BB67" s="2"/>
    </row>
    <row r="68" spans="2:55" s="11" customFormat="1" ht="15" customHeight="1" x14ac:dyDescent="0.3">
      <c r="B68" s="42">
        <v>44243809</v>
      </c>
      <c r="C68" s="20" t="s">
        <v>139</v>
      </c>
      <c r="D68" s="71" t="s">
        <v>905</v>
      </c>
      <c r="E68" s="9">
        <f>+VLOOKUP(B68,'Recepcion de Producto'!$B$4:LF161,317,0)</f>
        <v>12166</v>
      </c>
      <c r="F68" s="9">
        <f>+VLOOKUP(B68,'Salida de Producto'!$B$3:AFL161,843,0)</f>
        <v>11397</v>
      </c>
      <c r="G68" s="68" t="s">
        <v>33</v>
      </c>
      <c r="H68" s="69">
        <f t="shared" si="11"/>
        <v>769</v>
      </c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12">
        <f>58*4+22*4</f>
        <v>320</v>
      </c>
      <c r="AP68" s="88">
        <f>32*4+32*4+32*4</f>
        <v>384</v>
      </c>
      <c r="AQ68" s="69">
        <f t="shared" si="5"/>
        <v>704</v>
      </c>
      <c r="AR68" s="100">
        <v>0.20899999999999999</v>
      </c>
      <c r="AS68" s="102">
        <f t="shared" si="15"/>
        <v>147.136</v>
      </c>
      <c r="AT68" s="102">
        <f t="shared" si="16"/>
        <v>130.90391459074732</v>
      </c>
      <c r="AU68" s="46">
        <f>10*4+9*4+1+4</f>
        <v>81</v>
      </c>
      <c r="AV68" s="46">
        <f>IFERROR(VLOOKUP(B68,'Inventario Profit'!$A$2:$G$235,7,0),0)</f>
        <v>87</v>
      </c>
      <c r="AW68" s="46">
        <f t="shared" si="12"/>
        <v>6</v>
      </c>
      <c r="AX68" s="9" t="s">
        <v>1195</v>
      </c>
      <c r="AY68" s="2">
        <f t="shared" si="13"/>
        <v>16</v>
      </c>
      <c r="AZ68" s="2">
        <f>IFERROR(VLOOKUP(B68,'Inventario Profit'!$A$2:$I$230,9,0),0)</f>
        <v>1071</v>
      </c>
      <c r="BA68" s="9">
        <f t="shared" si="14"/>
        <v>286</v>
      </c>
      <c r="BB68" s="60" t="s">
        <v>1238</v>
      </c>
    </row>
    <row r="69" spans="2:55" s="11" customFormat="1" ht="15" customHeight="1" x14ac:dyDescent="0.3">
      <c r="B69" s="42">
        <v>550038020</v>
      </c>
      <c r="C69" s="20" t="s">
        <v>139</v>
      </c>
      <c r="D69" s="71" t="s">
        <v>905</v>
      </c>
      <c r="E69" s="9">
        <f>+VLOOKUP(B69,'Recepcion de Producto'!$B$4:LF162,317,0)</f>
        <v>349</v>
      </c>
      <c r="F69" s="9">
        <f>+VLOOKUP(B69,'Salida de Producto'!$B$3:AFL162,843,0)</f>
        <v>63</v>
      </c>
      <c r="G69" s="68" t="s">
        <v>33</v>
      </c>
      <c r="H69" s="69">
        <f t="shared" si="11"/>
        <v>286</v>
      </c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12">
        <f>14*4+18*4+22*4+16*4</f>
        <v>280</v>
      </c>
      <c r="AO69" s="69"/>
      <c r="AP69" s="69"/>
      <c r="AQ69" s="69">
        <f t="shared" si="5"/>
        <v>280</v>
      </c>
      <c r="AR69" s="100"/>
      <c r="AS69" s="102"/>
      <c r="AT69" s="102"/>
      <c r="AU69" s="46">
        <f>4+2</f>
        <v>6</v>
      </c>
      <c r="AV69" s="46">
        <f>IFERROR(VLOOKUP(B69,'Inventario Profit'!$A$2:$G$235,7,0),0)</f>
        <v>0</v>
      </c>
      <c r="AW69" s="46">
        <f t="shared" si="12"/>
        <v>-6</v>
      </c>
      <c r="AX69" s="9" t="s">
        <v>1181</v>
      </c>
      <c r="AY69" s="2">
        <f t="shared" si="13"/>
        <v>0</v>
      </c>
      <c r="AZ69" s="2">
        <f>IFERROR(VLOOKUP(B69,'Inventario Profit'!$A$2:$I$230,9,0),0)</f>
        <v>0</v>
      </c>
      <c r="BA69" s="9">
        <f t="shared" si="14"/>
        <v>-286</v>
      </c>
      <c r="BB69" s="60" t="s">
        <v>1239</v>
      </c>
    </row>
    <row r="70" spans="2:55" s="11" customFormat="1" ht="15" customHeight="1" x14ac:dyDescent="0.3">
      <c r="B70" s="42">
        <v>550045438</v>
      </c>
      <c r="C70" s="20" t="s">
        <v>141</v>
      </c>
      <c r="D70" s="71" t="s">
        <v>1</v>
      </c>
      <c r="E70" s="9">
        <f>+VLOOKUP(B70,'Recepcion de Producto'!$B$4:LF163,317,0)</f>
        <v>5012</v>
      </c>
      <c r="F70" s="9">
        <f>+VLOOKUP(B70,'Salida de Producto'!$B$3:AFL163,843,0)</f>
        <v>5009</v>
      </c>
      <c r="G70" s="68" t="s">
        <v>34</v>
      </c>
      <c r="H70" s="69">
        <f t="shared" ref="H70:H97" si="20">E70-F70</f>
        <v>3</v>
      </c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88">
        <v>3</v>
      </c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>
        <f t="shared" ref="AQ70:AQ97" si="21">SUM(I70:AP70)</f>
        <v>3</v>
      </c>
      <c r="AR70" s="100">
        <v>1.2E-2</v>
      </c>
      <c r="AS70" s="102">
        <f t="shared" si="15"/>
        <v>3.6000000000000004E-2</v>
      </c>
      <c r="AT70" s="102">
        <f t="shared" si="16"/>
        <v>3.2028469750889681E-2</v>
      </c>
      <c r="AU70" s="46"/>
      <c r="AV70" s="46">
        <f>IFERROR(VLOOKUP(B70,'Inventario Profit'!$A$2:$G$235,7,0),0)</f>
        <v>0</v>
      </c>
      <c r="AW70" s="46">
        <f t="shared" si="12"/>
        <v>0</v>
      </c>
      <c r="AX70" s="9"/>
      <c r="AY70" s="2">
        <f t="shared" si="13"/>
        <v>0</v>
      </c>
      <c r="AZ70" s="2">
        <f>IFERROR(VLOOKUP(B70,'Inventario Profit'!$A$2:$I$230,9,0),0)</f>
        <v>3</v>
      </c>
      <c r="BA70" s="2">
        <f t="shared" si="14"/>
        <v>0</v>
      </c>
      <c r="BB70" s="9"/>
    </row>
    <row r="71" spans="2:55" ht="15" hidden="1" customHeight="1" x14ac:dyDescent="0.3">
      <c r="B71" s="42">
        <v>44414855</v>
      </c>
      <c r="C71" s="20" t="s">
        <v>143</v>
      </c>
      <c r="D71" s="71" t="s">
        <v>4</v>
      </c>
      <c r="E71" s="9">
        <f>+VLOOKUP(B71,'Recepcion de Producto'!$B$4:LF164,317,0)</f>
        <v>3599</v>
      </c>
      <c r="F71" s="9">
        <f>+VLOOKUP(B71,'Salida de Producto'!$B$3:AFL164,843,0)</f>
        <v>3599</v>
      </c>
      <c r="G71" s="68" t="s">
        <v>35</v>
      </c>
      <c r="H71" s="69">
        <f t="shared" si="20"/>
        <v>0</v>
      </c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>
        <f t="shared" si="5"/>
        <v>0</v>
      </c>
      <c r="AR71" s="69">
        <v>0.02</v>
      </c>
      <c r="AS71" s="102">
        <f t="shared" si="15"/>
        <v>0</v>
      </c>
      <c r="AT71" s="102">
        <f t="shared" si="16"/>
        <v>0</v>
      </c>
      <c r="AU71" s="46"/>
      <c r="AV71" s="46">
        <f>IFERROR(VLOOKUP(B71,'Inventario Profit'!$A$2:$G$235,7,0),0)</f>
        <v>0</v>
      </c>
      <c r="AW71" s="46">
        <f t="shared" si="12"/>
        <v>0</v>
      </c>
      <c r="AX71" s="9"/>
      <c r="AY71" s="2">
        <f t="shared" si="13"/>
        <v>0</v>
      </c>
      <c r="AZ71" s="2">
        <f>IFERROR(VLOOKUP(B71,'Inventario Profit'!$A$2:$I$230,9,0),0)</f>
        <v>0</v>
      </c>
      <c r="BA71" s="2">
        <f t="shared" si="14"/>
        <v>0</v>
      </c>
      <c r="BB71" s="2"/>
      <c r="BC71" s="11"/>
    </row>
    <row r="72" spans="2:55" s="11" customFormat="1" ht="15" hidden="1" customHeight="1" x14ac:dyDescent="0.3">
      <c r="B72" s="42">
        <v>550032121</v>
      </c>
      <c r="C72" s="20" t="s">
        <v>145</v>
      </c>
      <c r="D72" s="71" t="s">
        <v>18</v>
      </c>
      <c r="E72" s="9">
        <f>+VLOOKUP(B72,'Recepcion de Producto'!$B$4:LF165,317,0)</f>
        <v>48</v>
      </c>
      <c r="F72" s="9">
        <f>+VLOOKUP(B72,'Salida de Producto'!$B$3:AFL165,843,0)</f>
        <v>8</v>
      </c>
      <c r="G72" s="68" t="s">
        <v>35</v>
      </c>
      <c r="H72" s="69">
        <f t="shared" si="20"/>
        <v>40</v>
      </c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12">
        <f>10*4</f>
        <v>40</v>
      </c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>
        <f t="shared" si="21"/>
        <v>40</v>
      </c>
      <c r="AR72" s="69">
        <v>0.20799999999999999</v>
      </c>
      <c r="AS72" s="102">
        <f t="shared" si="15"/>
        <v>8.32</v>
      </c>
      <c r="AT72" s="102">
        <f t="shared" si="16"/>
        <v>7.4021352313167252</v>
      </c>
      <c r="AU72" s="46"/>
      <c r="AV72" s="46">
        <f>IFERROR(VLOOKUP(B72,'Inventario Profit'!$A$2:$G$235,7,0),0)</f>
        <v>0</v>
      </c>
      <c r="AW72" s="46">
        <f t="shared" si="12"/>
        <v>0</v>
      </c>
      <c r="AX72" s="9"/>
      <c r="AY72" s="2">
        <f t="shared" si="13"/>
        <v>0</v>
      </c>
      <c r="AZ72" s="2">
        <f>IFERROR(VLOOKUP(B72,'Inventario Profit'!$A$2:$I$230,9,0),0)</f>
        <v>40</v>
      </c>
      <c r="BA72" s="2">
        <f t="shared" si="14"/>
        <v>0</v>
      </c>
      <c r="BB72" s="2"/>
    </row>
    <row r="73" spans="2:55" s="11" customFormat="1" ht="15" hidden="1" customHeight="1" x14ac:dyDescent="0.3">
      <c r="B73" s="42">
        <v>45387905</v>
      </c>
      <c r="C73" s="20" t="s">
        <v>147</v>
      </c>
      <c r="D73" s="71" t="s">
        <v>3</v>
      </c>
      <c r="E73" s="9">
        <f>+VLOOKUP(B73,'Recepcion de Producto'!$B$4:LF166,317,0)</f>
        <v>10208</v>
      </c>
      <c r="F73" s="9">
        <f>+VLOOKUP(B73,'Salida de Producto'!$B$3:AFL166,843,0)</f>
        <v>10201</v>
      </c>
      <c r="G73" s="68" t="s">
        <v>35</v>
      </c>
      <c r="H73" s="69">
        <f t="shared" si="20"/>
        <v>7</v>
      </c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12">
        <v>6</v>
      </c>
      <c r="AN73" s="69"/>
      <c r="AO73" s="69"/>
      <c r="AP73" s="69"/>
      <c r="AQ73" s="69">
        <f t="shared" si="21"/>
        <v>6</v>
      </c>
      <c r="AR73" s="69">
        <v>1.2E-2</v>
      </c>
      <c r="AS73" s="102">
        <f t="shared" si="15"/>
        <v>7.2000000000000008E-2</v>
      </c>
      <c r="AT73" s="102">
        <f t="shared" si="16"/>
        <v>6.4056939501779361E-2</v>
      </c>
      <c r="AU73" s="46">
        <v>1</v>
      </c>
      <c r="AV73" s="46">
        <f>IFERROR(VLOOKUP(B73,'Inventario Profit'!$A$2:$G$235,7,0),0)</f>
        <v>1</v>
      </c>
      <c r="AW73" s="46">
        <f t="shared" si="12"/>
        <v>0</v>
      </c>
      <c r="AX73" s="112" t="s">
        <v>1182</v>
      </c>
      <c r="AY73" s="2">
        <f t="shared" si="13"/>
        <v>0</v>
      </c>
      <c r="AZ73" s="2">
        <f>IFERROR(VLOOKUP(B73,'Inventario Profit'!$A$2:$I$230,9,0),0)</f>
        <v>7</v>
      </c>
      <c r="BA73" s="2">
        <f t="shared" si="14"/>
        <v>0</v>
      </c>
      <c r="BB73" s="2"/>
    </row>
    <row r="74" spans="2:55" s="4" customFormat="1" ht="15" hidden="1" customHeight="1" x14ac:dyDescent="0.3">
      <c r="B74" s="42"/>
      <c r="C74" s="20" t="s">
        <v>988</v>
      </c>
      <c r="D74" s="71">
        <v>209</v>
      </c>
      <c r="E74" s="9">
        <f>+VLOOKUP(C74,'Recepcion de Producto'!$C$4:LF167,316,0)</f>
        <v>70</v>
      </c>
      <c r="F74" s="9" t="e">
        <f>+VLOOKUP(B74,'Salida de Producto'!$B$3:AFL167,843,0)</f>
        <v>#N/A</v>
      </c>
      <c r="G74" s="68" t="s">
        <v>35</v>
      </c>
      <c r="H74" s="69" t="e">
        <f t="shared" si="20"/>
        <v>#N/A</v>
      </c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>
        <f t="shared" si="21"/>
        <v>0</v>
      </c>
      <c r="AR74" s="69">
        <v>0.20899999999999999</v>
      </c>
      <c r="AS74" s="102">
        <f t="shared" si="15"/>
        <v>0</v>
      </c>
      <c r="AT74" s="102">
        <f t="shared" si="16"/>
        <v>0</v>
      </c>
      <c r="AU74" s="46">
        <f>4*4</f>
        <v>16</v>
      </c>
      <c r="AV74" s="46">
        <f>IFERROR(VLOOKUP(B74,'Inventario Profit'!$A$2:$G$235,7,0),0)</f>
        <v>0</v>
      </c>
      <c r="AW74" s="46">
        <f t="shared" si="12"/>
        <v>-16</v>
      </c>
      <c r="AX74" s="9" t="s">
        <v>1181</v>
      </c>
      <c r="AY74" s="2" t="e">
        <f t="shared" si="13"/>
        <v>#N/A</v>
      </c>
      <c r="AZ74" s="2">
        <f>IFERROR(VLOOKUP(B74,'Inventario Profit'!$A$2:$I$230,9,0),0)</f>
        <v>0</v>
      </c>
      <c r="BA74" s="2">
        <f t="shared" si="14"/>
        <v>-16</v>
      </c>
      <c r="BB74" s="60" t="s">
        <v>1032</v>
      </c>
      <c r="BC74" s="11"/>
    </row>
    <row r="75" spans="2:55" s="11" customFormat="1" ht="15" hidden="1" customHeight="1" x14ac:dyDescent="0.3">
      <c r="B75" s="42">
        <v>550029925</v>
      </c>
      <c r="C75" s="20" t="s">
        <v>149</v>
      </c>
      <c r="D75" s="71" t="s">
        <v>18</v>
      </c>
      <c r="E75" s="9">
        <f>+VLOOKUP(B75,'Recepcion de Producto'!$B$4:LF168,317,0)</f>
        <v>224</v>
      </c>
      <c r="F75" s="9">
        <f>+VLOOKUP(B75,'Salida de Producto'!$B$3:AFL168,843,0)</f>
        <v>273</v>
      </c>
      <c r="G75" s="68" t="s">
        <v>35</v>
      </c>
      <c r="H75" s="69">
        <f t="shared" si="20"/>
        <v>-49</v>
      </c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>
        <f t="shared" si="21"/>
        <v>0</v>
      </c>
      <c r="AR75" s="69">
        <v>0.20899999999999999</v>
      </c>
      <c r="AS75" s="102">
        <f t="shared" si="15"/>
        <v>0</v>
      </c>
      <c r="AT75" s="102">
        <f t="shared" si="16"/>
        <v>0</v>
      </c>
      <c r="AU75" s="46"/>
      <c r="AV75" s="46">
        <f>IFERROR(VLOOKUP(B75,'Inventario Profit'!$A$2:$G$235,7,0),0)</f>
        <v>8</v>
      </c>
      <c r="AW75" s="46">
        <f t="shared" si="12"/>
        <v>8</v>
      </c>
      <c r="AX75" s="9" t="s">
        <v>1196</v>
      </c>
      <c r="AY75" s="2">
        <f t="shared" si="13"/>
        <v>49</v>
      </c>
      <c r="AZ75" s="2">
        <f>IFERROR(VLOOKUP(B75,'Inventario Profit'!$A$2:$I$230,9,0),0)</f>
        <v>8</v>
      </c>
      <c r="BA75" s="2">
        <f t="shared" si="14"/>
        <v>8</v>
      </c>
      <c r="BB75" s="60" t="s">
        <v>1032</v>
      </c>
    </row>
    <row r="76" spans="2:55" s="11" customFormat="1" ht="15" hidden="1" customHeight="1" x14ac:dyDescent="0.3">
      <c r="B76" s="42">
        <v>550049811</v>
      </c>
      <c r="C76" s="13" t="s">
        <v>975</v>
      </c>
      <c r="D76" s="71" t="s">
        <v>2</v>
      </c>
      <c r="E76" s="9">
        <f>+VLOOKUP(B76,'Recepcion de Producto'!$B$4:LF169,317,0)</f>
        <v>3150</v>
      </c>
      <c r="F76" s="9">
        <f>+VLOOKUP(B76,'Salida de Producto'!$B$3:AFL169,843,0)</f>
        <v>875</v>
      </c>
      <c r="G76" s="68" t="s">
        <v>35</v>
      </c>
      <c r="H76" s="69">
        <f t="shared" si="20"/>
        <v>2275</v>
      </c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12">
        <f>5*175</f>
        <v>875</v>
      </c>
      <c r="AO76" s="88">
        <f>8*175+171</f>
        <v>1571</v>
      </c>
      <c r="AP76" s="69"/>
      <c r="AQ76" s="69">
        <f t="shared" si="21"/>
        <v>2446</v>
      </c>
      <c r="AR76" s="100">
        <v>6.0000000000000001E-3</v>
      </c>
      <c r="AS76" s="102">
        <f t="shared" si="15"/>
        <v>14.676</v>
      </c>
      <c r="AT76" s="102">
        <f t="shared" si="16"/>
        <v>13.056939501779357</v>
      </c>
      <c r="AU76" s="46">
        <v>4</v>
      </c>
      <c r="AV76" s="46">
        <f>IFERROR(VLOOKUP(B76,'Inventario Profit'!$A$2:$G$235,7,0),0)</f>
        <v>4</v>
      </c>
      <c r="AW76" s="46">
        <f t="shared" si="12"/>
        <v>0</v>
      </c>
      <c r="AX76" s="9" t="s">
        <v>1226</v>
      </c>
      <c r="AY76" s="2">
        <f t="shared" si="13"/>
        <v>175</v>
      </c>
      <c r="AZ76" s="2">
        <f>IFERROR(VLOOKUP(B76,'Inventario Profit'!$A$2:$I$230,9,0),0)</f>
        <v>2275</v>
      </c>
      <c r="BA76" s="2">
        <f t="shared" si="14"/>
        <v>-175</v>
      </c>
      <c r="BB76" s="2"/>
    </row>
    <row r="77" spans="2:55" ht="15" hidden="1" customHeight="1" x14ac:dyDescent="0.3">
      <c r="B77" s="42">
        <v>45372905</v>
      </c>
      <c r="C77" s="20" t="s">
        <v>151</v>
      </c>
      <c r="D77" s="71" t="s">
        <v>3</v>
      </c>
      <c r="E77" s="9">
        <f>+VLOOKUP(B77,'Recepcion de Producto'!$B$4:LF170,317,0)</f>
        <v>8844</v>
      </c>
      <c r="F77" s="9">
        <f>+VLOOKUP(B77,'Salida de Producto'!$B$3:AFL170,843,0)</f>
        <v>8843</v>
      </c>
      <c r="G77" s="68" t="s">
        <v>35</v>
      </c>
      <c r="H77" s="69">
        <f t="shared" si="20"/>
        <v>1</v>
      </c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88">
        <v>1</v>
      </c>
      <c r="AN77" s="69"/>
      <c r="AO77" s="69"/>
      <c r="AP77" s="69"/>
      <c r="AQ77" s="69">
        <f t="shared" si="21"/>
        <v>1</v>
      </c>
      <c r="AR77" s="69">
        <v>1.2E-2</v>
      </c>
      <c r="AS77" s="102">
        <f t="shared" si="15"/>
        <v>1.2E-2</v>
      </c>
      <c r="AT77" s="102">
        <f t="shared" si="16"/>
        <v>1.0676156583629892E-2</v>
      </c>
      <c r="AU77" s="46"/>
      <c r="AV77" s="46">
        <f>IFERROR(VLOOKUP(B77,'Inventario Profit'!$A$2:$G$235,7,0),0)</f>
        <v>0</v>
      </c>
      <c r="AW77" s="46">
        <f t="shared" si="12"/>
        <v>0</v>
      </c>
      <c r="AX77" s="112" t="s">
        <v>1197</v>
      </c>
      <c r="AY77" s="2">
        <f t="shared" si="13"/>
        <v>0</v>
      </c>
      <c r="AZ77" s="2">
        <f>IFERROR(VLOOKUP(B77,'Inventario Profit'!$A$2:$I$230,9,0),0)</f>
        <v>2</v>
      </c>
      <c r="BA77" s="2">
        <f t="shared" si="14"/>
        <v>1</v>
      </c>
      <c r="BB77" s="2" t="s">
        <v>1170</v>
      </c>
      <c r="BC77" s="11"/>
    </row>
    <row r="78" spans="2:55" s="11" customFormat="1" ht="15" hidden="1" customHeight="1" x14ac:dyDescent="0.3">
      <c r="B78" s="42">
        <v>45372855</v>
      </c>
      <c r="C78" s="20" t="s">
        <v>153</v>
      </c>
      <c r="D78" s="71" t="s">
        <v>4</v>
      </c>
      <c r="E78" s="9">
        <f>+VLOOKUP(B78,'Recepcion de Producto'!$B$4:LF171,317,0)</f>
        <v>3132</v>
      </c>
      <c r="F78" s="9">
        <f>+VLOOKUP(B78,'Salida de Producto'!$B$3:AFL171,843,0)</f>
        <v>3131</v>
      </c>
      <c r="G78" s="68" t="s">
        <v>35</v>
      </c>
      <c r="H78" s="69">
        <f t="shared" si="20"/>
        <v>1</v>
      </c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>
        <f t="shared" si="21"/>
        <v>0</v>
      </c>
      <c r="AR78" s="69">
        <v>0.02</v>
      </c>
      <c r="AS78" s="102">
        <f t="shared" si="15"/>
        <v>0</v>
      </c>
      <c r="AT78" s="102">
        <f t="shared" si="16"/>
        <v>0</v>
      </c>
      <c r="AU78" s="46">
        <v>1</v>
      </c>
      <c r="AV78" s="46">
        <f>IFERROR(VLOOKUP(B78,'Inventario Profit'!$A$2:$G$235,7,0),0)</f>
        <v>1</v>
      </c>
      <c r="AW78" s="46">
        <f t="shared" si="12"/>
        <v>0</v>
      </c>
      <c r="AX78" s="9" t="s">
        <v>1185</v>
      </c>
      <c r="AY78" s="2">
        <f t="shared" si="13"/>
        <v>0</v>
      </c>
      <c r="AZ78" s="2">
        <f>IFERROR(VLOOKUP(B78,'Inventario Profit'!$A$2:$I$230,9,0),0)</f>
        <v>1</v>
      </c>
      <c r="BA78" s="2">
        <f t="shared" si="14"/>
        <v>0</v>
      </c>
      <c r="BB78" s="2"/>
    </row>
    <row r="79" spans="2:55" ht="15" hidden="1" customHeight="1" x14ac:dyDescent="0.3">
      <c r="B79" s="42">
        <v>550049812</v>
      </c>
      <c r="C79" s="13" t="s">
        <v>976</v>
      </c>
      <c r="D79" s="71" t="s">
        <v>2</v>
      </c>
      <c r="E79" s="9">
        <f>+VLOOKUP(B79,'Recepcion de Producto'!$B$4:LF172,317,0)</f>
        <v>3326</v>
      </c>
      <c r="F79" s="9">
        <f>+VLOOKUP(B79,'Salida de Producto'!$B$3:AFL172,843,0)</f>
        <v>1401</v>
      </c>
      <c r="G79" s="68" t="s">
        <v>35</v>
      </c>
      <c r="H79" s="69">
        <f t="shared" si="20"/>
        <v>1925</v>
      </c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12">
        <f>3*175</f>
        <v>525</v>
      </c>
      <c r="AO79" s="88">
        <f>9*175</f>
        <v>1575</v>
      </c>
      <c r="AP79" s="69"/>
      <c r="AQ79" s="69">
        <f t="shared" si="21"/>
        <v>2100</v>
      </c>
      <c r="AR79" s="100">
        <v>6.0000000000000001E-3</v>
      </c>
      <c r="AS79" s="102">
        <f t="shared" si="15"/>
        <v>12.6</v>
      </c>
      <c r="AT79" s="102">
        <f t="shared" si="16"/>
        <v>11.209964412811386</v>
      </c>
      <c r="AU79" s="46"/>
      <c r="AV79" s="46">
        <f>IFERROR(VLOOKUP(B79,'Inventario Profit'!$A$2:$G$235,7,0),0)</f>
        <v>0</v>
      </c>
      <c r="AW79" s="46">
        <f t="shared" si="12"/>
        <v>0</v>
      </c>
      <c r="AX79" s="9"/>
      <c r="AY79" s="2">
        <f t="shared" si="13"/>
        <v>175</v>
      </c>
      <c r="AZ79" s="2">
        <f>IFERROR(VLOOKUP(B79,'Inventario Profit'!$A$2:$I$230,9,0),0)</f>
        <v>1925</v>
      </c>
      <c r="BA79" s="2">
        <f t="shared" si="14"/>
        <v>-175</v>
      </c>
      <c r="BB79" s="2"/>
      <c r="BC79" s="11"/>
    </row>
    <row r="80" spans="2:55" ht="15" customHeight="1" x14ac:dyDescent="0.3">
      <c r="B80" s="42">
        <v>45372809</v>
      </c>
      <c r="C80" s="20" t="s">
        <v>155</v>
      </c>
      <c r="D80" s="71" t="s">
        <v>905</v>
      </c>
      <c r="E80" s="9">
        <f>+VLOOKUP(B80,'Recepcion de Producto'!$B$4:LF173,317,0)</f>
        <v>471</v>
      </c>
      <c r="F80" s="9">
        <f>+VLOOKUP(B80,'Salida de Producto'!$B$3:AFL173,843,0)</f>
        <v>471</v>
      </c>
      <c r="G80" s="68" t="s">
        <v>34</v>
      </c>
      <c r="H80" s="69">
        <f t="shared" si="20"/>
        <v>0</v>
      </c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>
        <f t="shared" si="21"/>
        <v>0</v>
      </c>
      <c r="AR80" s="100">
        <v>0.20899999999999999</v>
      </c>
      <c r="AS80" s="102">
        <f t="shared" si="15"/>
        <v>0</v>
      </c>
      <c r="AT80" s="102">
        <f t="shared" si="16"/>
        <v>0</v>
      </c>
      <c r="AU80" s="46"/>
      <c r="AV80" s="46">
        <f>IFERROR(VLOOKUP(B80,'Inventario Profit'!$A$2:$G$235,7,0),0)</f>
        <v>0</v>
      </c>
      <c r="AW80" s="46">
        <f t="shared" si="12"/>
        <v>0</v>
      </c>
      <c r="AX80" s="112"/>
      <c r="AY80" s="2">
        <f t="shared" si="13"/>
        <v>0</v>
      </c>
      <c r="AZ80" s="2">
        <f>IFERROR(VLOOKUP(B80,'Inventario Profit'!$A$2:$I$230,9,0),0)</f>
        <v>0</v>
      </c>
      <c r="BA80" s="2">
        <f t="shared" si="14"/>
        <v>0</v>
      </c>
      <c r="BB80" s="60"/>
      <c r="BC80" s="11"/>
    </row>
    <row r="81" spans="1:16384" s="11" customFormat="1" ht="15" hidden="1" customHeight="1" x14ac:dyDescent="0.3">
      <c r="B81" s="42">
        <v>43592855</v>
      </c>
      <c r="C81" s="20" t="s">
        <v>157</v>
      </c>
      <c r="D81" s="71" t="s">
        <v>4</v>
      </c>
      <c r="E81" s="9">
        <f>+VLOOKUP(B81,'Recepcion de Producto'!$B$4:LF174,317,0)</f>
        <v>2412</v>
      </c>
      <c r="F81" s="9">
        <f>+VLOOKUP(B81,'Salida de Producto'!$B$3:AFL174,843,0)</f>
        <v>2060</v>
      </c>
      <c r="G81" s="68" t="s">
        <v>35</v>
      </c>
      <c r="H81" s="69">
        <f t="shared" si="20"/>
        <v>352</v>
      </c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12">
        <f>9*36+26</f>
        <v>350</v>
      </c>
      <c r="AI81" s="69"/>
      <c r="AJ81" s="69"/>
      <c r="AK81" s="69"/>
      <c r="AL81" s="69"/>
      <c r="AM81" s="69"/>
      <c r="AN81" s="69"/>
      <c r="AO81" s="69"/>
      <c r="AP81" s="69"/>
      <c r="AQ81" s="69">
        <f t="shared" si="21"/>
        <v>350</v>
      </c>
      <c r="AR81" s="69">
        <v>0.02</v>
      </c>
      <c r="AS81" s="102">
        <f t="shared" si="15"/>
        <v>7</v>
      </c>
      <c r="AT81" s="102">
        <f t="shared" si="16"/>
        <v>6.227758007117437</v>
      </c>
      <c r="AU81" s="46">
        <v>2</v>
      </c>
      <c r="AV81" s="46">
        <f>IFERROR(VLOOKUP(B81,'Inventario Profit'!$A$2:$G$235,7,0),0)</f>
        <v>2</v>
      </c>
      <c r="AW81" s="46">
        <f t="shared" si="12"/>
        <v>0</v>
      </c>
      <c r="AX81" s="9" t="s">
        <v>1185</v>
      </c>
      <c r="AY81" s="2">
        <f t="shared" si="13"/>
        <v>0</v>
      </c>
      <c r="AZ81" s="2">
        <f>IFERROR(VLOOKUP(B81,'Inventario Profit'!$A$2:$I$230,9,0),0)</f>
        <v>352</v>
      </c>
      <c r="BA81" s="2">
        <f t="shared" si="14"/>
        <v>0</v>
      </c>
      <c r="BB81" s="2"/>
    </row>
    <row r="82" spans="1:16384" s="11" customFormat="1" ht="15" hidden="1" customHeight="1" x14ac:dyDescent="0.3">
      <c r="B82" s="42">
        <v>550026919</v>
      </c>
      <c r="C82" s="13" t="s">
        <v>973</v>
      </c>
      <c r="D82" s="71" t="s">
        <v>18</v>
      </c>
      <c r="E82" s="9">
        <f>+VLOOKUP(B82,'Recepcion de Producto'!$B$4:LF175,317,0)</f>
        <v>1</v>
      </c>
      <c r="F82" s="9">
        <f>+VLOOKUP(B82,'Salida de Producto'!$B$3:AFL175,843,0)</f>
        <v>1</v>
      </c>
      <c r="G82" s="68" t="s">
        <v>35</v>
      </c>
      <c r="H82" s="69">
        <f t="shared" si="20"/>
        <v>0</v>
      </c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>
        <f t="shared" si="21"/>
        <v>0</v>
      </c>
      <c r="AR82" s="69">
        <v>0.20899999999999999</v>
      </c>
      <c r="AS82" s="102">
        <f t="shared" si="15"/>
        <v>0</v>
      </c>
      <c r="AT82" s="102">
        <f t="shared" si="16"/>
        <v>0</v>
      </c>
      <c r="AU82" s="46"/>
      <c r="AV82" s="46">
        <f>IFERROR(VLOOKUP(B82,'Inventario Profit'!$A$2:$G$235,7,0),0)</f>
        <v>0</v>
      </c>
      <c r="AW82" s="46">
        <f t="shared" si="12"/>
        <v>0</v>
      </c>
      <c r="AX82" s="9"/>
      <c r="AY82" s="2">
        <f t="shared" si="13"/>
        <v>0</v>
      </c>
      <c r="AZ82" s="2">
        <f>IFERROR(VLOOKUP(B82,'Inventario Profit'!$A$2:$I$230,9,0),0)</f>
        <v>0</v>
      </c>
      <c r="BA82" s="2">
        <f t="shared" si="14"/>
        <v>0</v>
      </c>
      <c r="BB82" s="2"/>
    </row>
    <row r="83" spans="1:16384" s="11" customFormat="1" ht="15" hidden="1" customHeight="1" x14ac:dyDescent="0.3">
      <c r="B83" s="42">
        <v>550049814</v>
      </c>
      <c r="C83" s="20" t="s">
        <v>159</v>
      </c>
      <c r="D83" s="71" t="s">
        <v>2</v>
      </c>
      <c r="E83" s="9">
        <f>+VLOOKUP(B83,'Recepcion de Producto'!$B$4:LF176,317,0)</f>
        <v>23373</v>
      </c>
      <c r="F83" s="9">
        <f>+VLOOKUP(B83,'Salida de Producto'!$B$3:AFL176,843,0)</f>
        <v>22337</v>
      </c>
      <c r="G83" s="68" t="s">
        <v>35</v>
      </c>
      <c r="H83" s="69">
        <f t="shared" si="20"/>
        <v>1036</v>
      </c>
      <c r="I83" s="69"/>
      <c r="J83" s="69"/>
      <c r="K83" s="69"/>
      <c r="L83" s="69"/>
      <c r="M83" s="69"/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12">
        <f>3*175+161+2</f>
        <v>688</v>
      </c>
      <c r="AO83" s="88">
        <f>4*175</f>
        <v>700</v>
      </c>
      <c r="AP83" s="69"/>
      <c r="AQ83" s="69">
        <f t="shared" si="21"/>
        <v>1388</v>
      </c>
      <c r="AR83" s="69">
        <v>6.0000000000000001E-3</v>
      </c>
      <c r="AS83" s="102">
        <f t="shared" si="15"/>
        <v>8.3279999999999994</v>
      </c>
      <c r="AT83" s="102">
        <f t="shared" si="16"/>
        <v>7.4092526690391445</v>
      </c>
      <c r="AU83" s="46"/>
      <c r="AV83" s="46">
        <f>IFERROR(VLOOKUP(B83,'Inventario Profit'!$A$2:$G$235,7,0),0)</f>
        <v>0</v>
      </c>
      <c r="AW83" s="46">
        <f t="shared" si="12"/>
        <v>0</v>
      </c>
      <c r="AX83" s="9"/>
      <c r="AY83" s="2">
        <f t="shared" si="13"/>
        <v>352</v>
      </c>
      <c r="AZ83" s="2">
        <f>IFERROR(VLOOKUP(B83,'Inventario Profit'!$A$2:$I$230,9,0),0)</f>
        <v>1211</v>
      </c>
      <c r="BA83" s="2">
        <f t="shared" si="14"/>
        <v>-177</v>
      </c>
      <c r="BB83" s="2"/>
    </row>
    <row r="84" spans="1:16384" s="11" customFormat="1" ht="15" hidden="1" customHeight="1" x14ac:dyDescent="0.3">
      <c r="B84" s="42"/>
      <c r="C84" s="20" t="s">
        <v>984</v>
      </c>
      <c r="D84" s="71" t="s">
        <v>905</v>
      </c>
      <c r="E84" s="9">
        <f>+VLOOKUP(C84,'Recepcion de Producto'!$C$4:LF177,316,0)</f>
        <v>8</v>
      </c>
      <c r="F84" s="9" t="e">
        <f>+VLOOKUP(B84,'Salida de Producto'!$B$3:AFL177,843,0)</f>
        <v>#N/A</v>
      </c>
      <c r="G84" s="68" t="s">
        <v>35</v>
      </c>
      <c r="H84" s="69" t="e">
        <f t="shared" si="20"/>
        <v>#N/A</v>
      </c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88">
        <v>4</v>
      </c>
      <c r="AO84" s="69"/>
      <c r="AP84" s="69"/>
      <c r="AQ84" s="69">
        <f t="shared" si="21"/>
        <v>4</v>
      </c>
      <c r="AR84" s="69">
        <v>0.20899999999999999</v>
      </c>
      <c r="AS84" s="102">
        <f t="shared" si="15"/>
        <v>0.83599999999999997</v>
      </c>
      <c r="AT84" s="102">
        <f t="shared" si="16"/>
        <v>0.7437722419928825</v>
      </c>
      <c r="AU84" s="46">
        <v>4</v>
      </c>
      <c r="AV84" s="46">
        <f>IFERROR(VLOOKUP(B84,'Inventario Profit'!$A$2:$G$235,7,0),0)</f>
        <v>0</v>
      </c>
      <c r="AW84" s="46">
        <f t="shared" si="12"/>
        <v>-4</v>
      </c>
      <c r="AX84" s="112" t="s">
        <v>1181</v>
      </c>
      <c r="AY84" s="2" t="e">
        <f t="shared" si="13"/>
        <v>#N/A</v>
      </c>
      <c r="AZ84" s="2">
        <f>IFERROR(VLOOKUP(B84,'Inventario Profit'!$A$2:$I$230,9,0),0)</f>
        <v>0</v>
      </c>
      <c r="BA84" s="2">
        <f t="shared" si="14"/>
        <v>-8</v>
      </c>
      <c r="BB84" s="2" t="s">
        <v>1000</v>
      </c>
    </row>
    <row r="85" spans="1:16384" s="4" customFormat="1" ht="15" hidden="1" customHeight="1" x14ac:dyDescent="0.3">
      <c r="B85" s="42">
        <v>550026900</v>
      </c>
      <c r="C85" s="20" t="s">
        <v>161</v>
      </c>
      <c r="D85" s="71" t="s">
        <v>18</v>
      </c>
      <c r="E85" s="9">
        <f>+VLOOKUP(B85,'Recepcion de Producto'!$B$4:LF178,317,0)</f>
        <v>96</v>
      </c>
      <c r="F85" s="9">
        <f>+VLOOKUP(B85,'Salida de Producto'!$B$3:AFL178,843,0)</f>
        <v>84</v>
      </c>
      <c r="G85" s="68" t="s">
        <v>35</v>
      </c>
      <c r="H85" s="69">
        <f t="shared" si="20"/>
        <v>12</v>
      </c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12">
        <f>4*4+2</f>
        <v>18</v>
      </c>
      <c r="AM85" s="69"/>
      <c r="AN85" s="69"/>
      <c r="AO85" s="69"/>
      <c r="AP85" s="69"/>
      <c r="AQ85" s="69">
        <f t="shared" si="21"/>
        <v>18</v>
      </c>
      <c r="AR85" s="69">
        <v>0.20799999999999999</v>
      </c>
      <c r="AS85" s="102">
        <f t="shared" si="15"/>
        <v>3.7439999999999998</v>
      </c>
      <c r="AT85" s="102">
        <f t="shared" si="16"/>
        <v>3.3309608540925262</v>
      </c>
      <c r="AU85" s="46"/>
      <c r="AV85" s="46">
        <f>IFERROR(VLOOKUP(B85,'Inventario Profit'!$A$2:$G$235,7,0),0)</f>
        <v>4</v>
      </c>
      <c r="AW85" s="46">
        <f t="shared" si="12"/>
        <v>4</v>
      </c>
      <c r="AX85" s="9" t="s">
        <v>1196</v>
      </c>
      <c r="AY85" s="2">
        <f t="shared" si="13"/>
        <v>6</v>
      </c>
      <c r="AZ85" s="2">
        <f>IFERROR(VLOOKUP(B85,'Inventario Profit'!$A$2:$I$230,9,0),0)</f>
        <v>20</v>
      </c>
      <c r="BA85" s="2">
        <f t="shared" si="14"/>
        <v>2</v>
      </c>
      <c r="BB85" s="2" t="s">
        <v>1177</v>
      </c>
      <c r="BC85" s="11"/>
    </row>
    <row r="86" spans="1:16384" s="4" customFormat="1" ht="15" hidden="1" customHeight="1" x14ac:dyDescent="0.3">
      <c r="B86" s="42">
        <v>550026907</v>
      </c>
      <c r="C86" s="20" t="s">
        <v>163</v>
      </c>
      <c r="D86" s="71" t="s">
        <v>18</v>
      </c>
      <c r="E86" s="9">
        <f>+VLOOKUP(B86,'Recepcion de Producto'!$B$4:LF179,317,0)</f>
        <v>96</v>
      </c>
      <c r="F86" s="9">
        <f>+VLOOKUP(B86,'Salida de Producto'!$B$3:AFL179,843,0)</f>
        <v>68</v>
      </c>
      <c r="G86" s="68" t="s">
        <v>35</v>
      </c>
      <c r="H86" s="69">
        <f t="shared" si="20"/>
        <v>28</v>
      </c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88">
        <f>7*4</f>
        <v>28</v>
      </c>
      <c r="AM86" s="69"/>
      <c r="AN86" s="69"/>
      <c r="AO86" s="69"/>
      <c r="AP86" s="69"/>
      <c r="AQ86" s="69">
        <f t="shared" si="21"/>
        <v>28</v>
      </c>
      <c r="AR86" s="69">
        <v>0.20799999999999999</v>
      </c>
      <c r="AS86" s="102">
        <f t="shared" si="15"/>
        <v>5.8239999999999998</v>
      </c>
      <c r="AT86" s="102">
        <f t="shared" si="16"/>
        <v>5.1814946619217075</v>
      </c>
      <c r="AU86" s="46"/>
      <c r="AV86" s="46">
        <f>IFERROR(VLOOKUP(B86,'Inventario Profit'!$A$2:$G$235,7,0),0)</f>
        <v>0</v>
      </c>
      <c r="AW86" s="46">
        <f t="shared" si="12"/>
        <v>0</v>
      </c>
      <c r="AX86" s="9"/>
      <c r="AY86" s="2">
        <f t="shared" si="13"/>
        <v>0</v>
      </c>
      <c r="AZ86" s="2">
        <f>IFERROR(VLOOKUP(B86,'Inventario Profit'!$A$2:$I$230,9,0),0)</f>
        <v>28</v>
      </c>
      <c r="BA86" s="2">
        <f t="shared" si="14"/>
        <v>0</v>
      </c>
      <c r="BB86" s="2"/>
      <c r="BC86" s="11"/>
    </row>
    <row r="87" spans="1:16384" ht="15" hidden="1" customHeight="1" x14ac:dyDescent="0.3">
      <c r="B87" s="42">
        <v>550026902</v>
      </c>
      <c r="C87" s="13" t="s">
        <v>995</v>
      </c>
      <c r="D87" s="71" t="s">
        <v>18</v>
      </c>
      <c r="E87" s="9">
        <f>+VLOOKUP(B87,'Recepcion de Producto'!$B$4:LF180,317,0)</f>
        <v>96</v>
      </c>
      <c r="F87" s="9">
        <f>+VLOOKUP(B87,'Salida de Producto'!$B$3:AFL180,843,0)</f>
        <v>37</v>
      </c>
      <c r="G87" s="68" t="s">
        <v>35</v>
      </c>
      <c r="H87" s="69">
        <f t="shared" si="20"/>
        <v>59</v>
      </c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12">
        <f>2+14*4</f>
        <v>58</v>
      </c>
      <c r="AP87" s="69"/>
      <c r="AQ87" s="69">
        <f t="shared" si="21"/>
        <v>58</v>
      </c>
      <c r="AR87" s="100">
        <v>0.20899999999999999</v>
      </c>
      <c r="AS87" s="102">
        <f t="shared" si="15"/>
        <v>12.122</v>
      </c>
      <c r="AT87" s="102">
        <f t="shared" si="16"/>
        <v>10.784697508896796</v>
      </c>
      <c r="AU87" s="46">
        <v>1</v>
      </c>
      <c r="AV87" s="46">
        <f>IFERROR(VLOOKUP(B87,'Inventario Profit'!$A$2:$G$235,7,0),0)</f>
        <v>1</v>
      </c>
      <c r="AW87" s="46">
        <f t="shared" si="12"/>
        <v>0</v>
      </c>
      <c r="AX87" s="112" t="s">
        <v>1196</v>
      </c>
      <c r="AY87" s="2">
        <f t="shared" si="13"/>
        <v>0</v>
      </c>
      <c r="AZ87" s="2">
        <f>IFERROR(VLOOKUP(B87,'Inventario Profit'!$A$2:$I$230,9,0),0)</f>
        <v>59</v>
      </c>
      <c r="BA87" s="2">
        <f t="shared" si="14"/>
        <v>0</v>
      </c>
      <c r="BB87" s="2"/>
      <c r="BC87" s="11"/>
    </row>
    <row r="88" spans="1:16384" s="19" customFormat="1" ht="15" hidden="1" customHeight="1" x14ac:dyDescent="0.3">
      <c r="B88" s="42">
        <v>550026891</v>
      </c>
      <c r="C88" s="20" t="s">
        <v>165</v>
      </c>
      <c r="D88" s="71" t="s">
        <v>5</v>
      </c>
      <c r="E88" s="9">
        <f>+VLOOKUP(B88,'Recepcion de Producto'!$B$4:LF181,317,0)</f>
        <v>3562</v>
      </c>
      <c r="F88" s="9">
        <f>+VLOOKUP(B88,'Salida de Producto'!$B$3:AFL181,843,0)</f>
        <v>3309</v>
      </c>
      <c r="G88" s="68" t="s">
        <v>35</v>
      </c>
      <c r="H88" s="69">
        <f t="shared" si="20"/>
        <v>253</v>
      </c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>
        <f t="shared" si="21"/>
        <v>0</v>
      </c>
      <c r="AR88" s="69">
        <v>1.7999999999999999E-2</v>
      </c>
      <c r="AS88" s="102">
        <f t="shared" si="15"/>
        <v>0</v>
      </c>
      <c r="AT88" s="102">
        <f t="shared" si="16"/>
        <v>0</v>
      </c>
      <c r="AU88" s="46">
        <v>1</v>
      </c>
      <c r="AV88" s="46">
        <f>IFERROR(VLOOKUP(B88,'Inventario Profit'!$A$2:$G$235,7,0),0)</f>
        <v>1</v>
      </c>
      <c r="AW88" s="46">
        <f t="shared" si="12"/>
        <v>0</v>
      </c>
      <c r="AX88" s="9" t="s">
        <v>1183</v>
      </c>
      <c r="AY88" s="2">
        <f t="shared" si="13"/>
        <v>-252</v>
      </c>
      <c r="AZ88" s="2">
        <f>IFERROR(VLOOKUP(B88,'Inventario Profit'!$A$2:$I$230,9,0),0)</f>
        <v>253</v>
      </c>
      <c r="BA88" s="2">
        <f t="shared" si="14"/>
        <v>252</v>
      </c>
      <c r="BB88" s="2"/>
    </row>
    <row r="89" spans="1:16384" s="11" customFormat="1" ht="15" hidden="1" customHeight="1" x14ac:dyDescent="0.3">
      <c r="B89" s="42">
        <v>550056833</v>
      </c>
      <c r="C89" s="13" t="s">
        <v>1015</v>
      </c>
      <c r="D89" s="71" t="s">
        <v>3</v>
      </c>
      <c r="E89" s="9">
        <f>+VLOOKUP(B89,'Recepcion de Producto'!$B$4:LF182,317,0)</f>
        <v>2211</v>
      </c>
      <c r="F89" s="9">
        <f>+VLOOKUP(B89,'Salida de Producto'!$B$3:AFL182,843,0)</f>
        <v>960</v>
      </c>
      <c r="G89" s="68" t="s">
        <v>35</v>
      </c>
      <c r="H89" s="69">
        <f t="shared" si="20"/>
        <v>1251</v>
      </c>
      <c r="I89" s="69"/>
      <c r="J89" s="69"/>
      <c r="K89" s="69"/>
      <c r="L89" s="69"/>
      <c r="M89" s="69"/>
      <c r="N89" s="69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12">
        <f>12*77+4*77+12</f>
        <v>1244</v>
      </c>
      <c r="AQ89" s="69">
        <f t="shared" si="21"/>
        <v>1244</v>
      </c>
      <c r="AR89" s="69">
        <v>1.2E-2</v>
      </c>
      <c r="AS89" s="102">
        <f t="shared" si="15"/>
        <v>14.928000000000001</v>
      </c>
      <c r="AT89" s="102">
        <f t="shared" si="16"/>
        <v>13.281138790035588</v>
      </c>
      <c r="AU89" s="46">
        <v>7</v>
      </c>
      <c r="AV89" s="46">
        <f>IFERROR(VLOOKUP(B89,'Inventario Profit'!$A$2:$G$235,7,0),0)</f>
        <v>7</v>
      </c>
      <c r="AW89" s="46">
        <f t="shared" si="12"/>
        <v>0</v>
      </c>
      <c r="AX89" s="9" t="s">
        <v>1190</v>
      </c>
      <c r="AY89" s="2">
        <f t="shared" si="13"/>
        <v>0</v>
      </c>
      <c r="AZ89" s="2">
        <f>IFERROR(VLOOKUP(B89,'Inventario Profit'!$A$2:$I$230,9,0),0)</f>
        <v>1251</v>
      </c>
      <c r="BA89" s="2">
        <f t="shared" si="14"/>
        <v>0</v>
      </c>
      <c r="BB89" s="2"/>
    </row>
    <row r="90" spans="1:16384" s="11" customFormat="1" ht="15" hidden="1" customHeight="1" x14ac:dyDescent="0.3">
      <c r="B90" s="42">
        <v>550050052</v>
      </c>
      <c r="C90" s="20" t="s">
        <v>167</v>
      </c>
      <c r="D90" s="71" t="s">
        <v>2</v>
      </c>
      <c r="E90" s="9">
        <f>+VLOOKUP(B90,'Recepcion de Producto'!$B$4:LF183,317,0)</f>
        <v>12251</v>
      </c>
      <c r="F90" s="9">
        <f>+VLOOKUP(B90,'Salida de Producto'!$B$3:AFL183,843,0)</f>
        <v>11207</v>
      </c>
      <c r="G90" s="68" t="s">
        <v>35</v>
      </c>
      <c r="H90" s="69">
        <f t="shared" si="20"/>
        <v>1044</v>
      </c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12">
        <f>6*175+169</f>
        <v>1219</v>
      </c>
      <c r="AM90" s="69"/>
      <c r="AN90" s="69"/>
      <c r="AO90" s="69"/>
      <c r="AP90" s="69"/>
      <c r="AQ90" s="69">
        <f t="shared" si="21"/>
        <v>1219</v>
      </c>
      <c r="AR90" s="69">
        <v>6.0000000000000001E-3</v>
      </c>
      <c r="AS90" s="102">
        <f t="shared" si="15"/>
        <v>7.3140000000000001</v>
      </c>
      <c r="AT90" s="102">
        <f t="shared" si="16"/>
        <v>6.5071174377224192</v>
      </c>
      <c r="AU90" s="46"/>
      <c r="AV90" s="46">
        <f>IFERROR(VLOOKUP(B90,'Inventario Profit'!$A$2:$G$235,7,0),0)</f>
        <v>0</v>
      </c>
      <c r="AW90" s="46">
        <f t="shared" si="12"/>
        <v>0</v>
      </c>
      <c r="AX90" s="9"/>
      <c r="AY90" s="2">
        <f t="shared" si="13"/>
        <v>175</v>
      </c>
      <c r="AZ90" s="2">
        <f>IFERROR(VLOOKUP(B90,'Inventario Profit'!$A$2:$I$230,9,0),0)</f>
        <v>1219</v>
      </c>
      <c r="BA90" s="2">
        <f t="shared" si="14"/>
        <v>0</v>
      </c>
      <c r="BB90" s="60"/>
    </row>
    <row r="91" spans="1:16384" s="11" customFormat="1" ht="15" hidden="1" customHeight="1" x14ac:dyDescent="0.3">
      <c r="B91" s="85">
        <v>550045415</v>
      </c>
      <c r="C91" s="18" t="s">
        <v>169</v>
      </c>
      <c r="D91" s="117" t="s">
        <v>5</v>
      </c>
      <c r="E91" s="9">
        <f>+VLOOKUP(B91,'Recepcion de Producto'!$B$4:LF184,317,0)</f>
        <v>4174</v>
      </c>
      <c r="F91" s="9">
        <f>+VLOOKUP(B91,'Salida de Producto'!$B$3:AFL184,843,0)</f>
        <v>3989</v>
      </c>
      <c r="G91" s="86" t="s">
        <v>35</v>
      </c>
      <c r="H91" s="69">
        <f t="shared" si="20"/>
        <v>185</v>
      </c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88">
        <f>4*42+16</f>
        <v>184</v>
      </c>
      <c r="AP91" s="69"/>
      <c r="AQ91" s="69">
        <f t="shared" si="21"/>
        <v>184</v>
      </c>
      <c r="AR91" s="69">
        <v>1.9E-2</v>
      </c>
      <c r="AS91" s="102">
        <f t="shared" si="15"/>
        <v>3.496</v>
      </c>
      <c r="AT91" s="102">
        <f t="shared" si="16"/>
        <v>3.1103202846975084</v>
      </c>
      <c r="AU91" s="46">
        <v>1</v>
      </c>
      <c r="AV91" s="46">
        <f>IFERROR(VLOOKUP(B91,'Inventario Profit'!$A$2:$G$235,7,0),0)</f>
        <v>1</v>
      </c>
      <c r="AW91" s="46">
        <f t="shared" si="12"/>
        <v>0</v>
      </c>
      <c r="AX91" s="112" t="s">
        <v>1183</v>
      </c>
      <c r="AY91" s="2">
        <f t="shared" si="13"/>
        <v>0</v>
      </c>
      <c r="AZ91" s="2">
        <f>IFERROR(VLOOKUP(B91,'Inventario Profit'!$A$2:$I$230,9,0),0)</f>
        <v>185</v>
      </c>
      <c r="BA91" s="2">
        <f t="shared" si="14"/>
        <v>0</v>
      </c>
      <c r="BB91" s="16"/>
    </row>
    <row r="92" spans="1:16384" s="11" customFormat="1" ht="15" customHeight="1" x14ac:dyDescent="0.3">
      <c r="B92" s="42">
        <v>6560200055</v>
      </c>
      <c r="C92" s="20" t="s">
        <v>171</v>
      </c>
      <c r="D92" s="71" t="s">
        <v>18</v>
      </c>
      <c r="E92" s="9">
        <f>+VLOOKUP(B92,'Recepcion de Producto'!$B$4:LF185,317,0)</f>
        <v>584</v>
      </c>
      <c r="F92" s="9">
        <f>+VLOOKUP(B92,'Salida de Producto'!$B$3:AFL185,843,0)</f>
        <v>578</v>
      </c>
      <c r="G92" s="68" t="s">
        <v>33</v>
      </c>
      <c r="H92" s="69">
        <f t="shared" si="20"/>
        <v>6</v>
      </c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>
        <f t="shared" si="21"/>
        <v>0</v>
      </c>
      <c r="AR92" s="100">
        <v>0.20799999999999999</v>
      </c>
      <c r="AS92" s="102">
        <f t="shared" si="15"/>
        <v>0</v>
      </c>
      <c r="AT92" s="102">
        <f t="shared" si="16"/>
        <v>0</v>
      </c>
      <c r="AU92" s="46">
        <v>6</v>
      </c>
      <c r="AV92" s="46">
        <f>IFERROR(VLOOKUP(B92,'Inventario Profit'!$A$2:$G$235,7,0),0)</f>
        <v>6</v>
      </c>
      <c r="AW92" s="46">
        <f t="shared" si="12"/>
        <v>0</v>
      </c>
      <c r="AX92" s="9" t="s">
        <v>1219</v>
      </c>
      <c r="AY92" s="2">
        <f t="shared" si="13"/>
        <v>0</v>
      </c>
      <c r="AZ92" s="2">
        <f>IFERROR(VLOOKUP(B92,'Inventario Profit'!$A$2:$I$230,9,0),0)</f>
        <v>6</v>
      </c>
      <c r="BA92" s="2">
        <f t="shared" si="14"/>
        <v>0</v>
      </c>
      <c r="BB92" s="2"/>
    </row>
    <row r="93" spans="1:16384" s="11" customFormat="1" ht="15" hidden="1" customHeight="1" x14ac:dyDescent="0.3">
      <c r="B93" s="42"/>
      <c r="C93" s="20" t="s">
        <v>985</v>
      </c>
      <c r="D93" s="71" t="s">
        <v>905</v>
      </c>
      <c r="E93" s="9">
        <f>+VLOOKUP(C93,'Recepcion de Producto'!$C$4:LF186,316,0)</f>
        <v>1</v>
      </c>
      <c r="F93" s="9" t="e">
        <f>+VLOOKUP(B93,'Salida de Producto'!$B$3:AFL186,843,0)</f>
        <v>#N/A</v>
      </c>
      <c r="G93" s="68" t="s">
        <v>35</v>
      </c>
      <c r="H93" s="69" t="e">
        <f t="shared" si="20"/>
        <v>#N/A</v>
      </c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>
        <f t="shared" si="21"/>
        <v>0</v>
      </c>
      <c r="AR93" s="100">
        <v>0.20899999999999999</v>
      </c>
      <c r="AS93" s="102">
        <f t="shared" si="15"/>
        <v>0</v>
      </c>
      <c r="AT93" s="102">
        <f t="shared" si="16"/>
        <v>0</v>
      </c>
      <c r="AU93" s="46">
        <v>1</v>
      </c>
      <c r="AV93" s="46">
        <f>IFERROR(VLOOKUP(B93,'Inventario Profit'!$A$2:$G$235,7,0),0)</f>
        <v>0</v>
      </c>
      <c r="AW93" s="46">
        <f t="shared" si="12"/>
        <v>-1</v>
      </c>
      <c r="AX93" s="9" t="s">
        <v>1181</v>
      </c>
      <c r="AY93" s="2" t="e">
        <f t="shared" si="13"/>
        <v>#N/A</v>
      </c>
      <c r="AZ93" s="2">
        <f>IFERROR(VLOOKUP(B93,'Inventario Profit'!$A$2:$I$230,9,0),0)</f>
        <v>0</v>
      </c>
      <c r="BA93" s="2">
        <f t="shared" si="14"/>
        <v>-1</v>
      </c>
      <c r="BB93" s="2" t="s">
        <v>1001</v>
      </c>
    </row>
    <row r="94" spans="1:16384" ht="15" hidden="1" customHeight="1" x14ac:dyDescent="0.3">
      <c r="B94" s="42">
        <v>6560300055</v>
      </c>
      <c r="C94" s="20" t="s">
        <v>904</v>
      </c>
      <c r="D94" s="71" t="s">
        <v>18</v>
      </c>
      <c r="E94" s="9">
        <f>+VLOOKUP(B94,'Recepcion de Producto'!$B$4:LF187,317,0)</f>
        <v>92</v>
      </c>
      <c r="F94" s="9">
        <f>+VLOOKUP(B94,'Salida de Producto'!$B$3:AFL187,843,0)</f>
        <v>72</v>
      </c>
      <c r="G94" s="68" t="s">
        <v>35</v>
      </c>
      <c r="H94" s="69">
        <f t="shared" si="20"/>
        <v>20</v>
      </c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88">
        <f>2+3*4</f>
        <v>14</v>
      </c>
      <c r="AM94" s="69"/>
      <c r="AN94" s="69"/>
      <c r="AO94" s="69"/>
      <c r="AP94" s="69"/>
      <c r="AQ94" s="69">
        <f t="shared" si="21"/>
        <v>14</v>
      </c>
      <c r="AR94" s="69">
        <v>0.20899999999999999</v>
      </c>
      <c r="AS94" s="102">
        <f t="shared" si="15"/>
        <v>2.9259999999999997</v>
      </c>
      <c r="AT94" s="102">
        <f t="shared" si="16"/>
        <v>2.6032028469750883</v>
      </c>
      <c r="AU94" s="46">
        <f>1+1+4</f>
        <v>6</v>
      </c>
      <c r="AV94" s="46">
        <f>IFERROR(VLOOKUP(B94,'Inventario Profit'!$A$2:$G$235,7,0),0)</f>
        <v>7</v>
      </c>
      <c r="AW94" s="46">
        <f t="shared" si="12"/>
        <v>1</v>
      </c>
      <c r="AX94" s="9" t="s">
        <v>1181</v>
      </c>
      <c r="AY94" s="2">
        <f t="shared" si="13"/>
        <v>0</v>
      </c>
      <c r="AZ94" s="2">
        <f>IFERROR(VLOOKUP(B94,'Inventario Profit'!$A$2:$I$230,9,0),0)</f>
        <v>21</v>
      </c>
      <c r="BA94" s="2">
        <f t="shared" si="14"/>
        <v>1</v>
      </c>
      <c r="BB94" s="2" t="s">
        <v>1001</v>
      </c>
    </row>
    <row r="95" spans="1:16384" s="2" customFormat="1" ht="15" customHeight="1" x14ac:dyDescent="0.3">
      <c r="A95" s="11"/>
      <c r="B95" s="42">
        <v>550043380</v>
      </c>
      <c r="C95" s="20" t="s">
        <v>175</v>
      </c>
      <c r="D95" s="71" t="s">
        <v>18</v>
      </c>
      <c r="E95" s="9">
        <f>+VLOOKUP(B95,'Recepcion de Producto'!$B$4:LF188,317,0)</f>
        <v>144</v>
      </c>
      <c r="F95" s="9">
        <f>+VLOOKUP(B95,'Salida de Producto'!$B$3:AFL188,843,0)</f>
        <v>45</v>
      </c>
      <c r="G95" s="68" t="s">
        <v>34</v>
      </c>
      <c r="H95" s="69">
        <f t="shared" si="20"/>
        <v>99</v>
      </c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88">
        <f>13*4</f>
        <v>52</v>
      </c>
      <c r="AA95" s="69"/>
      <c r="AB95" s="69"/>
      <c r="AC95" s="88">
        <f>11*4+2</f>
        <v>46</v>
      </c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>
        <f t="shared" si="21"/>
        <v>98</v>
      </c>
      <c r="AR95" s="100">
        <v>0.20799999999999999</v>
      </c>
      <c r="AS95" s="102">
        <f t="shared" si="15"/>
        <v>20.384</v>
      </c>
      <c r="AT95" s="102">
        <f t="shared" si="16"/>
        <v>18.135231316725978</v>
      </c>
      <c r="AU95" s="46">
        <v>1</v>
      </c>
      <c r="AV95" s="46">
        <f>IFERROR(VLOOKUP(B95,'Inventario Profit'!$A$2:$G$235,7,0),0)</f>
        <v>1</v>
      </c>
      <c r="AW95" s="46">
        <f t="shared" si="12"/>
        <v>0</v>
      </c>
      <c r="AX95" s="9" t="s">
        <v>1182</v>
      </c>
      <c r="AY95" s="2">
        <f t="shared" si="13"/>
        <v>0</v>
      </c>
      <c r="AZ95" s="2">
        <f>IFERROR(VLOOKUP(B95,'Inventario Profit'!$A$2:$I$230,9,0),0)</f>
        <v>99</v>
      </c>
      <c r="BA95" s="2">
        <f t="shared" si="14"/>
        <v>0</v>
      </c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  <c r="GS95" s="11"/>
      <c r="GT95" s="11"/>
      <c r="GU95" s="11"/>
      <c r="GV95" s="11"/>
      <c r="GW95" s="11"/>
      <c r="GX95" s="11"/>
      <c r="GY95" s="11"/>
      <c r="GZ95" s="11"/>
      <c r="HA95" s="11"/>
      <c r="HB95" s="11"/>
      <c r="HC95" s="11"/>
      <c r="HD95" s="11"/>
      <c r="HE95" s="11"/>
      <c r="HF95" s="11"/>
      <c r="HG95" s="11"/>
      <c r="HH95" s="11"/>
      <c r="HI95" s="11"/>
      <c r="HJ95" s="11"/>
      <c r="HK95" s="11"/>
      <c r="HL95" s="11"/>
      <c r="HM95" s="11"/>
      <c r="HN95" s="11"/>
      <c r="HO95" s="11"/>
      <c r="HP95" s="11"/>
      <c r="HQ95" s="11"/>
      <c r="HR95" s="11"/>
      <c r="HS95" s="11"/>
      <c r="HT95" s="11"/>
      <c r="HU95" s="11"/>
      <c r="HV95" s="11"/>
      <c r="HW95" s="11"/>
      <c r="HX95" s="11"/>
      <c r="HY95" s="11"/>
      <c r="HZ95" s="11"/>
      <c r="IA95" s="11"/>
      <c r="IB95" s="11"/>
      <c r="IC95" s="11"/>
      <c r="ID95" s="11"/>
      <c r="IE95" s="11"/>
      <c r="IF95" s="11"/>
      <c r="IG95" s="11"/>
      <c r="IH95" s="11"/>
      <c r="II95" s="11"/>
      <c r="IJ95" s="11"/>
      <c r="IK95" s="11"/>
      <c r="IL95" s="11"/>
      <c r="IM95" s="11"/>
      <c r="IN95" s="11"/>
      <c r="IO95" s="11"/>
      <c r="IP95" s="11"/>
      <c r="IQ95" s="11"/>
      <c r="IR95" s="11"/>
      <c r="IS95" s="11"/>
      <c r="IT95" s="11"/>
      <c r="IU95" s="11"/>
      <c r="IV95" s="11"/>
      <c r="IW95" s="11"/>
      <c r="IX95" s="11"/>
      <c r="IY95" s="11"/>
      <c r="IZ95" s="11"/>
      <c r="JA95" s="11"/>
      <c r="JB95" s="11"/>
      <c r="JC95" s="11"/>
      <c r="JD95" s="11"/>
      <c r="JE95" s="11"/>
      <c r="JF95" s="11"/>
      <c r="JG95" s="11"/>
      <c r="JH95" s="11"/>
      <c r="JI95" s="11"/>
      <c r="JJ95" s="11"/>
      <c r="JK95" s="11"/>
      <c r="JL95" s="11"/>
      <c r="JM95" s="11"/>
      <c r="JN95" s="11"/>
      <c r="JO95" s="11"/>
      <c r="JP95" s="11"/>
      <c r="JQ95" s="11"/>
      <c r="JR95" s="11"/>
      <c r="JS95" s="11"/>
      <c r="JT95" s="11"/>
      <c r="JU95" s="11"/>
      <c r="JV95" s="11"/>
      <c r="JW95" s="11"/>
      <c r="JX95" s="11"/>
      <c r="JY95" s="11"/>
      <c r="JZ95" s="11"/>
      <c r="KA95" s="11"/>
      <c r="KB95" s="11"/>
      <c r="KC95" s="11"/>
      <c r="KD95" s="11"/>
      <c r="KE95" s="11"/>
      <c r="KF95" s="11"/>
      <c r="KG95" s="11"/>
      <c r="KH95" s="11"/>
      <c r="KI95" s="11"/>
      <c r="KJ95" s="11"/>
      <c r="KK95" s="11"/>
      <c r="KL95" s="11"/>
      <c r="KM95" s="11"/>
      <c r="KN95" s="11"/>
      <c r="KO95" s="11"/>
      <c r="KP95" s="11"/>
      <c r="KQ95" s="11"/>
      <c r="KR95" s="11"/>
      <c r="KS95" s="11"/>
      <c r="KT95" s="11"/>
      <c r="KU95" s="11"/>
      <c r="KV95" s="11"/>
      <c r="KW95" s="11"/>
      <c r="KX95" s="11"/>
      <c r="KY95" s="11"/>
      <c r="KZ95" s="11"/>
      <c r="LA95" s="11"/>
      <c r="LB95" s="11"/>
      <c r="LC95" s="11"/>
      <c r="LD95" s="11"/>
      <c r="LE95" s="11"/>
      <c r="LF95" s="11"/>
      <c r="LG95" s="11"/>
      <c r="LH95" s="11"/>
      <c r="LI95" s="11"/>
      <c r="LJ95" s="11"/>
      <c r="LK95" s="11"/>
      <c r="LL95" s="11"/>
      <c r="LM95" s="11"/>
      <c r="LN95" s="11"/>
      <c r="LO95" s="11"/>
      <c r="LP95" s="11"/>
      <c r="LQ95" s="11"/>
      <c r="LR95" s="11"/>
      <c r="LS95" s="11"/>
      <c r="LT95" s="11"/>
      <c r="LU95" s="11"/>
      <c r="LV95" s="11"/>
      <c r="LW95" s="11"/>
      <c r="LX95" s="11"/>
      <c r="LY95" s="11"/>
      <c r="LZ95" s="11"/>
      <c r="MA95" s="11"/>
      <c r="MB95" s="11"/>
      <c r="MC95" s="11"/>
      <c r="MD95" s="11"/>
      <c r="ME95" s="11"/>
      <c r="MF95" s="11"/>
      <c r="MG95" s="11"/>
      <c r="MH95" s="11"/>
      <c r="MI95" s="11"/>
      <c r="MJ95" s="11"/>
      <c r="MK95" s="11"/>
      <c r="ML95" s="11"/>
      <c r="MM95" s="11"/>
      <c r="MN95" s="11"/>
      <c r="MO95" s="11"/>
      <c r="MP95" s="11"/>
      <c r="MQ95" s="11"/>
      <c r="MR95" s="11"/>
      <c r="MS95" s="11"/>
      <c r="MT95" s="11"/>
      <c r="MU95" s="11"/>
      <c r="MV95" s="11"/>
      <c r="MW95" s="11"/>
      <c r="MX95" s="11"/>
      <c r="MY95" s="11"/>
      <c r="MZ95" s="11"/>
      <c r="NA95" s="11"/>
      <c r="NB95" s="11"/>
      <c r="NC95" s="11"/>
      <c r="ND95" s="11"/>
      <c r="NE95" s="11"/>
      <c r="NF95" s="11"/>
      <c r="NG95" s="11"/>
      <c r="NH95" s="11"/>
      <c r="NI95" s="11"/>
      <c r="NJ95" s="11"/>
      <c r="NK95" s="11"/>
      <c r="NL95" s="11"/>
      <c r="NM95" s="11"/>
      <c r="NN95" s="11"/>
      <c r="NO95" s="11"/>
      <c r="NP95" s="11"/>
      <c r="NQ95" s="11"/>
      <c r="NR95" s="11"/>
      <c r="NS95" s="11"/>
      <c r="NT95" s="11"/>
      <c r="NU95" s="11"/>
      <c r="NV95" s="11"/>
      <c r="NW95" s="11"/>
      <c r="NX95" s="11"/>
      <c r="NY95" s="11"/>
      <c r="NZ95" s="11"/>
      <c r="OA95" s="11"/>
      <c r="OB95" s="11"/>
      <c r="OC95" s="11"/>
      <c r="OD95" s="11"/>
      <c r="OE95" s="11"/>
      <c r="OF95" s="11"/>
      <c r="OG95" s="11"/>
      <c r="OH95" s="11"/>
      <c r="OI95" s="11"/>
      <c r="OJ95" s="11"/>
      <c r="OK95" s="11"/>
      <c r="OL95" s="11"/>
      <c r="OM95" s="11"/>
      <c r="ON95" s="11"/>
      <c r="OO95" s="11"/>
      <c r="OP95" s="11"/>
      <c r="OQ95" s="11"/>
      <c r="OR95" s="11"/>
      <c r="OS95" s="11"/>
      <c r="OT95" s="11"/>
      <c r="OU95" s="11"/>
      <c r="OV95" s="11"/>
      <c r="OW95" s="11"/>
      <c r="OX95" s="11"/>
      <c r="OY95" s="11"/>
      <c r="OZ95" s="11"/>
      <c r="PA95" s="11"/>
      <c r="PB95" s="11"/>
      <c r="PC95" s="11"/>
      <c r="PD95" s="11"/>
      <c r="PE95" s="11"/>
      <c r="PF95" s="11"/>
      <c r="PG95" s="11"/>
      <c r="PH95" s="11"/>
      <c r="PI95" s="11"/>
      <c r="PJ95" s="11"/>
      <c r="PK95" s="11"/>
      <c r="PL95" s="11"/>
      <c r="PM95" s="11"/>
      <c r="PN95" s="11"/>
      <c r="PO95" s="11"/>
      <c r="PP95" s="11"/>
      <c r="PQ95" s="11"/>
      <c r="PR95" s="11"/>
      <c r="PS95" s="11"/>
      <c r="PT95" s="11"/>
      <c r="PU95" s="11"/>
      <c r="PV95" s="11"/>
      <c r="PW95" s="11"/>
      <c r="PX95" s="11"/>
      <c r="PY95" s="11"/>
      <c r="PZ95" s="11"/>
      <c r="QA95" s="11"/>
      <c r="QB95" s="11"/>
      <c r="QC95" s="11"/>
      <c r="QD95" s="11"/>
      <c r="QE95" s="11"/>
      <c r="QF95" s="11"/>
      <c r="QG95" s="11"/>
      <c r="QH95" s="11"/>
      <c r="QI95" s="11"/>
      <c r="QJ95" s="11"/>
      <c r="QK95" s="11"/>
      <c r="QL95" s="11"/>
      <c r="QM95" s="11"/>
      <c r="QN95" s="11"/>
      <c r="QO95" s="11"/>
      <c r="QP95" s="11"/>
      <c r="QQ95" s="11"/>
      <c r="QR95" s="11"/>
      <c r="QS95" s="11"/>
      <c r="QT95" s="11"/>
      <c r="QU95" s="11"/>
      <c r="QV95" s="11"/>
      <c r="QW95" s="11"/>
      <c r="QX95" s="11"/>
      <c r="QY95" s="11"/>
      <c r="QZ95" s="11"/>
      <c r="RA95" s="11"/>
      <c r="RB95" s="11"/>
      <c r="RC95" s="11"/>
      <c r="RD95" s="11"/>
      <c r="RE95" s="11"/>
      <c r="RF95" s="11"/>
      <c r="RG95" s="11"/>
      <c r="RH95" s="11"/>
      <c r="RI95" s="11"/>
      <c r="RJ95" s="11"/>
      <c r="RK95" s="11"/>
      <c r="RL95" s="11"/>
      <c r="RM95" s="11"/>
      <c r="RN95" s="11"/>
      <c r="RO95" s="11"/>
      <c r="RP95" s="11"/>
      <c r="RQ95" s="11"/>
      <c r="RR95" s="11"/>
      <c r="RS95" s="11"/>
      <c r="RT95" s="11"/>
      <c r="RU95" s="11"/>
      <c r="RV95" s="11"/>
      <c r="RW95" s="11"/>
      <c r="RX95" s="11"/>
      <c r="RY95" s="11"/>
      <c r="RZ95" s="11"/>
      <c r="SA95" s="11"/>
      <c r="SB95" s="11"/>
      <c r="SC95" s="11"/>
      <c r="SD95" s="11"/>
      <c r="SE95" s="11"/>
      <c r="SF95" s="11"/>
      <c r="SG95" s="11"/>
      <c r="SH95" s="11"/>
      <c r="SI95" s="11"/>
      <c r="SJ95" s="11"/>
      <c r="SK95" s="11"/>
      <c r="SL95" s="11"/>
      <c r="SM95" s="11"/>
      <c r="SN95" s="11"/>
      <c r="SO95" s="11"/>
      <c r="SP95" s="11"/>
      <c r="SQ95" s="11"/>
      <c r="SR95" s="11"/>
      <c r="SS95" s="11"/>
      <c r="ST95" s="11"/>
      <c r="SU95" s="11"/>
      <c r="SV95" s="11"/>
      <c r="SW95" s="11"/>
      <c r="SX95" s="11"/>
      <c r="SY95" s="11"/>
      <c r="SZ95" s="11"/>
      <c r="TA95" s="11"/>
      <c r="TB95" s="11"/>
      <c r="TC95" s="11"/>
      <c r="TD95" s="11"/>
      <c r="TE95" s="11"/>
      <c r="TF95" s="11"/>
      <c r="TG95" s="11"/>
      <c r="TH95" s="11"/>
      <c r="TI95" s="11"/>
      <c r="TJ95" s="11"/>
      <c r="TK95" s="11"/>
      <c r="TL95" s="11"/>
      <c r="TM95" s="11"/>
      <c r="TN95" s="11"/>
      <c r="TO95" s="11"/>
      <c r="TP95" s="11"/>
      <c r="TQ95" s="11"/>
      <c r="TR95" s="11"/>
      <c r="TS95" s="11"/>
      <c r="TT95" s="11"/>
      <c r="TU95" s="11"/>
      <c r="TV95" s="11"/>
      <c r="TW95" s="11"/>
      <c r="TX95" s="11"/>
      <c r="TY95" s="11"/>
      <c r="TZ95" s="11"/>
      <c r="UA95" s="11"/>
      <c r="UB95" s="11"/>
      <c r="UC95" s="11"/>
      <c r="UD95" s="11"/>
      <c r="UE95" s="11"/>
      <c r="UF95" s="11"/>
      <c r="UG95" s="11"/>
      <c r="UH95" s="11"/>
      <c r="UI95" s="11"/>
      <c r="UJ95" s="11"/>
      <c r="UK95" s="11"/>
      <c r="UL95" s="11"/>
      <c r="UM95" s="11"/>
      <c r="UN95" s="11"/>
      <c r="UO95" s="11"/>
      <c r="UP95" s="11"/>
      <c r="UQ95" s="11"/>
      <c r="UR95" s="11"/>
      <c r="US95" s="11"/>
      <c r="UT95" s="11"/>
      <c r="UU95" s="11"/>
      <c r="UV95" s="11"/>
      <c r="UW95" s="11"/>
      <c r="UX95" s="11"/>
      <c r="UY95" s="11"/>
      <c r="UZ95" s="11"/>
      <c r="VA95" s="11"/>
      <c r="VB95" s="11"/>
      <c r="VC95" s="11"/>
      <c r="VD95" s="11"/>
      <c r="VE95" s="11"/>
      <c r="VF95" s="11"/>
      <c r="VG95" s="11"/>
      <c r="VH95" s="11"/>
      <c r="VI95" s="11"/>
      <c r="VJ95" s="11"/>
      <c r="VK95" s="11"/>
      <c r="VL95" s="11"/>
      <c r="VM95" s="11"/>
      <c r="VN95" s="11"/>
      <c r="VO95" s="11"/>
      <c r="VP95" s="11"/>
      <c r="VQ95" s="11"/>
      <c r="VR95" s="11"/>
      <c r="VS95" s="11"/>
      <c r="VT95" s="11"/>
      <c r="VU95" s="11"/>
      <c r="VV95" s="11"/>
      <c r="VW95" s="11"/>
      <c r="VX95" s="11"/>
      <c r="VY95" s="11"/>
      <c r="VZ95" s="11"/>
      <c r="WA95" s="11"/>
      <c r="WB95" s="11"/>
      <c r="WC95" s="11"/>
      <c r="WD95" s="11"/>
      <c r="WE95" s="11"/>
      <c r="WF95" s="11"/>
      <c r="WG95" s="11"/>
      <c r="WH95" s="11"/>
      <c r="WI95" s="11"/>
      <c r="WJ95" s="11"/>
      <c r="WK95" s="11"/>
      <c r="WL95" s="11"/>
      <c r="WM95" s="11"/>
      <c r="WN95" s="11"/>
      <c r="WO95" s="11"/>
      <c r="WP95" s="11"/>
      <c r="WQ95" s="11"/>
      <c r="WR95" s="11"/>
      <c r="WS95" s="11"/>
      <c r="WT95" s="11"/>
      <c r="WU95" s="11"/>
      <c r="WV95" s="11"/>
      <c r="WW95" s="11"/>
      <c r="WX95" s="11"/>
      <c r="WY95" s="11"/>
      <c r="WZ95" s="11"/>
      <c r="XA95" s="11"/>
      <c r="XB95" s="11"/>
      <c r="XC95" s="11"/>
      <c r="XD95" s="11"/>
      <c r="XE95" s="11"/>
      <c r="XF95" s="11"/>
      <c r="XG95" s="11"/>
      <c r="XH95" s="11"/>
      <c r="XI95" s="11"/>
      <c r="XJ95" s="11"/>
      <c r="XK95" s="11"/>
      <c r="XL95" s="11"/>
      <c r="XM95" s="11"/>
      <c r="XN95" s="11"/>
      <c r="XO95" s="11"/>
      <c r="XP95" s="11"/>
      <c r="XQ95" s="11"/>
      <c r="XR95" s="11"/>
      <c r="XS95" s="11"/>
      <c r="XT95" s="11"/>
      <c r="XU95" s="11"/>
      <c r="XV95" s="11"/>
      <c r="XW95" s="11"/>
      <c r="XX95" s="11"/>
      <c r="XY95" s="11"/>
      <c r="XZ95" s="11"/>
      <c r="YA95" s="11"/>
      <c r="YB95" s="11"/>
      <c r="YC95" s="11"/>
      <c r="YD95" s="11"/>
      <c r="YE95" s="11"/>
      <c r="YF95" s="11"/>
      <c r="YG95" s="11"/>
      <c r="YH95" s="11"/>
      <c r="YI95" s="11"/>
      <c r="YJ95" s="11"/>
      <c r="YK95" s="11"/>
      <c r="YL95" s="11"/>
      <c r="YM95" s="11"/>
      <c r="YN95" s="11"/>
      <c r="YO95" s="11"/>
      <c r="YP95" s="11"/>
      <c r="YQ95" s="11"/>
      <c r="YR95" s="11"/>
      <c r="YS95" s="11"/>
      <c r="YT95" s="11"/>
      <c r="YU95" s="11"/>
      <c r="YV95" s="11"/>
      <c r="YW95" s="11"/>
      <c r="YX95" s="11"/>
      <c r="YY95" s="11"/>
      <c r="YZ95" s="11"/>
      <c r="ZA95" s="11"/>
      <c r="ZB95" s="11"/>
      <c r="ZC95" s="11"/>
      <c r="ZD95" s="11"/>
      <c r="ZE95" s="11"/>
      <c r="ZF95" s="11"/>
      <c r="ZG95" s="11"/>
      <c r="ZH95" s="11"/>
      <c r="ZI95" s="11"/>
      <c r="ZJ95" s="11"/>
      <c r="ZK95" s="11"/>
      <c r="ZL95" s="11"/>
      <c r="ZM95" s="11"/>
      <c r="ZN95" s="11"/>
      <c r="ZO95" s="11"/>
      <c r="ZP95" s="11"/>
      <c r="ZQ95" s="11"/>
      <c r="ZR95" s="11"/>
      <c r="ZS95" s="11"/>
      <c r="ZT95" s="11"/>
      <c r="ZU95" s="11"/>
      <c r="ZV95" s="11"/>
      <c r="ZW95" s="11"/>
      <c r="ZX95" s="11"/>
      <c r="ZY95" s="11"/>
      <c r="ZZ95" s="11"/>
      <c r="AAA95" s="11"/>
      <c r="AAB95" s="11"/>
      <c r="AAC95" s="11"/>
      <c r="AAD95" s="11"/>
      <c r="AAE95" s="11"/>
      <c r="AAF95" s="11"/>
      <c r="AAG95" s="11"/>
      <c r="AAH95" s="11"/>
      <c r="AAI95" s="11"/>
      <c r="AAJ95" s="11"/>
      <c r="AAK95" s="11"/>
      <c r="AAL95" s="11"/>
      <c r="AAM95" s="11"/>
      <c r="AAN95" s="11"/>
      <c r="AAO95" s="11"/>
      <c r="AAP95" s="11"/>
      <c r="AAQ95" s="11"/>
      <c r="AAR95" s="11"/>
      <c r="AAS95" s="11"/>
      <c r="AAT95" s="11"/>
      <c r="AAU95" s="11"/>
      <c r="AAV95" s="11"/>
      <c r="AAW95" s="11"/>
      <c r="AAX95" s="11"/>
      <c r="AAY95" s="11"/>
      <c r="AAZ95" s="11"/>
      <c r="ABA95" s="11"/>
      <c r="ABB95" s="11"/>
      <c r="ABC95" s="11"/>
      <c r="ABD95" s="11"/>
      <c r="ABE95" s="11"/>
      <c r="ABF95" s="11"/>
      <c r="ABG95" s="11"/>
      <c r="ABH95" s="11"/>
      <c r="ABI95" s="11"/>
      <c r="ABJ95" s="11"/>
      <c r="ABK95" s="11"/>
      <c r="ABL95" s="11"/>
      <c r="ABM95" s="11"/>
      <c r="ABN95" s="11"/>
      <c r="ABO95" s="11"/>
      <c r="ABP95" s="11"/>
      <c r="ABQ95" s="11"/>
      <c r="ABR95" s="11"/>
      <c r="ABS95" s="11"/>
      <c r="ABT95" s="11"/>
      <c r="ABU95" s="11"/>
      <c r="ABV95" s="11"/>
      <c r="ABW95" s="11"/>
      <c r="ABX95" s="11"/>
      <c r="ABY95" s="11"/>
      <c r="ABZ95" s="11"/>
      <c r="ACA95" s="11"/>
      <c r="ACB95" s="11"/>
      <c r="ACC95" s="11"/>
      <c r="ACD95" s="11"/>
      <c r="ACE95" s="11"/>
      <c r="ACF95" s="11"/>
      <c r="ACG95" s="11"/>
      <c r="ACH95" s="11"/>
      <c r="ACI95" s="11"/>
      <c r="ACJ95" s="11"/>
      <c r="ACK95" s="11"/>
      <c r="ACL95" s="11"/>
      <c r="ACM95" s="11"/>
      <c r="ACN95" s="11"/>
      <c r="ACO95" s="11"/>
      <c r="ACP95" s="11"/>
      <c r="ACQ95" s="11"/>
      <c r="ACR95" s="11"/>
      <c r="ACS95" s="11"/>
      <c r="ACT95" s="11"/>
      <c r="ACU95" s="11"/>
      <c r="ACV95" s="11"/>
      <c r="ACW95" s="11"/>
      <c r="ACX95" s="11"/>
      <c r="ACY95" s="11"/>
      <c r="ACZ95" s="11"/>
      <c r="ADA95" s="11"/>
      <c r="ADB95" s="11"/>
      <c r="ADC95" s="11"/>
      <c r="ADD95" s="11"/>
      <c r="ADE95" s="11"/>
      <c r="ADF95" s="11"/>
      <c r="ADG95" s="11"/>
      <c r="ADH95" s="11"/>
      <c r="ADI95" s="11"/>
      <c r="ADJ95" s="11"/>
      <c r="ADK95" s="11"/>
      <c r="ADL95" s="11"/>
      <c r="ADM95" s="11"/>
      <c r="ADN95" s="11"/>
      <c r="ADO95" s="11"/>
      <c r="ADP95" s="11"/>
      <c r="ADQ95" s="11"/>
      <c r="ADR95" s="11"/>
      <c r="ADS95" s="11"/>
      <c r="ADT95" s="11"/>
      <c r="ADU95" s="11"/>
      <c r="ADV95" s="11"/>
      <c r="ADW95" s="11"/>
      <c r="ADX95" s="11"/>
      <c r="ADY95" s="11"/>
      <c r="ADZ95" s="11"/>
      <c r="AEA95" s="11"/>
      <c r="AEB95" s="11"/>
      <c r="AEC95" s="11"/>
      <c r="AED95" s="11"/>
      <c r="AEE95" s="11"/>
      <c r="AEF95" s="11"/>
      <c r="AEG95" s="11"/>
      <c r="AEH95" s="11"/>
      <c r="AEI95" s="11"/>
      <c r="AEJ95" s="11"/>
      <c r="AEK95" s="11"/>
      <c r="AEL95" s="11"/>
      <c r="AEM95" s="11"/>
      <c r="AEN95" s="11"/>
      <c r="AEO95" s="11"/>
      <c r="AEP95" s="11"/>
      <c r="AEQ95" s="11"/>
      <c r="AER95" s="11"/>
      <c r="AES95" s="11"/>
      <c r="AET95" s="11"/>
      <c r="AEU95" s="11"/>
      <c r="AEV95" s="11"/>
      <c r="AEW95" s="11"/>
      <c r="AEX95" s="11"/>
      <c r="AEY95" s="11"/>
      <c r="AEZ95" s="11"/>
      <c r="AFA95" s="11"/>
      <c r="AFB95" s="11"/>
      <c r="AFC95" s="11"/>
      <c r="AFD95" s="11"/>
      <c r="AFE95" s="11"/>
      <c r="AFF95" s="11"/>
      <c r="AFG95" s="11"/>
      <c r="AFH95" s="11"/>
      <c r="AFI95" s="11"/>
      <c r="AFJ95" s="11"/>
      <c r="AFK95" s="11"/>
      <c r="AFL95" s="11"/>
      <c r="AFM95" s="11"/>
      <c r="AFN95" s="11"/>
      <c r="AFO95" s="11"/>
      <c r="AFP95" s="11"/>
      <c r="AFQ95" s="11"/>
      <c r="AFR95" s="11"/>
      <c r="AFS95" s="11"/>
      <c r="AFT95" s="11"/>
      <c r="AFU95" s="11"/>
      <c r="AFV95" s="11"/>
      <c r="AFW95" s="11"/>
      <c r="AFX95" s="11"/>
      <c r="AFY95" s="11"/>
      <c r="AFZ95" s="11"/>
      <c r="AGA95" s="11"/>
      <c r="AGB95" s="11"/>
      <c r="AGC95" s="11"/>
      <c r="AGD95" s="11"/>
      <c r="AGE95" s="11"/>
      <c r="AGF95" s="11"/>
      <c r="AGG95" s="11"/>
      <c r="AGH95" s="11"/>
      <c r="AGI95" s="11"/>
      <c r="AGJ95" s="11"/>
      <c r="AGK95" s="11"/>
      <c r="AGL95" s="11"/>
      <c r="AGM95" s="11"/>
      <c r="AGN95" s="11"/>
      <c r="AGO95" s="11"/>
      <c r="AGP95" s="11"/>
      <c r="AGQ95" s="11"/>
      <c r="AGR95" s="11"/>
      <c r="AGS95" s="11"/>
      <c r="AGT95" s="11"/>
      <c r="AGU95" s="11"/>
      <c r="AGV95" s="11"/>
      <c r="AGW95" s="11"/>
      <c r="AGX95" s="11"/>
      <c r="AGY95" s="11"/>
      <c r="AGZ95" s="11"/>
      <c r="AHA95" s="11"/>
      <c r="AHB95" s="11"/>
      <c r="AHC95" s="11"/>
      <c r="AHD95" s="11"/>
      <c r="AHE95" s="11"/>
      <c r="AHF95" s="11"/>
      <c r="AHG95" s="11"/>
      <c r="AHH95" s="11"/>
      <c r="AHI95" s="11"/>
      <c r="AHJ95" s="11"/>
      <c r="AHK95" s="11"/>
      <c r="AHL95" s="11"/>
      <c r="AHM95" s="11"/>
      <c r="AHN95" s="11"/>
      <c r="AHO95" s="11"/>
      <c r="AHP95" s="11"/>
      <c r="AHQ95" s="11"/>
      <c r="AHR95" s="11"/>
      <c r="AHS95" s="11"/>
      <c r="AHT95" s="11"/>
      <c r="AHU95" s="11"/>
      <c r="AHV95" s="11"/>
      <c r="AHW95" s="11"/>
      <c r="AHX95" s="11"/>
      <c r="AHY95" s="11"/>
      <c r="AHZ95" s="11"/>
      <c r="AIA95" s="11"/>
      <c r="AIB95" s="11"/>
      <c r="AIC95" s="11"/>
      <c r="AID95" s="11"/>
      <c r="AIE95" s="11"/>
      <c r="AIF95" s="11"/>
      <c r="AIG95" s="11"/>
      <c r="AIH95" s="11"/>
      <c r="AII95" s="11"/>
      <c r="AIJ95" s="11"/>
      <c r="AIK95" s="11"/>
      <c r="AIL95" s="11"/>
      <c r="AIM95" s="11"/>
      <c r="AIN95" s="11"/>
      <c r="AIO95" s="11"/>
      <c r="AIP95" s="11"/>
      <c r="AIQ95" s="11"/>
      <c r="AIR95" s="11"/>
      <c r="AIS95" s="11"/>
      <c r="AIT95" s="11"/>
      <c r="AIU95" s="11"/>
      <c r="AIV95" s="11"/>
      <c r="AIW95" s="11"/>
      <c r="AIX95" s="11"/>
      <c r="AIY95" s="11"/>
      <c r="AIZ95" s="11"/>
      <c r="AJA95" s="11"/>
      <c r="AJB95" s="11"/>
      <c r="AJC95" s="11"/>
      <c r="AJD95" s="11"/>
      <c r="AJE95" s="11"/>
      <c r="AJF95" s="11"/>
      <c r="AJG95" s="11"/>
      <c r="AJH95" s="11"/>
      <c r="AJI95" s="11"/>
      <c r="AJJ95" s="11"/>
      <c r="AJK95" s="11"/>
      <c r="AJL95" s="11"/>
      <c r="AJM95" s="11"/>
      <c r="AJN95" s="11"/>
      <c r="AJO95" s="11"/>
      <c r="AJP95" s="11"/>
      <c r="AJQ95" s="11"/>
      <c r="AJR95" s="11"/>
      <c r="AJS95" s="11"/>
      <c r="AJT95" s="11"/>
      <c r="AJU95" s="11"/>
      <c r="AJV95" s="11"/>
      <c r="AJW95" s="11"/>
      <c r="AJX95" s="11"/>
      <c r="AJY95" s="11"/>
      <c r="AJZ95" s="11"/>
      <c r="AKA95" s="11"/>
      <c r="AKB95" s="11"/>
      <c r="AKC95" s="11"/>
      <c r="AKD95" s="11"/>
      <c r="AKE95" s="11"/>
      <c r="AKF95" s="11"/>
      <c r="AKG95" s="11"/>
      <c r="AKH95" s="11"/>
      <c r="AKI95" s="11"/>
      <c r="AKJ95" s="11"/>
      <c r="AKK95" s="11"/>
      <c r="AKL95" s="11"/>
      <c r="AKM95" s="11"/>
      <c r="AKN95" s="11"/>
      <c r="AKO95" s="11"/>
      <c r="AKP95" s="11"/>
      <c r="AKQ95" s="11"/>
      <c r="AKR95" s="11"/>
      <c r="AKS95" s="11"/>
      <c r="AKT95" s="11"/>
      <c r="AKU95" s="11"/>
      <c r="AKV95" s="11"/>
      <c r="AKW95" s="11"/>
      <c r="AKX95" s="11"/>
      <c r="AKY95" s="11"/>
      <c r="AKZ95" s="11"/>
      <c r="ALA95" s="11"/>
      <c r="ALB95" s="11"/>
      <c r="ALC95" s="11"/>
      <c r="ALD95" s="11"/>
      <c r="ALE95" s="11"/>
      <c r="ALF95" s="11"/>
      <c r="ALG95" s="11"/>
      <c r="ALH95" s="11"/>
      <c r="ALI95" s="11"/>
      <c r="ALJ95" s="11"/>
      <c r="ALK95" s="11"/>
      <c r="ALL95" s="11"/>
      <c r="ALM95" s="11"/>
      <c r="ALN95" s="11"/>
      <c r="ALO95" s="11"/>
      <c r="ALP95" s="11"/>
      <c r="ALQ95" s="11"/>
      <c r="ALR95" s="11"/>
      <c r="ALS95" s="11"/>
      <c r="ALT95" s="11"/>
      <c r="ALU95" s="11"/>
      <c r="ALV95" s="11"/>
      <c r="ALW95" s="11"/>
      <c r="ALX95" s="11"/>
      <c r="ALY95" s="11"/>
      <c r="ALZ95" s="11"/>
      <c r="AMA95" s="11"/>
      <c r="AMB95" s="11"/>
      <c r="AMC95" s="11"/>
      <c r="AMD95" s="11"/>
      <c r="AME95" s="11"/>
      <c r="AMF95" s="11"/>
      <c r="AMG95" s="11"/>
      <c r="AMH95" s="11"/>
      <c r="AMI95" s="11"/>
      <c r="AMJ95" s="11"/>
      <c r="AMK95" s="11"/>
      <c r="AML95" s="11"/>
      <c r="AMM95" s="11"/>
      <c r="AMN95" s="11"/>
      <c r="AMO95" s="11"/>
      <c r="AMP95" s="11"/>
      <c r="AMQ95" s="11"/>
      <c r="AMR95" s="11"/>
      <c r="AMS95" s="11"/>
      <c r="AMT95" s="11"/>
      <c r="AMU95" s="11"/>
      <c r="AMV95" s="11"/>
      <c r="AMW95" s="11"/>
      <c r="AMX95" s="11"/>
      <c r="AMY95" s="11"/>
      <c r="AMZ95" s="11"/>
      <c r="ANA95" s="11"/>
      <c r="ANB95" s="11"/>
      <c r="ANC95" s="11"/>
      <c r="AND95" s="11"/>
      <c r="ANE95" s="11"/>
      <c r="ANF95" s="11"/>
      <c r="ANG95" s="11"/>
      <c r="ANH95" s="11"/>
      <c r="ANI95" s="11"/>
      <c r="ANJ95" s="11"/>
      <c r="ANK95" s="11"/>
      <c r="ANL95" s="11"/>
      <c r="ANM95" s="11"/>
      <c r="ANN95" s="11"/>
      <c r="ANO95" s="11"/>
      <c r="ANP95" s="11"/>
      <c r="ANQ95" s="11"/>
      <c r="ANR95" s="11"/>
      <c r="ANS95" s="11"/>
      <c r="ANT95" s="11"/>
      <c r="ANU95" s="11"/>
      <c r="ANV95" s="11"/>
      <c r="ANW95" s="11"/>
      <c r="ANX95" s="11"/>
      <c r="ANY95" s="11"/>
      <c r="ANZ95" s="11"/>
      <c r="AOA95" s="11"/>
      <c r="AOB95" s="11"/>
      <c r="AOC95" s="11"/>
      <c r="AOD95" s="11"/>
      <c r="AOE95" s="11"/>
      <c r="AOF95" s="11"/>
      <c r="AOG95" s="11"/>
      <c r="AOH95" s="11"/>
      <c r="AOI95" s="11"/>
      <c r="AOJ95" s="11"/>
      <c r="AOK95" s="11"/>
      <c r="AOL95" s="11"/>
      <c r="AOM95" s="11"/>
      <c r="AON95" s="11"/>
      <c r="AOO95" s="11"/>
      <c r="AOP95" s="11"/>
      <c r="AOQ95" s="11"/>
      <c r="AOR95" s="11"/>
      <c r="AOS95" s="11"/>
      <c r="AOT95" s="11"/>
      <c r="AOU95" s="11"/>
      <c r="AOV95" s="11"/>
      <c r="AOW95" s="11"/>
      <c r="AOX95" s="11"/>
      <c r="AOY95" s="11"/>
      <c r="AOZ95" s="11"/>
      <c r="APA95" s="11"/>
      <c r="APB95" s="11"/>
      <c r="APC95" s="11"/>
      <c r="APD95" s="11"/>
      <c r="APE95" s="11"/>
      <c r="APF95" s="11"/>
      <c r="APG95" s="11"/>
      <c r="APH95" s="11"/>
      <c r="API95" s="11"/>
      <c r="APJ95" s="11"/>
      <c r="APK95" s="11"/>
      <c r="APL95" s="11"/>
      <c r="APM95" s="11"/>
      <c r="APN95" s="11"/>
      <c r="APO95" s="11"/>
      <c r="APP95" s="11"/>
      <c r="APQ95" s="11"/>
      <c r="APR95" s="11"/>
      <c r="APS95" s="11"/>
      <c r="APT95" s="11"/>
      <c r="APU95" s="11"/>
      <c r="APV95" s="11"/>
      <c r="APW95" s="11"/>
      <c r="APX95" s="11"/>
      <c r="APY95" s="11"/>
      <c r="APZ95" s="11"/>
      <c r="AQA95" s="11"/>
      <c r="AQB95" s="11"/>
      <c r="AQC95" s="11"/>
      <c r="AQD95" s="11"/>
      <c r="AQE95" s="11"/>
      <c r="AQF95" s="11"/>
      <c r="AQG95" s="11"/>
      <c r="AQH95" s="11"/>
      <c r="AQI95" s="11"/>
      <c r="AQJ95" s="11"/>
      <c r="AQK95" s="11"/>
      <c r="AQL95" s="11"/>
      <c r="AQM95" s="11"/>
      <c r="AQN95" s="11"/>
      <c r="AQO95" s="11"/>
      <c r="AQP95" s="11"/>
      <c r="AQQ95" s="11"/>
      <c r="AQR95" s="11"/>
      <c r="AQS95" s="11"/>
      <c r="AQT95" s="11"/>
      <c r="AQU95" s="11"/>
      <c r="AQV95" s="11"/>
      <c r="AQW95" s="11"/>
      <c r="AQX95" s="11"/>
      <c r="AQY95" s="11"/>
      <c r="AQZ95" s="11"/>
      <c r="ARA95" s="11"/>
      <c r="ARB95" s="11"/>
      <c r="ARC95" s="11"/>
      <c r="ARD95" s="11"/>
      <c r="ARE95" s="11"/>
      <c r="ARF95" s="11"/>
      <c r="ARG95" s="11"/>
      <c r="ARH95" s="11"/>
      <c r="ARI95" s="11"/>
      <c r="ARJ95" s="11"/>
      <c r="ARK95" s="11"/>
      <c r="ARL95" s="11"/>
      <c r="ARM95" s="11"/>
      <c r="ARN95" s="11"/>
      <c r="ARO95" s="11"/>
      <c r="ARP95" s="11"/>
      <c r="ARQ95" s="11"/>
      <c r="ARR95" s="11"/>
      <c r="ARS95" s="11"/>
      <c r="ART95" s="11"/>
      <c r="ARU95" s="11"/>
      <c r="ARV95" s="11"/>
      <c r="ARW95" s="11"/>
      <c r="ARX95" s="11"/>
      <c r="ARY95" s="11"/>
      <c r="ARZ95" s="11"/>
      <c r="ASA95" s="11"/>
      <c r="ASB95" s="11"/>
      <c r="ASC95" s="11"/>
      <c r="ASD95" s="11"/>
      <c r="ASE95" s="11"/>
      <c r="ASF95" s="11"/>
      <c r="ASG95" s="11"/>
      <c r="ASH95" s="11"/>
      <c r="ASI95" s="11"/>
      <c r="ASJ95" s="11"/>
      <c r="ASK95" s="11"/>
      <c r="ASL95" s="11"/>
      <c r="ASM95" s="11"/>
      <c r="ASN95" s="11"/>
      <c r="ASO95" s="11"/>
      <c r="ASP95" s="11"/>
      <c r="ASQ95" s="11"/>
      <c r="ASR95" s="11"/>
      <c r="ASS95" s="11"/>
      <c r="AST95" s="11"/>
      <c r="ASU95" s="11"/>
      <c r="ASV95" s="11"/>
      <c r="ASW95" s="11"/>
      <c r="ASX95" s="11"/>
      <c r="ASY95" s="11"/>
      <c r="ASZ95" s="11"/>
      <c r="ATA95" s="11"/>
      <c r="ATB95" s="11"/>
      <c r="ATC95" s="11"/>
      <c r="ATD95" s="11"/>
      <c r="ATE95" s="11"/>
      <c r="ATF95" s="11"/>
      <c r="ATG95" s="11"/>
      <c r="ATH95" s="11"/>
      <c r="ATI95" s="11"/>
      <c r="ATJ95" s="11"/>
      <c r="ATK95" s="11"/>
      <c r="ATL95" s="11"/>
      <c r="ATM95" s="11"/>
      <c r="ATN95" s="11"/>
      <c r="ATO95" s="11"/>
      <c r="ATP95" s="11"/>
      <c r="ATQ95" s="11"/>
      <c r="ATR95" s="11"/>
      <c r="ATS95" s="11"/>
      <c r="ATT95" s="11"/>
      <c r="ATU95" s="11"/>
      <c r="ATV95" s="11"/>
      <c r="ATW95" s="11"/>
      <c r="ATX95" s="11"/>
      <c r="ATY95" s="11"/>
      <c r="ATZ95" s="11"/>
      <c r="AUA95" s="11"/>
      <c r="AUB95" s="11"/>
      <c r="AUC95" s="11"/>
      <c r="AUD95" s="11"/>
      <c r="AUE95" s="11"/>
      <c r="AUF95" s="11"/>
      <c r="AUG95" s="11"/>
      <c r="AUH95" s="11"/>
      <c r="AUI95" s="11"/>
      <c r="AUJ95" s="11"/>
      <c r="AUK95" s="11"/>
      <c r="AUL95" s="11"/>
      <c r="AUM95" s="11"/>
      <c r="AUN95" s="11"/>
      <c r="AUO95" s="11"/>
      <c r="AUP95" s="11"/>
      <c r="AUQ95" s="11"/>
      <c r="AUR95" s="11"/>
      <c r="AUS95" s="11"/>
      <c r="AUT95" s="11"/>
      <c r="AUU95" s="11"/>
      <c r="AUV95" s="11"/>
      <c r="AUW95" s="11"/>
      <c r="AUX95" s="11"/>
      <c r="AUY95" s="11"/>
      <c r="AUZ95" s="11"/>
      <c r="AVA95" s="11"/>
      <c r="AVB95" s="11"/>
      <c r="AVC95" s="11"/>
      <c r="AVD95" s="11"/>
      <c r="AVE95" s="11"/>
      <c r="AVF95" s="11"/>
      <c r="AVG95" s="11"/>
      <c r="AVH95" s="11"/>
      <c r="AVI95" s="11"/>
      <c r="AVJ95" s="11"/>
      <c r="AVK95" s="11"/>
      <c r="AVL95" s="11"/>
      <c r="AVM95" s="11"/>
      <c r="AVN95" s="11"/>
      <c r="AVO95" s="11"/>
      <c r="AVP95" s="11"/>
      <c r="AVQ95" s="11"/>
      <c r="AVR95" s="11"/>
      <c r="AVS95" s="11"/>
      <c r="AVT95" s="11"/>
      <c r="AVU95" s="11"/>
      <c r="AVV95" s="11"/>
      <c r="AVW95" s="11"/>
      <c r="AVX95" s="11"/>
      <c r="AVY95" s="11"/>
      <c r="AVZ95" s="11"/>
      <c r="AWA95" s="11"/>
      <c r="AWB95" s="11"/>
      <c r="AWC95" s="11"/>
      <c r="AWD95" s="11"/>
      <c r="AWE95" s="11"/>
      <c r="AWF95" s="11"/>
      <c r="AWG95" s="11"/>
      <c r="AWH95" s="11"/>
      <c r="AWI95" s="11"/>
      <c r="AWJ95" s="11"/>
      <c r="AWK95" s="11"/>
      <c r="AWL95" s="11"/>
      <c r="AWM95" s="11"/>
      <c r="AWN95" s="11"/>
      <c r="AWO95" s="11"/>
      <c r="AWP95" s="11"/>
      <c r="AWQ95" s="11"/>
      <c r="AWR95" s="11"/>
      <c r="AWS95" s="11"/>
      <c r="AWT95" s="11"/>
      <c r="AWU95" s="11"/>
      <c r="AWV95" s="11"/>
      <c r="AWW95" s="11"/>
      <c r="AWX95" s="11"/>
      <c r="AWY95" s="11"/>
      <c r="AWZ95" s="11"/>
      <c r="AXA95" s="11"/>
      <c r="AXB95" s="11"/>
      <c r="AXC95" s="11"/>
      <c r="AXD95" s="11"/>
      <c r="AXE95" s="11"/>
      <c r="AXF95" s="11"/>
      <c r="AXG95" s="11"/>
      <c r="AXH95" s="11"/>
      <c r="AXI95" s="11"/>
      <c r="AXJ95" s="11"/>
      <c r="AXK95" s="11"/>
      <c r="AXL95" s="11"/>
      <c r="AXM95" s="11"/>
      <c r="AXN95" s="11"/>
      <c r="AXO95" s="11"/>
      <c r="AXP95" s="11"/>
      <c r="AXQ95" s="11"/>
      <c r="AXR95" s="11"/>
      <c r="AXS95" s="11"/>
      <c r="AXT95" s="11"/>
      <c r="AXU95" s="11"/>
      <c r="AXV95" s="11"/>
      <c r="AXW95" s="11"/>
      <c r="AXX95" s="11"/>
      <c r="AXY95" s="11"/>
      <c r="AXZ95" s="11"/>
      <c r="AYA95" s="11"/>
      <c r="AYB95" s="11"/>
      <c r="AYC95" s="11"/>
      <c r="AYD95" s="11"/>
      <c r="AYE95" s="11"/>
      <c r="AYF95" s="11"/>
      <c r="AYG95" s="11"/>
      <c r="AYH95" s="11"/>
      <c r="AYI95" s="11"/>
      <c r="AYJ95" s="11"/>
      <c r="AYK95" s="11"/>
      <c r="AYL95" s="11"/>
      <c r="AYM95" s="11"/>
      <c r="AYN95" s="11"/>
      <c r="AYO95" s="11"/>
      <c r="AYP95" s="11"/>
      <c r="AYQ95" s="11"/>
      <c r="AYR95" s="11"/>
      <c r="AYS95" s="11"/>
      <c r="AYT95" s="11"/>
      <c r="AYU95" s="11"/>
      <c r="AYV95" s="11"/>
      <c r="AYW95" s="11"/>
      <c r="AYX95" s="11"/>
      <c r="AYY95" s="11"/>
      <c r="AYZ95" s="11"/>
      <c r="AZA95" s="11"/>
      <c r="AZB95" s="11"/>
      <c r="AZC95" s="11"/>
      <c r="AZD95" s="11"/>
      <c r="AZE95" s="11"/>
      <c r="AZF95" s="11"/>
      <c r="AZG95" s="11"/>
      <c r="AZH95" s="11"/>
      <c r="AZI95" s="11"/>
      <c r="AZJ95" s="11"/>
      <c r="AZK95" s="11"/>
      <c r="AZL95" s="11"/>
      <c r="AZM95" s="11"/>
      <c r="AZN95" s="11"/>
      <c r="AZO95" s="11"/>
      <c r="AZP95" s="11"/>
      <c r="AZQ95" s="11"/>
      <c r="AZR95" s="11"/>
      <c r="AZS95" s="11"/>
      <c r="AZT95" s="11"/>
      <c r="AZU95" s="11"/>
      <c r="AZV95" s="11"/>
      <c r="AZW95" s="11"/>
      <c r="AZX95" s="11"/>
      <c r="AZY95" s="11"/>
      <c r="AZZ95" s="11"/>
      <c r="BAA95" s="11"/>
      <c r="BAB95" s="11"/>
      <c r="BAC95" s="11"/>
      <c r="BAD95" s="11"/>
      <c r="BAE95" s="11"/>
      <c r="BAF95" s="11"/>
      <c r="BAG95" s="11"/>
      <c r="BAH95" s="11"/>
      <c r="BAI95" s="11"/>
      <c r="BAJ95" s="11"/>
      <c r="BAK95" s="11"/>
      <c r="BAL95" s="11"/>
      <c r="BAM95" s="11"/>
      <c r="BAN95" s="11"/>
      <c r="BAO95" s="11"/>
      <c r="BAP95" s="11"/>
      <c r="BAQ95" s="11"/>
      <c r="BAR95" s="11"/>
      <c r="BAS95" s="11"/>
      <c r="BAT95" s="11"/>
      <c r="BAU95" s="11"/>
      <c r="BAV95" s="11"/>
      <c r="BAW95" s="11"/>
      <c r="BAX95" s="11"/>
      <c r="BAY95" s="11"/>
      <c r="BAZ95" s="11"/>
      <c r="BBA95" s="11"/>
      <c r="BBB95" s="11"/>
      <c r="BBC95" s="11"/>
      <c r="BBD95" s="11"/>
      <c r="BBE95" s="11"/>
      <c r="BBF95" s="11"/>
      <c r="BBG95" s="11"/>
      <c r="BBH95" s="11"/>
      <c r="BBI95" s="11"/>
      <c r="BBJ95" s="11"/>
      <c r="BBK95" s="11"/>
      <c r="BBL95" s="11"/>
      <c r="BBM95" s="11"/>
      <c r="BBN95" s="11"/>
      <c r="BBO95" s="11"/>
      <c r="BBP95" s="11"/>
      <c r="BBQ95" s="11"/>
      <c r="BBR95" s="11"/>
      <c r="BBS95" s="11"/>
      <c r="BBT95" s="11"/>
      <c r="BBU95" s="11"/>
      <c r="BBV95" s="11"/>
      <c r="BBW95" s="11"/>
      <c r="BBX95" s="11"/>
      <c r="BBY95" s="11"/>
      <c r="BBZ95" s="11"/>
      <c r="BCA95" s="11"/>
      <c r="BCB95" s="11"/>
      <c r="BCC95" s="11"/>
      <c r="BCD95" s="11"/>
      <c r="BCE95" s="11"/>
      <c r="BCF95" s="11"/>
      <c r="BCG95" s="11"/>
      <c r="BCH95" s="11"/>
      <c r="BCI95" s="11"/>
      <c r="BCJ95" s="11"/>
      <c r="BCK95" s="11"/>
      <c r="BCL95" s="11"/>
      <c r="BCM95" s="11"/>
      <c r="BCN95" s="11"/>
      <c r="BCO95" s="11"/>
      <c r="BCP95" s="11"/>
      <c r="BCQ95" s="11"/>
      <c r="BCR95" s="11"/>
      <c r="BCS95" s="11"/>
      <c r="BCT95" s="11"/>
      <c r="BCU95" s="11"/>
      <c r="BCV95" s="11"/>
      <c r="BCW95" s="11"/>
      <c r="BCX95" s="11"/>
      <c r="BCY95" s="11"/>
      <c r="BCZ95" s="11"/>
      <c r="BDA95" s="11"/>
      <c r="BDB95" s="11"/>
      <c r="BDC95" s="11"/>
      <c r="BDD95" s="11"/>
      <c r="BDE95" s="11"/>
      <c r="BDF95" s="11"/>
      <c r="BDG95" s="11"/>
      <c r="BDH95" s="11"/>
      <c r="BDI95" s="11"/>
      <c r="BDJ95" s="11"/>
      <c r="BDK95" s="11"/>
      <c r="BDL95" s="11"/>
      <c r="BDM95" s="11"/>
      <c r="BDN95" s="11"/>
      <c r="BDO95" s="11"/>
      <c r="BDP95" s="11"/>
      <c r="BDQ95" s="11"/>
      <c r="BDR95" s="11"/>
      <c r="BDS95" s="11"/>
      <c r="BDT95" s="11"/>
      <c r="BDU95" s="11"/>
      <c r="BDV95" s="11"/>
      <c r="BDW95" s="11"/>
      <c r="BDX95" s="11"/>
      <c r="BDY95" s="11"/>
      <c r="BDZ95" s="11"/>
      <c r="BEA95" s="11"/>
      <c r="BEB95" s="11"/>
      <c r="BEC95" s="11"/>
      <c r="BED95" s="11"/>
      <c r="BEE95" s="11"/>
      <c r="BEF95" s="11"/>
      <c r="BEG95" s="11"/>
      <c r="BEH95" s="11"/>
      <c r="BEI95" s="11"/>
      <c r="BEJ95" s="11"/>
      <c r="BEK95" s="11"/>
      <c r="BEL95" s="11"/>
      <c r="BEM95" s="11"/>
      <c r="BEN95" s="11"/>
      <c r="BEO95" s="11"/>
      <c r="BEP95" s="11"/>
      <c r="BEQ95" s="11"/>
      <c r="BER95" s="11"/>
      <c r="BES95" s="11"/>
      <c r="BET95" s="11"/>
      <c r="BEU95" s="11"/>
      <c r="BEV95" s="11"/>
      <c r="BEW95" s="11"/>
      <c r="BEX95" s="11"/>
      <c r="BEY95" s="11"/>
      <c r="BEZ95" s="11"/>
      <c r="BFA95" s="11"/>
      <c r="BFB95" s="11"/>
      <c r="BFC95" s="11"/>
      <c r="BFD95" s="11"/>
      <c r="BFE95" s="11"/>
      <c r="BFF95" s="11"/>
      <c r="BFG95" s="11"/>
      <c r="BFH95" s="11"/>
      <c r="BFI95" s="11"/>
      <c r="BFJ95" s="11"/>
      <c r="BFK95" s="11"/>
      <c r="BFL95" s="11"/>
      <c r="BFM95" s="11"/>
      <c r="BFN95" s="11"/>
      <c r="BFO95" s="11"/>
      <c r="BFP95" s="11"/>
      <c r="BFQ95" s="11"/>
      <c r="BFR95" s="11"/>
      <c r="BFS95" s="11"/>
      <c r="BFT95" s="11"/>
      <c r="BFU95" s="11"/>
      <c r="BFV95" s="11"/>
      <c r="BFW95" s="11"/>
      <c r="BFX95" s="11"/>
      <c r="BFY95" s="11"/>
      <c r="BFZ95" s="11"/>
      <c r="BGA95" s="11"/>
      <c r="BGB95" s="11"/>
      <c r="BGC95" s="11"/>
      <c r="BGD95" s="11"/>
      <c r="BGE95" s="11"/>
      <c r="BGF95" s="11"/>
      <c r="BGG95" s="11"/>
      <c r="BGH95" s="11"/>
      <c r="BGI95" s="11"/>
      <c r="BGJ95" s="11"/>
      <c r="BGK95" s="11"/>
      <c r="BGL95" s="11"/>
      <c r="BGM95" s="11"/>
      <c r="BGN95" s="11"/>
      <c r="BGO95" s="11"/>
      <c r="BGP95" s="11"/>
      <c r="BGQ95" s="11"/>
      <c r="BGR95" s="11"/>
      <c r="BGS95" s="11"/>
      <c r="BGT95" s="11"/>
      <c r="BGU95" s="11"/>
      <c r="BGV95" s="11"/>
      <c r="BGW95" s="11"/>
      <c r="BGX95" s="11"/>
      <c r="BGY95" s="11"/>
      <c r="BGZ95" s="11"/>
      <c r="BHA95" s="11"/>
      <c r="BHB95" s="11"/>
      <c r="BHC95" s="11"/>
      <c r="BHD95" s="11"/>
      <c r="BHE95" s="11"/>
      <c r="BHF95" s="11"/>
      <c r="BHG95" s="11"/>
      <c r="BHH95" s="11"/>
      <c r="BHI95" s="11"/>
      <c r="BHJ95" s="11"/>
      <c r="BHK95" s="11"/>
      <c r="BHL95" s="11"/>
      <c r="BHM95" s="11"/>
      <c r="BHN95" s="11"/>
      <c r="BHO95" s="11"/>
      <c r="BHP95" s="11"/>
      <c r="BHQ95" s="11"/>
      <c r="BHR95" s="11"/>
      <c r="BHS95" s="11"/>
      <c r="BHT95" s="11"/>
      <c r="BHU95" s="11"/>
      <c r="BHV95" s="11"/>
      <c r="BHW95" s="11"/>
      <c r="BHX95" s="11"/>
      <c r="BHY95" s="11"/>
      <c r="BHZ95" s="11"/>
      <c r="BIA95" s="11"/>
      <c r="BIB95" s="11"/>
      <c r="BIC95" s="11"/>
      <c r="BID95" s="11"/>
      <c r="BIE95" s="11"/>
      <c r="BIF95" s="11"/>
      <c r="BIG95" s="11"/>
      <c r="BIH95" s="11"/>
      <c r="BII95" s="11"/>
      <c r="BIJ95" s="11"/>
      <c r="BIK95" s="11"/>
      <c r="BIL95" s="11"/>
      <c r="BIM95" s="11"/>
      <c r="BIN95" s="11"/>
      <c r="BIO95" s="11"/>
      <c r="BIP95" s="11"/>
      <c r="BIQ95" s="11"/>
      <c r="BIR95" s="11"/>
      <c r="BIS95" s="11"/>
      <c r="BIT95" s="11"/>
      <c r="BIU95" s="11"/>
      <c r="BIV95" s="11"/>
      <c r="BIW95" s="11"/>
      <c r="BIX95" s="11"/>
      <c r="BIY95" s="11"/>
      <c r="BIZ95" s="11"/>
      <c r="BJA95" s="11"/>
      <c r="BJB95" s="11"/>
      <c r="BJC95" s="11"/>
      <c r="BJD95" s="11"/>
      <c r="BJE95" s="11"/>
      <c r="BJF95" s="11"/>
      <c r="BJG95" s="11"/>
      <c r="BJH95" s="11"/>
      <c r="BJI95" s="11"/>
      <c r="BJJ95" s="11"/>
      <c r="BJK95" s="11"/>
      <c r="BJL95" s="11"/>
      <c r="BJM95" s="11"/>
      <c r="BJN95" s="11"/>
      <c r="BJO95" s="11"/>
      <c r="BJP95" s="11"/>
      <c r="BJQ95" s="11"/>
      <c r="BJR95" s="11"/>
      <c r="BJS95" s="11"/>
      <c r="BJT95" s="11"/>
      <c r="BJU95" s="11"/>
      <c r="BJV95" s="11"/>
      <c r="BJW95" s="11"/>
      <c r="BJX95" s="11"/>
      <c r="BJY95" s="11"/>
      <c r="BJZ95" s="11"/>
      <c r="BKA95" s="11"/>
      <c r="BKB95" s="11"/>
      <c r="BKC95" s="11"/>
      <c r="BKD95" s="11"/>
      <c r="BKE95" s="11"/>
      <c r="BKF95" s="11"/>
      <c r="BKG95" s="11"/>
      <c r="BKH95" s="11"/>
      <c r="BKI95" s="11"/>
      <c r="BKJ95" s="11"/>
      <c r="BKK95" s="11"/>
      <c r="BKL95" s="11"/>
      <c r="BKM95" s="11"/>
      <c r="BKN95" s="11"/>
      <c r="BKO95" s="11"/>
      <c r="BKP95" s="11"/>
      <c r="BKQ95" s="11"/>
      <c r="BKR95" s="11"/>
      <c r="BKS95" s="11"/>
      <c r="BKT95" s="11"/>
      <c r="BKU95" s="11"/>
      <c r="BKV95" s="11"/>
      <c r="BKW95" s="11"/>
      <c r="BKX95" s="11"/>
      <c r="BKY95" s="11"/>
      <c r="BKZ95" s="11"/>
      <c r="BLA95" s="11"/>
      <c r="BLB95" s="11"/>
      <c r="BLC95" s="11"/>
      <c r="BLD95" s="11"/>
      <c r="BLE95" s="11"/>
      <c r="BLF95" s="11"/>
      <c r="BLG95" s="11"/>
      <c r="BLH95" s="11"/>
      <c r="BLI95" s="11"/>
      <c r="BLJ95" s="11"/>
      <c r="BLK95" s="11"/>
      <c r="BLL95" s="11"/>
      <c r="BLM95" s="11"/>
      <c r="BLN95" s="11"/>
      <c r="BLO95" s="11"/>
      <c r="BLP95" s="11"/>
      <c r="BLQ95" s="11"/>
      <c r="BLR95" s="11"/>
      <c r="BLS95" s="11"/>
      <c r="BLT95" s="11"/>
      <c r="BLU95" s="11"/>
      <c r="BLV95" s="11"/>
      <c r="BLW95" s="11"/>
      <c r="BLX95" s="11"/>
      <c r="BLY95" s="11"/>
      <c r="BLZ95" s="11"/>
      <c r="BMA95" s="11"/>
      <c r="BMB95" s="11"/>
      <c r="BMC95" s="11"/>
      <c r="BMD95" s="11"/>
      <c r="BME95" s="11"/>
      <c r="BMF95" s="11"/>
      <c r="BMG95" s="11"/>
      <c r="BMH95" s="11"/>
      <c r="BMI95" s="11"/>
      <c r="BMJ95" s="11"/>
      <c r="BMK95" s="11"/>
      <c r="BML95" s="11"/>
      <c r="BMM95" s="11"/>
      <c r="BMN95" s="11"/>
      <c r="BMO95" s="11"/>
      <c r="BMP95" s="11"/>
      <c r="BMQ95" s="11"/>
      <c r="BMR95" s="11"/>
      <c r="BMS95" s="11"/>
      <c r="BMT95" s="11"/>
      <c r="BMU95" s="11"/>
      <c r="BMV95" s="11"/>
      <c r="BMW95" s="11"/>
      <c r="BMX95" s="11"/>
      <c r="BMY95" s="11"/>
      <c r="BMZ95" s="11"/>
      <c r="BNA95" s="11"/>
      <c r="BNB95" s="11"/>
      <c r="BNC95" s="11"/>
      <c r="BND95" s="11"/>
      <c r="BNE95" s="11"/>
      <c r="BNF95" s="11"/>
      <c r="BNG95" s="11"/>
      <c r="BNH95" s="11"/>
      <c r="BNI95" s="11"/>
      <c r="BNJ95" s="11"/>
      <c r="BNK95" s="11"/>
      <c r="BNL95" s="11"/>
      <c r="BNM95" s="11"/>
      <c r="BNN95" s="11"/>
      <c r="BNO95" s="11"/>
      <c r="BNP95" s="11"/>
      <c r="BNQ95" s="11"/>
      <c r="BNR95" s="11"/>
      <c r="BNS95" s="11"/>
      <c r="BNT95" s="11"/>
      <c r="BNU95" s="11"/>
      <c r="BNV95" s="11"/>
      <c r="BNW95" s="11"/>
      <c r="BNX95" s="11"/>
      <c r="BNY95" s="11"/>
      <c r="BNZ95" s="11"/>
      <c r="BOA95" s="11"/>
      <c r="BOB95" s="11"/>
      <c r="BOC95" s="11"/>
      <c r="BOD95" s="11"/>
      <c r="BOE95" s="11"/>
      <c r="BOF95" s="11"/>
      <c r="BOG95" s="11"/>
      <c r="BOH95" s="11"/>
      <c r="BOI95" s="11"/>
      <c r="BOJ95" s="11"/>
      <c r="BOK95" s="11"/>
      <c r="BOL95" s="11"/>
      <c r="BOM95" s="11"/>
      <c r="BON95" s="11"/>
      <c r="BOO95" s="11"/>
      <c r="BOP95" s="11"/>
      <c r="BOQ95" s="11"/>
      <c r="BOR95" s="11"/>
      <c r="BOS95" s="11"/>
      <c r="BOT95" s="11"/>
      <c r="BOU95" s="11"/>
      <c r="BOV95" s="11"/>
      <c r="BOW95" s="11"/>
      <c r="BOX95" s="11"/>
      <c r="BOY95" s="11"/>
      <c r="BOZ95" s="11"/>
      <c r="BPA95" s="11"/>
      <c r="BPB95" s="11"/>
      <c r="BPC95" s="11"/>
      <c r="BPD95" s="11"/>
      <c r="BPE95" s="11"/>
      <c r="BPF95" s="11"/>
      <c r="BPG95" s="11"/>
      <c r="BPH95" s="11"/>
      <c r="BPI95" s="11"/>
      <c r="BPJ95" s="11"/>
      <c r="BPK95" s="11"/>
      <c r="BPL95" s="11"/>
      <c r="BPM95" s="11"/>
      <c r="BPN95" s="11"/>
      <c r="BPO95" s="11"/>
      <c r="BPP95" s="11"/>
      <c r="BPQ95" s="11"/>
      <c r="BPR95" s="11"/>
      <c r="BPS95" s="11"/>
      <c r="BPT95" s="11"/>
      <c r="BPU95" s="11"/>
      <c r="BPV95" s="11"/>
      <c r="BPW95" s="11"/>
      <c r="BPX95" s="11"/>
      <c r="BPY95" s="11"/>
      <c r="BPZ95" s="11"/>
      <c r="BQA95" s="11"/>
      <c r="BQB95" s="11"/>
      <c r="BQC95" s="11"/>
      <c r="BQD95" s="11"/>
      <c r="BQE95" s="11"/>
      <c r="BQF95" s="11"/>
      <c r="BQG95" s="11"/>
      <c r="BQH95" s="11"/>
      <c r="BQI95" s="11"/>
      <c r="BQJ95" s="11"/>
      <c r="BQK95" s="11"/>
      <c r="BQL95" s="11"/>
      <c r="BQM95" s="11"/>
      <c r="BQN95" s="11"/>
      <c r="BQO95" s="11"/>
      <c r="BQP95" s="11"/>
      <c r="BQQ95" s="11"/>
      <c r="BQR95" s="11"/>
      <c r="BQS95" s="11"/>
      <c r="BQT95" s="11"/>
      <c r="BQU95" s="11"/>
      <c r="BQV95" s="11"/>
      <c r="BQW95" s="11"/>
      <c r="BQX95" s="11"/>
      <c r="BQY95" s="11"/>
      <c r="BQZ95" s="11"/>
      <c r="BRA95" s="11"/>
      <c r="BRB95" s="11"/>
      <c r="BRC95" s="11"/>
      <c r="BRD95" s="11"/>
      <c r="BRE95" s="11"/>
      <c r="BRF95" s="11"/>
      <c r="BRG95" s="11"/>
      <c r="BRH95" s="11"/>
      <c r="BRI95" s="11"/>
      <c r="BRJ95" s="11"/>
      <c r="BRK95" s="11"/>
      <c r="BRL95" s="11"/>
      <c r="BRM95" s="11"/>
      <c r="BRN95" s="11"/>
      <c r="BRO95" s="11"/>
      <c r="BRP95" s="11"/>
      <c r="BRQ95" s="11"/>
      <c r="BRR95" s="11"/>
      <c r="BRS95" s="11"/>
      <c r="BRT95" s="11"/>
      <c r="BRU95" s="11"/>
      <c r="BRV95" s="11"/>
      <c r="BRW95" s="11"/>
      <c r="BRX95" s="11"/>
      <c r="BRY95" s="11"/>
      <c r="BRZ95" s="11"/>
      <c r="BSA95" s="11"/>
      <c r="BSB95" s="11"/>
      <c r="BSC95" s="11"/>
      <c r="BSD95" s="11"/>
      <c r="BSE95" s="11"/>
      <c r="BSF95" s="11"/>
      <c r="BSG95" s="11"/>
      <c r="BSH95" s="11"/>
      <c r="BSI95" s="11"/>
      <c r="BSJ95" s="11"/>
      <c r="BSK95" s="11"/>
      <c r="BSL95" s="11"/>
      <c r="BSM95" s="11"/>
      <c r="BSN95" s="11"/>
      <c r="BSO95" s="11"/>
      <c r="BSP95" s="11"/>
      <c r="BSQ95" s="11"/>
      <c r="BSR95" s="11"/>
      <c r="BSS95" s="11"/>
      <c r="BST95" s="11"/>
      <c r="BSU95" s="11"/>
      <c r="BSV95" s="11"/>
      <c r="BSW95" s="11"/>
      <c r="BSX95" s="11"/>
      <c r="BSY95" s="11"/>
      <c r="BSZ95" s="11"/>
      <c r="BTA95" s="11"/>
      <c r="BTB95" s="11"/>
      <c r="BTC95" s="11"/>
      <c r="BTD95" s="11"/>
      <c r="BTE95" s="11"/>
      <c r="BTF95" s="11"/>
      <c r="BTG95" s="11"/>
      <c r="BTH95" s="11"/>
      <c r="BTI95" s="11"/>
      <c r="BTJ95" s="11"/>
      <c r="BTK95" s="11"/>
      <c r="BTL95" s="11"/>
      <c r="BTM95" s="11"/>
      <c r="BTN95" s="11"/>
      <c r="BTO95" s="11"/>
      <c r="BTP95" s="11"/>
      <c r="BTQ95" s="11"/>
      <c r="BTR95" s="11"/>
      <c r="BTS95" s="11"/>
      <c r="BTT95" s="11"/>
      <c r="BTU95" s="11"/>
      <c r="BTV95" s="11"/>
      <c r="BTW95" s="11"/>
      <c r="BTX95" s="11"/>
      <c r="BTY95" s="11"/>
      <c r="BTZ95" s="11"/>
      <c r="BUA95" s="11"/>
      <c r="BUB95" s="11"/>
      <c r="BUC95" s="11"/>
      <c r="BUD95" s="11"/>
      <c r="BUE95" s="11"/>
      <c r="BUF95" s="11"/>
      <c r="BUG95" s="11"/>
      <c r="BUH95" s="11"/>
      <c r="BUI95" s="11"/>
      <c r="BUJ95" s="11"/>
      <c r="BUK95" s="11"/>
      <c r="BUL95" s="11"/>
      <c r="BUM95" s="11"/>
      <c r="BUN95" s="11"/>
      <c r="BUO95" s="11"/>
      <c r="BUP95" s="11"/>
      <c r="BUQ95" s="11"/>
      <c r="BUR95" s="11"/>
      <c r="BUS95" s="11"/>
      <c r="BUT95" s="11"/>
      <c r="BUU95" s="11"/>
      <c r="BUV95" s="11"/>
      <c r="BUW95" s="11"/>
      <c r="BUX95" s="11"/>
      <c r="BUY95" s="11"/>
      <c r="BUZ95" s="11"/>
      <c r="BVA95" s="11"/>
      <c r="BVB95" s="11"/>
      <c r="BVC95" s="11"/>
      <c r="BVD95" s="11"/>
      <c r="BVE95" s="11"/>
      <c r="BVF95" s="11"/>
      <c r="BVG95" s="11"/>
      <c r="BVH95" s="11"/>
      <c r="BVI95" s="11"/>
      <c r="BVJ95" s="11"/>
      <c r="BVK95" s="11"/>
      <c r="BVL95" s="11"/>
      <c r="BVM95" s="11"/>
      <c r="BVN95" s="11"/>
      <c r="BVO95" s="11"/>
      <c r="BVP95" s="11"/>
      <c r="BVQ95" s="11"/>
      <c r="BVR95" s="11"/>
      <c r="BVS95" s="11"/>
      <c r="BVT95" s="11"/>
      <c r="BVU95" s="11"/>
      <c r="BVV95" s="11"/>
      <c r="BVW95" s="11"/>
      <c r="BVX95" s="11"/>
      <c r="BVY95" s="11"/>
      <c r="BVZ95" s="11"/>
      <c r="BWA95" s="11"/>
      <c r="BWB95" s="11"/>
      <c r="BWC95" s="11"/>
      <c r="BWD95" s="11"/>
      <c r="BWE95" s="11"/>
      <c r="BWF95" s="11"/>
      <c r="BWG95" s="11"/>
      <c r="BWH95" s="11"/>
      <c r="BWI95" s="11"/>
      <c r="BWJ95" s="11"/>
      <c r="BWK95" s="11"/>
      <c r="BWL95" s="11"/>
      <c r="BWM95" s="11"/>
      <c r="BWN95" s="11"/>
      <c r="BWO95" s="11"/>
      <c r="BWP95" s="11"/>
      <c r="BWQ95" s="11"/>
      <c r="BWR95" s="11"/>
      <c r="BWS95" s="11"/>
      <c r="BWT95" s="11"/>
      <c r="BWU95" s="11"/>
      <c r="BWV95" s="11"/>
      <c r="BWW95" s="11"/>
      <c r="BWX95" s="11"/>
      <c r="BWY95" s="11"/>
      <c r="BWZ95" s="11"/>
      <c r="BXA95" s="11"/>
      <c r="BXB95" s="11"/>
      <c r="BXC95" s="11"/>
      <c r="BXD95" s="11"/>
      <c r="BXE95" s="11"/>
      <c r="BXF95" s="11"/>
      <c r="BXG95" s="11"/>
      <c r="BXH95" s="11"/>
      <c r="BXI95" s="11"/>
      <c r="BXJ95" s="11"/>
      <c r="BXK95" s="11"/>
      <c r="BXL95" s="11"/>
      <c r="BXM95" s="11"/>
      <c r="BXN95" s="11"/>
      <c r="BXO95" s="11"/>
      <c r="BXP95" s="11"/>
      <c r="BXQ95" s="11"/>
      <c r="BXR95" s="11"/>
      <c r="BXS95" s="11"/>
      <c r="BXT95" s="11"/>
      <c r="BXU95" s="11"/>
      <c r="BXV95" s="11"/>
      <c r="BXW95" s="11"/>
      <c r="BXX95" s="11"/>
      <c r="BXY95" s="11"/>
      <c r="BXZ95" s="11"/>
      <c r="BYA95" s="11"/>
      <c r="BYB95" s="11"/>
      <c r="BYC95" s="11"/>
      <c r="BYD95" s="11"/>
      <c r="BYE95" s="11"/>
      <c r="BYF95" s="11"/>
      <c r="BYG95" s="11"/>
      <c r="BYH95" s="11"/>
      <c r="BYI95" s="11"/>
      <c r="BYJ95" s="11"/>
      <c r="BYK95" s="11"/>
      <c r="BYL95" s="11"/>
      <c r="BYM95" s="11"/>
      <c r="BYN95" s="11"/>
      <c r="BYO95" s="11"/>
      <c r="BYP95" s="11"/>
      <c r="BYQ95" s="11"/>
      <c r="BYR95" s="11"/>
      <c r="BYS95" s="11"/>
      <c r="BYT95" s="11"/>
      <c r="BYU95" s="11"/>
      <c r="BYV95" s="11"/>
      <c r="BYW95" s="11"/>
      <c r="BYX95" s="11"/>
      <c r="BYY95" s="11"/>
      <c r="BYZ95" s="11"/>
      <c r="BZA95" s="11"/>
      <c r="BZB95" s="11"/>
      <c r="BZC95" s="11"/>
      <c r="BZD95" s="11"/>
      <c r="BZE95" s="11"/>
      <c r="BZF95" s="11"/>
      <c r="BZG95" s="11"/>
      <c r="BZH95" s="11"/>
      <c r="BZI95" s="11"/>
      <c r="BZJ95" s="11"/>
      <c r="BZK95" s="11"/>
      <c r="BZL95" s="11"/>
      <c r="BZM95" s="11"/>
      <c r="BZN95" s="11"/>
      <c r="BZO95" s="11"/>
      <c r="BZP95" s="11"/>
      <c r="BZQ95" s="11"/>
      <c r="BZR95" s="11"/>
      <c r="BZS95" s="11"/>
      <c r="BZT95" s="11"/>
      <c r="BZU95" s="11"/>
      <c r="BZV95" s="11"/>
      <c r="BZW95" s="11"/>
      <c r="BZX95" s="11"/>
      <c r="BZY95" s="11"/>
      <c r="BZZ95" s="11"/>
      <c r="CAA95" s="11"/>
      <c r="CAB95" s="11"/>
      <c r="CAC95" s="11"/>
      <c r="CAD95" s="11"/>
      <c r="CAE95" s="11"/>
      <c r="CAF95" s="11"/>
      <c r="CAG95" s="11"/>
      <c r="CAH95" s="11"/>
      <c r="CAI95" s="11"/>
      <c r="CAJ95" s="11"/>
      <c r="CAK95" s="11"/>
      <c r="CAL95" s="11"/>
      <c r="CAM95" s="11"/>
      <c r="CAN95" s="11"/>
      <c r="CAO95" s="11"/>
      <c r="CAP95" s="11"/>
      <c r="CAQ95" s="11"/>
      <c r="CAR95" s="11"/>
      <c r="CAS95" s="11"/>
      <c r="CAT95" s="11"/>
      <c r="CAU95" s="11"/>
      <c r="CAV95" s="11"/>
      <c r="CAW95" s="11"/>
      <c r="CAX95" s="11"/>
      <c r="CAY95" s="11"/>
      <c r="CAZ95" s="11"/>
      <c r="CBA95" s="11"/>
      <c r="CBB95" s="11"/>
      <c r="CBC95" s="11"/>
      <c r="CBD95" s="11"/>
      <c r="CBE95" s="11"/>
      <c r="CBF95" s="11"/>
      <c r="CBG95" s="11"/>
      <c r="CBH95" s="11"/>
      <c r="CBI95" s="11"/>
      <c r="CBJ95" s="11"/>
      <c r="CBK95" s="11"/>
      <c r="CBL95" s="11"/>
      <c r="CBM95" s="11"/>
      <c r="CBN95" s="11"/>
      <c r="CBO95" s="11"/>
      <c r="CBP95" s="11"/>
      <c r="CBQ95" s="11"/>
      <c r="CBR95" s="11"/>
      <c r="CBS95" s="11"/>
      <c r="CBT95" s="11"/>
      <c r="CBU95" s="11"/>
      <c r="CBV95" s="11"/>
      <c r="CBW95" s="11"/>
      <c r="CBX95" s="11"/>
      <c r="CBY95" s="11"/>
      <c r="CBZ95" s="11"/>
      <c r="CCA95" s="11"/>
      <c r="CCB95" s="11"/>
      <c r="CCC95" s="11"/>
      <c r="CCD95" s="11"/>
      <c r="CCE95" s="11"/>
      <c r="CCF95" s="11"/>
      <c r="CCG95" s="11"/>
      <c r="CCH95" s="11"/>
      <c r="CCI95" s="11"/>
      <c r="CCJ95" s="11"/>
      <c r="CCK95" s="11"/>
      <c r="CCL95" s="11"/>
      <c r="CCM95" s="11"/>
      <c r="CCN95" s="11"/>
      <c r="CCO95" s="11"/>
      <c r="CCP95" s="11"/>
      <c r="CCQ95" s="11"/>
      <c r="CCR95" s="11"/>
      <c r="CCS95" s="11"/>
      <c r="CCT95" s="11"/>
      <c r="CCU95" s="11"/>
      <c r="CCV95" s="11"/>
      <c r="CCW95" s="11"/>
      <c r="CCX95" s="11"/>
      <c r="CCY95" s="11"/>
      <c r="CCZ95" s="11"/>
      <c r="CDA95" s="11"/>
      <c r="CDB95" s="11"/>
      <c r="CDC95" s="11"/>
      <c r="CDD95" s="11"/>
      <c r="CDE95" s="11"/>
      <c r="CDF95" s="11"/>
      <c r="CDG95" s="11"/>
      <c r="CDH95" s="11"/>
      <c r="CDI95" s="11"/>
      <c r="CDJ95" s="11"/>
      <c r="CDK95" s="11"/>
      <c r="CDL95" s="11"/>
      <c r="CDM95" s="11"/>
      <c r="CDN95" s="11"/>
      <c r="CDO95" s="11"/>
      <c r="CDP95" s="11"/>
      <c r="CDQ95" s="11"/>
      <c r="CDR95" s="11"/>
      <c r="CDS95" s="11"/>
      <c r="CDT95" s="11"/>
      <c r="CDU95" s="11"/>
      <c r="CDV95" s="11"/>
      <c r="CDW95" s="11"/>
      <c r="CDX95" s="11"/>
      <c r="CDY95" s="11"/>
      <c r="CDZ95" s="11"/>
      <c r="CEA95" s="11"/>
      <c r="CEB95" s="11"/>
      <c r="CEC95" s="11"/>
      <c r="CED95" s="11"/>
      <c r="CEE95" s="11"/>
      <c r="CEF95" s="11"/>
      <c r="CEG95" s="11"/>
      <c r="CEH95" s="11"/>
      <c r="CEI95" s="11"/>
      <c r="CEJ95" s="11"/>
      <c r="CEK95" s="11"/>
      <c r="CEL95" s="11"/>
      <c r="CEM95" s="11"/>
      <c r="CEN95" s="11"/>
      <c r="CEO95" s="11"/>
      <c r="CEP95" s="11"/>
      <c r="CEQ95" s="11"/>
      <c r="CER95" s="11"/>
      <c r="CES95" s="11"/>
      <c r="CET95" s="11"/>
      <c r="CEU95" s="11"/>
      <c r="CEV95" s="11"/>
      <c r="CEW95" s="11"/>
      <c r="CEX95" s="11"/>
      <c r="CEY95" s="11"/>
      <c r="CEZ95" s="11"/>
      <c r="CFA95" s="11"/>
      <c r="CFB95" s="11"/>
      <c r="CFC95" s="11"/>
      <c r="CFD95" s="11"/>
      <c r="CFE95" s="11"/>
      <c r="CFF95" s="11"/>
      <c r="CFG95" s="11"/>
      <c r="CFH95" s="11"/>
      <c r="CFI95" s="11"/>
      <c r="CFJ95" s="11"/>
      <c r="CFK95" s="11"/>
      <c r="CFL95" s="11"/>
      <c r="CFM95" s="11"/>
      <c r="CFN95" s="11"/>
      <c r="CFO95" s="11"/>
      <c r="CFP95" s="11"/>
      <c r="CFQ95" s="11"/>
      <c r="CFR95" s="11"/>
      <c r="CFS95" s="11"/>
      <c r="CFT95" s="11"/>
      <c r="CFU95" s="11"/>
      <c r="CFV95" s="11"/>
      <c r="CFW95" s="11"/>
      <c r="CFX95" s="11"/>
      <c r="CFY95" s="11"/>
      <c r="CFZ95" s="11"/>
      <c r="CGA95" s="11"/>
      <c r="CGB95" s="11"/>
      <c r="CGC95" s="11"/>
      <c r="CGD95" s="11"/>
      <c r="CGE95" s="11"/>
      <c r="CGF95" s="11"/>
      <c r="CGG95" s="11"/>
      <c r="CGH95" s="11"/>
      <c r="CGI95" s="11"/>
      <c r="CGJ95" s="11"/>
      <c r="CGK95" s="11"/>
      <c r="CGL95" s="11"/>
      <c r="CGM95" s="11"/>
      <c r="CGN95" s="11"/>
      <c r="CGO95" s="11"/>
      <c r="CGP95" s="11"/>
      <c r="CGQ95" s="11"/>
      <c r="CGR95" s="11"/>
      <c r="CGS95" s="11"/>
      <c r="CGT95" s="11"/>
      <c r="CGU95" s="11"/>
      <c r="CGV95" s="11"/>
      <c r="CGW95" s="11"/>
      <c r="CGX95" s="11"/>
      <c r="CGY95" s="11"/>
      <c r="CGZ95" s="11"/>
      <c r="CHA95" s="11"/>
      <c r="CHB95" s="11"/>
      <c r="CHC95" s="11"/>
      <c r="CHD95" s="11"/>
      <c r="CHE95" s="11"/>
      <c r="CHF95" s="11"/>
      <c r="CHG95" s="11"/>
      <c r="CHH95" s="11"/>
      <c r="CHI95" s="11"/>
      <c r="CHJ95" s="11"/>
      <c r="CHK95" s="11"/>
      <c r="CHL95" s="11"/>
      <c r="CHM95" s="11"/>
      <c r="CHN95" s="11"/>
      <c r="CHO95" s="11"/>
      <c r="CHP95" s="11"/>
      <c r="CHQ95" s="11"/>
      <c r="CHR95" s="11"/>
      <c r="CHS95" s="11"/>
      <c r="CHT95" s="11"/>
      <c r="CHU95" s="11"/>
      <c r="CHV95" s="11"/>
      <c r="CHW95" s="11"/>
      <c r="CHX95" s="11"/>
      <c r="CHY95" s="11"/>
      <c r="CHZ95" s="11"/>
      <c r="CIA95" s="11"/>
      <c r="CIB95" s="11"/>
      <c r="CIC95" s="11"/>
      <c r="CID95" s="11"/>
      <c r="CIE95" s="11"/>
      <c r="CIF95" s="11"/>
      <c r="CIG95" s="11"/>
      <c r="CIH95" s="11"/>
      <c r="CII95" s="11"/>
      <c r="CIJ95" s="11"/>
      <c r="CIK95" s="11"/>
      <c r="CIL95" s="11"/>
      <c r="CIM95" s="11"/>
      <c r="CIN95" s="11"/>
      <c r="CIO95" s="11"/>
      <c r="CIP95" s="11"/>
      <c r="CIQ95" s="11"/>
      <c r="CIR95" s="11"/>
      <c r="CIS95" s="11"/>
      <c r="CIT95" s="11"/>
      <c r="CIU95" s="11"/>
      <c r="CIV95" s="11"/>
      <c r="CIW95" s="11"/>
      <c r="CIX95" s="11"/>
      <c r="CIY95" s="11"/>
      <c r="CIZ95" s="11"/>
      <c r="CJA95" s="11"/>
      <c r="CJB95" s="11"/>
      <c r="CJC95" s="11"/>
      <c r="CJD95" s="11"/>
      <c r="CJE95" s="11"/>
      <c r="CJF95" s="11"/>
      <c r="CJG95" s="11"/>
      <c r="CJH95" s="11"/>
      <c r="CJI95" s="11"/>
      <c r="CJJ95" s="11"/>
      <c r="CJK95" s="11"/>
      <c r="CJL95" s="11"/>
      <c r="CJM95" s="11"/>
      <c r="CJN95" s="11"/>
      <c r="CJO95" s="11"/>
      <c r="CJP95" s="11"/>
      <c r="CJQ95" s="11"/>
      <c r="CJR95" s="11"/>
      <c r="CJS95" s="11"/>
      <c r="CJT95" s="11"/>
      <c r="CJU95" s="11"/>
      <c r="CJV95" s="11"/>
      <c r="CJW95" s="11"/>
      <c r="CJX95" s="11"/>
      <c r="CJY95" s="11"/>
      <c r="CJZ95" s="11"/>
      <c r="CKA95" s="11"/>
      <c r="CKB95" s="11"/>
      <c r="CKC95" s="11"/>
      <c r="CKD95" s="11"/>
      <c r="CKE95" s="11"/>
      <c r="CKF95" s="11"/>
      <c r="CKG95" s="11"/>
      <c r="CKH95" s="11"/>
      <c r="CKI95" s="11"/>
      <c r="CKJ95" s="11"/>
      <c r="CKK95" s="11"/>
      <c r="CKL95" s="11"/>
      <c r="CKM95" s="11"/>
      <c r="CKN95" s="11"/>
      <c r="CKO95" s="11"/>
      <c r="CKP95" s="11"/>
      <c r="CKQ95" s="11"/>
      <c r="CKR95" s="11"/>
      <c r="CKS95" s="11"/>
      <c r="CKT95" s="11"/>
      <c r="CKU95" s="11"/>
      <c r="CKV95" s="11"/>
      <c r="CKW95" s="11"/>
      <c r="CKX95" s="11"/>
      <c r="CKY95" s="11"/>
      <c r="CKZ95" s="11"/>
      <c r="CLA95" s="11"/>
      <c r="CLB95" s="11"/>
      <c r="CLC95" s="11"/>
      <c r="CLD95" s="11"/>
      <c r="CLE95" s="11"/>
      <c r="CLF95" s="11"/>
      <c r="CLG95" s="11"/>
      <c r="CLH95" s="11"/>
      <c r="CLI95" s="11"/>
      <c r="CLJ95" s="11"/>
      <c r="CLK95" s="11"/>
      <c r="CLL95" s="11"/>
      <c r="CLM95" s="11"/>
      <c r="CLN95" s="11"/>
      <c r="CLO95" s="11"/>
      <c r="CLP95" s="11"/>
      <c r="CLQ95" s="11"/>
      <c r="CLR95" s="11"/>
      <c r="CLS95" s="11"/>
      <c r="CLT95" s="11"/>
      <c r="CLU95" s="11"/>
      <c r="CLV95" s="11"/>
      <c r="CLW95" s="11"/>
      <c r="CLX95" s="11"/>
      <c r="CLY95" s="11"/>
      <c r="CLZ95" s="11"/>
      <c r="CMA95" s="11"/>
      <c r="CMB95" s="11"/>
      <c r="CMC95" s="11"/>
      <c r="CMD95" s="11"/>
      <c r="CME95" s="11"/>
      <c r="CMF95" s="11"/>
      <c r="CMG95" s="11"/>
      <c r="CMH95" s="11"/>
      <c r="CMI95" s="11"/>
      <c r="CMJ95" s="11"/>
      <c r="CMK95" s="11"/>
      <c r="CML95" s="11"/>
      <c r="CMM95" s="11"/>
      <c r="CMN95" s="11"/>
      <c r="CMO95" s="11"/>
      <c r="CMP95" s="11"/>
      <c r="CMQ95" s="11"/>
      <c r="CMR95" s="11"/>
      <c r="CMS95" s="11"/>
      <c r="CMT95" s="11"/>
      <c r="CMU95" s="11"/>
      <c r="CMV95" s="11"/>
      <c r="CMW95" s="11"/>
      <c r="CMX95" s="11"/>
      <c r="CMY95" s="11"/>
      <c r="CMZ95" s="11"/>
      <c r="CNA95" s="11"/>
      <c r="CNB95" s="11"/>
      <c r="CNC95" s="11"/>
      <c r="CND95" s="11"/>
      <c r="CNE95" s="11"/>
      <c r="CNF95" s="11"/>
      <c r="CNG95" s="11"/>
      <c r="CNH95" s="11"/>
      <c r="CNI95" s="11"/>
      <c r="CNJ95" s="11"/>
      <c r="CNK95" s="11"/>
      <c r="CNL95" s="11"/>
      <c r="CNM95" s="11"/>
      <c r="CNN95" s="11"/>
      <c r="CNO95" s="11"/>
      <c r="CNP95" s="11"/>
      <c r="CNQ95" s="11"/>
      <c r="CNR95" s="11"/>
      <c r="CNS95" s="11"/>
      <c r="CNT95" s="11"/>
      <c r="CNU95" s="11"/>
      <c r="CNV95" s="11"/>
      <c r="CNW95" s="11"/>
      <c r="CNX95" s="11"/>
      <c r="CNY95" s="11"/>
      <c r="CNZ95" s="11"/>
      <c r="COA95" s="11"/>
      <c r="COB95" s="11"/>
      <c r="COC95" s="11"/>
      <c r="COD95" s="11"/>
      <c r="COE95" s="11"/>
      <c r="COF95" s="11"/>
      <c r="COG95" s="11"/>
      <c r="COH95" s="11"/>
      <c r="COI95" s="11"/>
      <c r="COJ95" s="11"/>
      <c r="COK95" s="11"/>
      <c r="COL95" s="11"/>
      <c r="COM95" s="11"/>
      <c r="CON95" s="11"/>
      <c r="COO95" s="11"/>
      <c r="COP95" s="11"/>
      <c r="COQ95" s="11"/>
      <c r="COR95" s="11"/>
      <c r="COS95" s="11"/>
      <c r="COT95" s="11"/>
      <c r="COU95" s="11"/>
      <c r="COV95" s="11"/>
      <c r="COW95" s="11"/>
      <c r="COX95" s="11"/>
      <c r="COY95" s="11"/>
      <c r="COZ95" s="11"/>
      <c r="CPA95" s="11"/>
      <c r="CPB95" s="11"/>
      <c r="CPC95" s="11"/>
      <c r="CPD95" s="11"/>
      <c r="CPE95" s="11"/>
      <c r="CPF95" s="11"/>
      <c r="CPG95" s="11"/>
      <c r="CPH95" s="11"/>
      <c r="CPI95" s="11"/>
      <c r="CPJ95" s="11"/>
      <c r="CPK95" s="11"/>
      <c r="CPL95" s="11"/>
      <c r="CPM95" s="11"/>
      <c r="CPN95" s="11"/>
      <c r="CPO95" s="11"/>
      <c r="CPP95" s="11"/>
      <c r="CPQ95" s="11"/>
      <c r="CPR95" s="11"/>
      <c r="CPS95" s="11"/>
      <c r="CPT95" s="11"/>
      <c r="CPU95" s="11"/>
      <c r="CPV95" s="11"/>
      <c r="CPW95" s="11"/>
      <c r="CPX95" s="11"/>
      <c r="CPY95" s="11"/>
      <c r="CPZ95" s="11"/>
      <c r="CQA95" s="11"/>
      <c r="CQB95" s="11"/>
      <c r="CQC95" s="11"/>
      <c r="CQD95" s="11"/>
      <c r="CQE95" s="11"/>
      <c r="CQF95" s="11"/>
      <c r="CQG95" s="11"/>
      <c r="CQH95" s="11"/>
      <c r="CQI95" s="11"/>
      <c r="CQJ95" s="11"/>
      <c r="CQK95" s="11"/>
      <c r="CQL95" s="11"/>
      <c r="CQM95" s="11"/>
      <c r="CQN95" s="11"/>
      <c r="CQO95" s="11"/>
      <c r="CQP95" s="11"/>
      <c r="CQQ95" s="11"/>
      <c r="CQR95" s="11"/>
      <c r="CQS95" s="11"/>
      <c r="CQT95" s="11"/>
      <c r="CQU95" s="11"/>
      <c r="CQV95" s="11"/>
      <c r="CQW95" s="11"/>
      <c r="CQX95" s="11"/>
      <c r="CQY95" s="11"/>
      <c r="CQZ95" s="11"/>
      <c r="CRA95" s="11"/>
      <c r="CRB95" s="11"/>
      <c r="CRC95" s="11"/>
      <c r="CRD95" s="11"/>
      <c r="CRE95" s="11"/>
      <c r="CRF95" s="11"/>
      <c r="CRG95" s="11"/>
      <c r="CRH95" s="11"/>
      <c r="CRI95" s="11"/>
      <c r="CRJ95" s="11"/>
      <c r="CRK95" s="11"/>
      <c r="CRL95" s="11"/>
      <c r="CRM95" s="11"/>
      <c r="CRN95" s="11"/>
      <c r="CRO95" s="11"/>
      <c r="CRP95" s="11"/>
      <c r="CRQ95" s="11"/>
      <c r="CRR95" s="11"/>
      <c r="CRS95" s="11"/>
      <c r="CRT95" s="11"/>
      <c r="CRU95" s="11"/>
      <c r="CRV95" s="11"/>
      <c r="CRW95" s="11"/>
      <c r="CRX95" s="11"/>
      <c r="CRY95" s="11"/>
      <c r="CRZ95" s="11"/>
      <c r="CSA95" s="11"/>
      <c r="CSB95" s="11"/>
      <c r="CSC95" s="11"/>
      <c r="CSD95" s="11"/>
      <c r="CSE95" s="11"/>
      <c r="CSF95" s="11"/>
      <c r="CSG95" s="11"/>
      <c r="CSH95" s="11"/>
      <c r="CSI95" s="11"/>
      <c r="CSJ95" s="11"/>
      <c r="CSK95" s="11"/>
      <c r="CSL95" s="11"/>
      <c r="CSM95" s="11"/>
      <c r="CSN95" s="11"/>
      <c r="CSO95" s="11"/>
      <c r="CSP95" s="11"/>
      <c r="CSQ95" s="11"/>
      <c r="CSR95" s="11"/>
      <c r="CSS95" s="11"/>
      <c r="CST95" s="11"/>
      <c r="CSU95" s="11"/>
      <c r="CSV95" s="11"/>
      <c r="CSW95" s="11"/>
      <c r="CSX95" s="11"/>
      <c r="CSY95" s="11"/>
      <c r="CSZ95" s="11"/>
      <c r="CTA95" s="11"/>
      <c r="CTB95" s="11"/>
      <c r="CTC95" s="11"/>
      <c r="CTD95" s="11"/>
      <c r="CTE95" s="11"/>
      <c r="CTF95" s="11"/>
      <c r="CTG95" s="11"/>
      <c r="CTH95" s="11"/>
      <c r="CTI95" s="11"/>
      <c r="CTJ95" s="11"/>
      <c r="CTK95" s="11"/>
      <c r="CTL95" s="11"/>
      <c r="CTM95" s="11"/>
      <c r="CTN95" s="11"/>
      <c r="CTO95" s="11"/>
      <c r="CTP95" s="11"/>
      <c r="CTQ95" s="11"/>
      <c r="CTR95" s="11"/>
      <c r="CTS95" s="11"/>
      <c r="CTT95" s="11"/>
      <c r="CTU95" s="11"/>
      <c r="CTV95" s="11"/>
      <c r="CTW95" s="11"/>
      <c r="CTX95" s="11"/>
      <c r="CTY95" s="11"/>
      <c r="CTZ95" s="11"/>
      <c r="CUA95" s="11"/>
      <c r="CUB95" s="11"/>
      <c r="CUC95" s="11"/>
      <c r="CUD95" s="11"/>
      <c r="CUE95" s="11"/>
      <c r="CUF95" s="11"/>
      <c r="CUG95" s="11"/>
      <c r="CUH95" s="11"/>
      <c r="CUI95" s="11"/>
      <c r="CUJ95" s="11"/>
      <c r="CUK95" s="11"/>
      <c r="CUL95" s="11"/>
      <c r="CUM95" s="11"/>
      <c r="CUN95" s="11"/>
      <c r="CUO95" s="11"/>
      <c r="CUP95" s="11"/>
      <c r="CUQ95" s="11"/>
      <c r="CUR95" s="11"/>
      <c r="CUS95" s="11"/>
      <c r="CUT95" s="11"/>
      <c r="CUU95" s="11"/>
      <c r="CUV95" s="11"/>
      <c r="CUW95" s="11"/>
      <c r="CUX95" s="11"/>
      <c r="CUY95" s="11"/>
      <c r="CUZ95" s="11"/>
      <c r="CVA95" s="11"/>
      <c r="CVB95" s="11"/>
      <c r="CVC95" s="11"/>
      <c r="CVD95" s="11"/>
      <c r="CVE95" s="11"/>
      <c r="CVF95" s="11"/>
      <c r="CVG95" s="11"/>
      <c r="CVH95" s="11"/>
      <c r="CVI95" s="11"/>
      <c r="CVJ95" s="11"/>
      <c r="CVK95" s="11"/>
      <c r="CVL95" s="11"/>
      <c r="CVM95" s="11"/>
      <c r="CVN95" s="11"/>
      <c r="CVO95" s="11"/>
      <c r="CVP95" s="11"/>
      <c r="CVQ95" s="11"/>
      <c r="CVR95" s="11"/>
      <c r="CVS95" s="11"/>
      <c r="CVT95" s="11"/>
      <c r="CVU95" s="11"/>
      <c r="CVV95" s="11"/>
      <c r="CVW95" s="11"/>
      <c r="CVX95" s="11"/>
      <c r="CVY95" s="11"/>
      <c r="CVZ95" s="11"/>
      <c r="CWA95" s="11"/>
      <c r="CWB95" s="11"/>
      <c r="CWC95" s="11"/>
      <c r="CWD95" s="11"/>
      <c r="CWE95" s="11"/>
      <c r="CWF95" s="11"/>
      <c r="CWG95" s="11"/>
      <c r="CWH95" s="11"/>
      <c r="CWI95" s="11"/>
      <c r="CWJ95" s="11"/>
      <c r="CWK95" s="11"/>
      <c r="CWL95" s="11"/>
      <c r="CWM95" s="11"/>
      <c r="CWN95" s="11"/>
      <c r="CWO95" s="11"/>
      <c r="CWP95" s="11"/>
      <c r="CWQ95" s="11"/>
      <c r="CWR95" s="11"/>
      <c r="CWS95" s="11"/>
      <c r="CWT95" s="11"/>
      <c r="CWU95" s="11"/>
      <c r="CWV95" s="11"/>
      <c r="CWW95" s="11"/>
      <c r="CWX95" s="11"/>
      <c r="CWY95" s="11"/>
      <c r="CWZ95" s="11"/>
      <c r="CXA95" s="11"/>
      <c r="CXB95" s="11"/>
      <c r="CXC95" s="11"/>
      <c r="CXD95" s="11"/>
      <c r="CXE95" s="11"/>
      <c r="CXF95" s="11"/>
      <c r="CXG95" s="11"/>
      <c r="CXH95" s="11"/>
      <c r="CXI95" s="11"/>
      <c r="CXJ95" s="11"/>
      <c r="CXK95" s="11"/>
      <c r="CXL95" s="11"/>
      <c r="CXM95" s="11"/>
      <c r="CXN95" s="11"/>
      <c r="CXO95" s="11"/>
      <c r="CXP95" s="11"/>
      <c r="CXQ95" s="11"/>
      <c r="CXR95" s="11"/>
      <c r="CXS95" s="11"/>
      <c r="CXT95" s="11"/>
      <c r="CXU95" s="11"/>
      <c r="CXV95" s="11"/>
      <c r="CXW95" s="11"/>
      <c r="CXX95" s="11"/>
      <c r="CXY95" s="11"/>
      <c r="CXZ95" s="11"/>
      <c r="CYA95" s="11"/>
      <c r="CYB95" s="11"/>
      <c r="CYC95" s="11"/>
      <c r="CYD95" s="11"/>
      <c r="CYE95" s="11"/>
      <c r="CYF95" s="11"/>
      <c r="CYG95" s="11"/>
      <c r="CYH95" s="11"/>
      <c r="CYI95" s="11"/>
      <c r="CYJ95" s="11"/>
      <c r="CYK95" s="11"/>
      <c r="CYL95" s="11"/>
      <c r="CYM95" s="11"/>
      <c r="CYN95" s="11"/>
      <c r="CYO95" s="11"/>
      <c r="CYP95" s="11"/>
      <c r="CYQ95" s="11"/>
      <c r="CYR95" s="11"/>
      <c r="CYS95" s="11"/>
      <c r="CYT95" s="11"/>
      <c r="CYU95" s="11"/>
      <c r="CYV95" s="11"/>
      <c r="CYW95" s="11"/>
      <c r="CYX95" s="11"/>
      <c r="CYY95" s="11"/>
      <c r="CYZ95" s="11"/>
      <c r="CZA95" s="11"/>
      <c r="CZB95" s="11"/>
      <c r="CZC95" s="11"/>
      <c r="CZD95" s="11"/>
      <c r="CZE95" s="11"/>
      <c r="CZF95" s="11"/>
      <c r="CZG95" s="11"/>
      <c r="CZH95" s="11"/>
      <c r="CZI95" s="11"/>
      <c r="CZJ95" s="11"/>
      <c r="CZK95" s="11"/>
      <c r="CZL95" s="11"/>
      <c r="CZM95" s="11"/>
      <c r="CZN95" s="11"/>
      <c r="CZO95" s="11"/>
      <c r="CZP95" s="11"/>
      <c r="CZQ95" s="11"/>
      <c r="CZR95" s="11"/>
      <c r="CZS95" s="11"/>
      <c r="CZT95" s="11"/>
      <c r="CZU95" s="11"/>
      <c r="CZV95" s="11"/>
      <c r="CZW95" s="11"/>
      <c r="CZX95" s="11"/>
      <c r="CZY95" s="11"/>
      <c r="CZZ95" s="11"/>
      <c r="DAA95" s="11"/>
      <c r="DAB95" s="11"/>
      <c r="DAC95" s="11"/>
      <c r="DAD95" s="11"/>
      <c r="DAE95" s="11"/>
      <c r="DAF95" s="11"/>
      <c r="DAG95" s="11"/>
      <c r="DAH95" s="11"/>
      <c r="DAI95" s="11"/>
      <c r="DAJ95" s="11"/>
      <c r="DAK95" s="11"/>
      <c r="DAL95" s="11"/>
      <c r="DAM95" s="11"/>
      <c r="DAN95" s="11"/>
      <c r="DAO95" s="11"/>
      <c r="DAP95" s="11"/>
      <c r="DAQ95" s="11"/>
      <c r="DAR95" s="11"/>
      <c r="DAS95" s="11"/>
      <c r="DAT95" s="11"/>
      <c r="DAU95" s="11"/>
      <c r="DAV95" s="11"/>
      <c r="DAW95" s="11"/>
      <c r="DAX95" s="11"/>
      <c r="DAY95" s="11"/>
      <c r="DAZ95" s="11"/>
      <c r="DBA95" s="11"/>
      <c r="DBB95" s="11"/>
      <c r="DBC95" s="11"/>
      <c r="DBD95" s="11"/>
      <c r="DBE95" s="11"/>
      <c r="DBF95" s="11"/>
      <c r="DBG95" s="11"/>
      <c r="DBH95" s="11"/>
      <c r="DBI95" s="11"/>
      <c r="DBJ95" s="11"/>
      <c r="DBK95" s="11"/>
      <c r="DBL95" s="11"/>
      <c r="DBM95" s="11"/>
      <c r="DBN95" s="11"/>
      <c r="DBO95" s="11"/>
      <c r="DBP95" s="11"/>
      <c r="DBQ95" s="11"/>
      <c r="DBR95" s="11"/>
      <c r="DBS95" s="11"/>
      <c r="DBT95" s="11"/>
      <c r="DBU95" s="11"/>
      <c r="DBV95" s="11"/>
      <c r="DBW95" s="11"/>
      <c r="DBX95" s="11"/>
      <c r="DBY95" s="11"/>
      <c r="DBZ95" s="11"/>
      <c r="DCA95" s="11"/>
      <c r="DCB95" s="11"/>
      <c r="DCC95" s="11"/>
      <c r="DCD95" s="11"/>
      <c r="DCE95" s="11"/>
      <c r="DCF95" s="11"/>
      <c r="DCG95" s="11"/>
      <c r="DCH95" s="11"/>
      <c r="DCI95" s="11"/>
      <c r="DCJ95" s="11"/>
      <c r="DCK95" s="11"/>
      <c r="DCL95" s="11"/>
      <c r="DCM95" s="11"/>
      <c r="DCN95" s="11"/>
      <c r="DCO95" s="11"/>
      <c r="DCP95" s="11"/>
      <c r="DCQ95" s="11"/>
      <c r="DCR95" s="11"/>
      <c r="DCS95" s="11"/>
      <c r="DCT95" s="11"/>
      <c r="DCU95" s="11"/>
      <c r="DCV95" s="11"/>
      <c r="DCW95" s="11"/>
      <c r="DCX95" s="11"/>
      <c r="DCY95" s="11"/>
      <c r="DCZ95" s="11"/>
      <c r="DDA95" s="11"/>
      <c r="DDB95" s="11"/>
      <c r="DDC95" s="11"/>
      <c r="DDD95" s="11"/>
      <c r="DDE95" s="11"/>
      <c r="DDF95" s="11"/>
      <c r="DDG95" s="11"/>
      <c r="DDH95" s="11"/>
      <c r="DDI95" s="11"/>
      <c r="DDJ95" s="11"/>
      <c r="DDK95" s="11"/>
      <c r="DDL95" s="11"/>
      <c r="DDM95" s="11"/>
      <c r="DDN95" s="11"/>
      <c r="DDO95" s="11"/>
      <c r="DDP95" s="11"/>
      <c r="DDQ95" s="11"/>
      <c r="DDR95" s="11"/>
      <c r="DDS95" s="11"/>
      <c r="DDT95" s="11"/>
      <c r="DDU95" s="11"/>
      <c r="DDV95" s="11"/>
      <c r="DDW95" s="11"/>
      <c r="DDX95" s="11"/>
      <c r="DDY95" s="11"/>
      <c r="DDZ95" s="11"/>
      <c r="DEA95" s="11"/>
      <c r="DEB95" s="11"/>
      <c r="DEC95" s="11"/>
      <c r="DED95" s="11"/>
      <c r="DEE95" s="11"/>
      <c r="DEF95" s="11"/>
      <c r="DEG95" s="11"/>
      <c r="DEH95" s="11"/>
      <c r="DEI95" s="11"/>
      <c r="DEJ95" s="11"/>
      <c r="DEK95" s="11"/>
      <c r="DEL95" s="11"/>
      <c r="DEM95" s="11"/>
      <c r="DEN95" s="11"/>
      <c r="DEO95" s="11"/>
      <c r="DEP95" s="11"/>
      <c r="DEQ95" s="11"/>
      <c r="DER95" s="11"/>
      <c r="DES95" s="11"/>
      <c r="DET95" s="11"/>
      <c r="DEU95" s="11"/>
      <c r="DEV95" s="11"/>
      <c r="DEW95" s="11"/>
      <c r="DEX95" s="11"/>
      <c r="DEY95" s="11"/>
      <c r="DEZ95" s="11"/>
      <c r="DFA95" s="11"/>
      <c r="DFB95" s="11"/>
      <c r="DFC95" s="11"/>
      <c r="DFD95" s="11"/>
      <c r="DFE95" s="11"/>
      <c r="DFF95" s="11"/>
      <c r="DFG95" s="11"/>
      <c r="DFH95" s="11"/>
      <c r="DFI95" s="11"/>
      <c r="DFJ95" s="11"/>
      <c r="DFK95" s="11"/>
      <c r="DFL95" s="11"/>
      <c r="DFM95" s="11"/>
      <c r="DFN95" s="11"/>
      <c r="DFO95" s="11"/>
      <c r="DFP95" s="11"/>
      <c r="DFQ95" s="11"/>
      <c r="DFR95" s="11"/>
      <c r="DFS95" s="11"/>
      <c r="DFT95" s="11"/>
      <c r="DFU95" s="11"/>
      <c r="DFV95" s="11"/>
      <c r="DFW95" s="11"/>
      <c r="DFX95" s="11"/>
      <c r="DFY95" s="11"/>
      <c r="DFZ95" s="11"/>
      <c r="DGA95" s="11"/>
      <c r="DGB95" s="11"/>
      <c r="DGC95" s="11"/>
      <c r="DGD95" s="11"/>
      <c r="DGE95" s="11"/>
      <c r="DGF95" s="11"/>
      <c r="DGG95" s="11"/>
      <c r="DGH95" s="11"/>
      <c r="DGI95" s="11"/>
      <c r="DGJ95" s="11"/>
      <c r="DGK95" s="11"/>
      <c r="DGL95" s="11"/>
      <c r="DGM95" s="11"/>
      <c r="DGN95" s="11"/>
      <c r="DGO95" s="11"/>
      <c r="DGP95" s="11"/>
      <c r="DGQ95" s="11"/>
      <c r="DGR95" s="11"/>
      <c r="DGS95" s="11"/>
      <c r="DGT95" s="11"/>
      <c r="DGU95" s="11"/>
      <c r="DGV95" s="11"/>
      <c r="DGW95" s="11"/>
      <c r="DGX95" s="11"/>
      <c r="DGY95" s="11"/>
      <c r="DGZ95" s="11"/>
      <c r="DHA95" s="11"/>
      <c r="DHB95" s="11"/>
      <c r="DHC95" s="11"/>
      <c r="DHD95" s="11"/>
      <c r="DHE95" s="11"/>
      <c r="DHF95" s="11"/>
      <c r="DHG95" s="11"/>
      <c r="DHH95" s="11"/>
      <c r="DHI95" s="11"/>
      <c r="DHJ95" s="11"/>
      <c r="DHK95" s="11"/>
      <c r="DHL95" s="11"/>
      <c r="DHM95" s="11"/>
      <c r="DHN95" s="11"/>
      <c r="DHO95" s="11"/>
      <c r="DHP95" s="11"/>
      <c r="DHQ95" s="11"/>
      <c r="DHR95" s="11"/>
      <c r="DHS95" s="11"/>
      <c r="DHT95" s="11"/>
      <c r="DHU95" s="11"/>
      <c r="DHV95" s="11"/>
      <c r="DHW95" s="11"/>
      <c r="DHX95" s="11"/>
      <c r="DHY95" s="11"/>
      <c r="DHZ95" s="11"/>
      <c r="DIA95" s="11"/>
      <c r="DIB95" s="11"/>
      <c r="DIC95" s="11"/>
      <c r="DID95" s="11"/>
      <c r="DIE95" s="11"/>
      <c r="DIF95" s="11"/>
      <c r="DIG95" s="11"/>
      <c r="DIH95" s="11"/>
      <c r="DII95" s="11"/>
      <c r="DIJ95" s="11"/>
      <c r="DIK95" s="11"/>
      <c r="DIL95" s="11"/>
      <c r="DIM95" s="11"/>
      <c r="DIN95" s="11"/>
      <c r="DIO95" s="11"/>
      <c r="DIP95" s="11"/>
      <c r="DIQ95" s="11"/>
      <c r="DIR95" s="11"/>
      <c r="DIS95" s="11"/>
      <c r="DIT95" s="11"/>
      <c r="DIU95" s="11"/>
      <c r="DIV95" s="11"/>
      <c r="DIW95" s="11"/>
      <c r="DIX95" s="11"/>
      <c r="DIY95" s="11"/>
      <c r="DIZ95" s="11"/>
      <c r="DJA95" s="11"/>
      <c r="DJB95" s="11"/>
      <c r="DJC95" s="11"/>
      <c r="DJD95" s="11"/>
      <c r="DJE95" s="11"/>
      <c r="DJF95" s="11"/>
      <c r="DJG95" s="11"/>
      <c r="DJH95" s="11"/>
      <c r="DJI95" s="11"/>
      <c r="DJJ95" s="11"/>
      <c r="DJK95" s="11"/>
      <c r="DJL95" s="11"/>
      <c r="DJM95" s="11"/>
      <c r="DJN95" s="11"/>
      <c r="DJO95" s="11"/>
      <c r="DJP95" s="11"/>
      <c r="DJQ95" s="11"/>
      <c r="DJR95" s="11"/>
      <c r="DJS95" s="11"/>
      <c r="DJT95" s="11"/>
      <c r="DJU95" s="11"/>
      <c r="DJV95" s="11"/>
      <c r="DJW95" s="11"/>
      <c r="DJX95" s="11"/>
      <c r="DJY95" s="11"/>
      <c r="DJZ95" s="11"/>
      <c r="DKA95" s="11"/>
      <c r="DKB95" s="11"/>
      <c r="DKC95" s="11"/>
      <c r="DKD95" s="11"/>
      <c r="DKE95" s="11"/>
      <c r="DKF95" s="11"/>
      <c r="DKG95" s="11"/>
      <c r="DKH95" s="11"/>
      <c r="DKI95" s="11"/>
      <c r="DKJ95" s="11"/>
      <c r="DKK95" s="11"/>
      <c r="DKL95" s="11"/>
      <c r="DKM95" s="11"/>
      <c r="DKN95" s="11"/>
      <c r="DKO95" s="11"/>
      <c r="DKP95" s="11"/>
      <c r="DKQ95" s="11"/>
      <c r="DKR95" s="11"/>
      <c r="DKS95" s="11"/>
      <c r="DKT95" s="11"/>
      <c r="DKU95" s="11"/>
      <c r="DKV95" s="11"/>
      <c r="DKW95" s="11"/>
      <c r="DKX95" s="11"/>
      <c r="DKY95" s="11"/>
      <c r="DKZ95" s="11"/>
      <c r="DLA95" s="11"/>
      <c r="DLB95" s="11"/>
      <c r="DLC95" s="11"/>
      <c r="DLD95" s="11"/>
      <c r="DLE95" s="11"/>
      <c r="DLF95" s="11"/>
      <c r="DLG95" s="11"/>
      <c r="DLH95" s="11"/>
      <c r="DLI95" s="11"/>
      <c r="DLJ95" s="11"/>
      <c r="DLK95" s="11"/>
      <c r="DLL95" s="11"/>
      <c r="DLM95" s="11"/>
      <c r="DLN95" s="11"/>
      <c r="DLO95" s="11"/>
      <c r="DLP95" s="11"/>
      <c r="DLQ95" s="11"/>
      <c r="DLR95" s="11"/>
      <c r="DLS95" s="11"/>
      <c r="DLT95" s="11"/>
      <c r="DLU95" s="11"/>
      <c r="DLV95" s="11"/>
      <c r="DLW95" s="11"/>
      <c r="DLX95" s="11"/>
      <c r="DLY95" s="11"/>
      <c r="DLZ95" s="11"/>
      <c r="DMA95" s="11"/>
      <c r="DMB95" s="11"/>
      <c r="DMC95" s="11"/>
      <c r="DMD95" s="11"/>
      <c r="DME95" s="11"/>
      <c r="DMF95" s="11"/>
      <c r="DMG95" s="11"/>
      <c r="DMH95" s="11"/>
      <c r="DMI95" s="11"/>
      <c r="DMJ95" s="11"/>
      <c r="DMK95" s="11"/>
      <c r="DML95" s="11"/>
      <c r="DMM95" s="11"/>
      <c r="DMN95" s="11"/>
      <c r="DMO95" s="11"/>
      <c r="DMP95" s="11"/>
      <c r="DMQ95" s="11"/>
      <c r="DMR95" s="11"/>
      <c r="DMS95" s="11"/>
      <c r="DMT95" s="11"/>
      <c r="DMU95" s="11"/>
      <c r="DMV95" s="11"/>
      <c r="DMW95" s="11"/>
      <c r="DMX95" s="11"/>
      <c r="DMY95" s="11"/>
      <c r="DMZ95" s="11"/>
      <c r="DNA95" s="11"/>
      <c r="DNB95" s="11"/>
      <c r="DNC95" s="11"/>
      <c r="DND95" s="11"/>
      <c r="DNE95" s="11"/>
      <c r="DNF95" s="11"/>
      <c r="DNG95" s="11"/>
      <c r="DNH95" s="11"/>
      <c r="DNI95" s="11"/>
      <c r="DNJ95" s="11"/>
      <c r="DNK95" s="11"/>
      <c r="DNL95" s="11"/>
      <c r="DNM95" s="11"/>
      <c r="DNN95" s="11"/>
      <c r="DNO95" s="11"/>
      <c r="DNP95" s="11"/>
      <c r="DNQ95" s="11"/>
      <c r="DNR95" s="11"/>
      <c r="DNS95" s="11"/>
      <c r="DNT95" s="11"/>
      <c r="DNU95" s="11"/>
      <c r="DNV95" s="11"/>
      <c r="DNW95" s="11"/>
      <c r="DNX95" s="11"/>
      <c r="DNY95" s="11"/>
      <c r="DNZ95" s="11"/>
      <c r="DOA95" s="11"/>
      <c r="DOB95" s="11"/>
      <c r="DOC95" s="11"/>
      <c r="DOD95" s="11"/>
      <c r="DOE95" s="11"/>
      <c r="DOF95" s="11"/>
      <c r="DOG95" s="11"/>
      <c r="DOH95" s="11"/>
      <c r="DOI95" s="11"/>
      <c r="DOJ95" s="11"/>
      <c r="DOK95" s="11"/>
      <c r="DOL95" s="11"/>
      <c r="DOM95" s="11"/>
      <c r="DON95" s="11"/>
      <c r="DOO95" s="11"/>
      <c r="DOP95" s="11"/>
      <c r="DOQ95" s="11"/>
      <c r="DOR95" s="11"/>
      <c r="DOS95" s="11"/>
      <c r="DOT95" s="11"/>
      <c r="DOU95" s="11"/>
      <c r="DOV95" s="11"/>
      <c r="DOW95" s="11"/>
      <c r="DOX95" s="11"/>
      <c r="DOY95" s="11"/>
      <c r="DOZ95" s="11"/>
      <c r="DPA95" s="11"/>
      <c r="DPB95" s="11"/>
      <c r="DPC95" s="11"/>
      <c r="DPD95" s="11"/>
      <c r="DPE95" s="11"/>
      <c r="DPF95" s="11"/>
      <c r="DPG95" s="11"/>
      <c r="DPH95" s="11"/>
      <c r="DPI95" s="11"/>
      <c r="DPJ95" s="11"/>
      <c r="DPK95" s="11"/>
      <c r="DPL95" s="11"/>
      <c r="DPM95" s="11"/>
      <c r="DPN95" s="11"/>
      <c r="DPO95" s="11"/>
      <c r="DPP95" s="11"/>
      <c r="DPQ95" s="11"/>
      <c r="DPR95" s="11"/>
      <c r="DPS95" s="11"/>
      <c r="DPT95" s="11"/>
      <c r="DPU95" s="11"/>
      <c r="DPV95" s="11"/>
      <c r="DPW95" s="11"/>
      <c r="DPX95" s="11"/>
      <c r="DPY95" s="11"/>
      <c r="DPZ95" s="11"/>
      <c r="DQA95" s="11"/>
      <c r="DQB95" s="11"/>
      <c r="DQC95" s="11"/>
      <c r="DQD95" s="11"/>
      <c r="DQE95" s="11"/>
      <c r="DQF95" s="11"/>
      <c r="DQG95" s="11"/>
      <c r="DQH95" s="11"/>
      <c r="DQI95" s="11"/>
      <c r="DQJ95" s="11"/>
      <c r="DQK95" s="11"/>
      <c r="DQL95" s="11"/>
      <c r="DQM95" s="11"/>
      <c r="DQN95" s="11"/>
      <c r="DQO95" s="11"/>
      <c r="DQP95" s="11"/>
      <c r="DQQ95" s="11"/>
      <c r="DQR95" s="11"/>
      <c r="DQS95" s="11"/>
      <c r="DQT95" s="11"/>
      <c r="DQU95" s="11"/>
      <c r="DQV95" s="11"/>
      <c r="DQW95" s="11"/>
      <c r="DQX95" s="11"/>
      <c r="DQY95" s="11"/>
      <c r="DQZ95" s="11"/>
      <c r="DRA95" s="11"/>
      <c r="DRB95" s="11"/>
      <c r="DRC95" s="11"/>
      <c r="DRD95" s="11"/>
      <c r="DRE95" s="11"/>
      <c r="DRF95" s="11"/>
      <c r="DRG95" s="11"/>
      <c r="DRH95" s="11"/>
      <c r="DRI95" s="11"/>
      <c r="DRJ95" s="11"/>
      <c r="DRK95" s="11"/>
      <c r="DRL95" s="11"/>
      <c r="DRM95" s="11"/>
      <c r="DRN95" s="11"/>
      <c r="DRO95" s="11"/>
      <c r="DRP95" s="11"/>
      <c r="DRQ95" s="11"/>
      <c r="DRR95" s="11"/>
      <c r="DRS95" s="11"/>
      <c r="DRT95" s="11"/>
      <c r="DRU95" s="11"/>
      <c r="DRV95" s="11"/>
      <c r="DRW95" s="11"/>
      <c r="DRX95" s="11"/>
      <c r="DRY95" s="11"/>
      <c r="DRZ95" s="11"/>
      <c r="DSA95" s="11"/>
      <c r="DSB95" s="11"/>
      <c r="DSC95" s="11"/>
      <c r="DSD95" s="11"/>
      <c r="DSE95" s="11"/>
      <c r="DSF95" s="11"/>
      <c r="DSG95" s="11"/>
      <c r="DSH95" s="11"/>
      <c r="DSI95" s="11"/>
      <c r="DSJ95" s="11"/>
      <c r="DSK95" s="11"/>
      <c r="DSL95" s="11"/>
      <c r="DSM95" s="11"/>
      <c r="DSN95" s="11"/>
      <c r="DSO95" s="11"/>
      <c r="DSP95" s="11"/>
      <c r="DSQ95" s="11"/>
      <c r="DSR95" s="11"/>
      <c r="DSS95" s="11"/>
      <c r="DST95" s="11"/>
      <c r="DSU95" s="11"/>
      <c r="DSV95" s="11"/>
      <c r="DSW95" s="11"/>
      <c r="DSX95" s="11"/>
      <c r="DSY95" s="11"/>
      <c r="DSZ95" s="11"/>
      <c r="DTA95" s="11"/>
      <c r="DTB95" s="11"/>
      <c r="DTC95" s="11"/>
      <c r="DTD95" s="11"/>
      <c r="DTE95" s="11"/>
      <c r="DTF95" s="11"/>
      <c r="DTG95" s="11"/>
      <c r="DTH95" s="11"/>
      <c r="DTI95" s="11"/>
      <c r="DTJ95" s="11"/>
      <c r="DTK95" s="11"/>
      <c r="DTL95" s="11"/>
      <c r="DTM95" s="11"/>
      <c r="DTN95" s="11"/>
      <c r="DTO95" s="11"/>
      <c r="DTP95" s="11"/>
      <c r="DTQ95" s="11"/>
      <c r="DTR95" s="11"/>
      <c r="DTS95" s="11"/>
      <c r="DTT95" s="11"/>
      <c r="DTU95" s="11"/>
      <c r="DTV95" s="11"/>
      <c r="DTW95" s="11"/>
      <c r="DTX95" s="11"/>
      <c r="DTY95" s="11"/>
      <c r="DTZ95" s="11"/>
      <c r="DUA95" s="11"/>
      <c r="DUB95" s="11"/>
      <c r="DUC95" s="11"/>
      <c r="DUD95" s="11"/>
      <c r="DUE95" s="11"/>
      <c r="DUF95" s="11"/>
      <c r="DUG95" s="11"/>
      <c r="DUH95" s="11"/>
      <c r="DUI95" s="11"/>
      <c r="DUJ95" s="11"/>
      <c r="DUK95" s="11"/>
      <c r="DUL95" s="11"/>
      <c r="DUM95" s="11"/>
      <c r="DUN95" s="11"/>
      <c r="DUO95" s="11"/>
      <c r="DUP95" s="11"/>
      <c r="DUQ95" s="11"/>
      <c r="DUR95" s="11"/>
      <c r="DUS95" s="11"/>
      <c r="DUT95" s="11"/>
      <c r="DUU95" s="11"/>
      <c r="DUV95" s="11"/>
      <c r="DUW95" s="11"/>
      <c r="DUX95" s="11"/>
      <c r="DUY95" s="11"/>
      <c r="DUZ95" s="11"/>
      <c r="DVA95" s="11"/>
      <c r="DVB95" s="11"/>
      <c r="DVC95" s="11"/>
      <c r="DVD95" s="11"/>
      <c r="DVE95" s="11"/>
      <c r="DVF95" s="11"/>
      <c r="DVG95" s="11"/>
      <c r="DVH95" s="11"/>
      <c r="DVI95" s="11"/>
      <c r="DVJ95" s="11"/>
      <c r="DVK95" s="11"/>
      <c r="DVL95" s="11"/>
      <c r="DVM95" s="11"/>
      <c r="DVN95" s="11"/>
      <c r="DVO95" s="11"/>
      <c r="DVP95" s="11"/>
      <c r="DVQ95" s="11"/>
      <c r="DVR95" s="11"/>
      <c r="DVS95" s="11"/>
      <c r="DVT95" s="11"/>
      <c r="DVU95" s="11"/>
      <c r="DVV95" s="11"/>
      <c r="DVW95" s="11"/>
      <c r="DVX95" s="11"/>
      <c r="DVY95" s="11"/>
      <c r="DVZ95" s="11"/>
      <c r="DWA95" s="11"/>
      <c r="DWB95" s="11"/>
      <c r="DWC95" s="11"/>
      <c r="DWD95" s="11"/>
      <c r="DWE95" s="11"/>
      <c r="DWF95" s="11"/>
      <c r="DWG95" s="11"/>
      <c r="DWH95" s="11"/>
      <c r="DWI95" s="11"/>
      <c r="DWJ95" s="11"/>
      <c r="DWK95" s="11"/>
      <c r="DWL95" s="11"/>
      <c r="DWM95" s="11"/>
      <c r="DWN95" s="11"/>
      <c r="DWO95" s="11"/>
      <c r="DWP95" s="11"/>
      <c r="DWQ95" s="11"/>
      <c r="DWR95" s="11"/>
      <c r="DWS95" s="11"/>
      <c r="DWT95" s="11"/>
      <c r="DWU95" s="11"/>
      <c r="DWV95" s="11"/>
      <c r="DWW95" s="11"/>
      <c r="DWX95" s="11"/>
      <c r="DWY95" s="11"/>
      <c r="DWZ95" s="11"/>
      <c r="DXA95" s="11"/>
      <c r="DXB95" s="11"/>
      <c r="DXC95" s="11"/>
      <c r="DXD95" s="11"/>
      <c r="DXE95" s="11"/>
      <c r="DXF95" s="11"/>
      <c r="DXG95" s="11"/>
      <c r="DXH95" s="11"/>
      <c r="DXI95" s="11"/>
      <c r="DXJ95" s="11"/>
      <c r="DXK95" s="11"/>
      <c r="DXL95" s="11"/>
      <c r="DXM95" s="11"/>
      <c r="DXN95" s="11"/>
      <c r="DXO95" s="11"/>
      <c r="DXP95" s="11"/>
      <c r="DXQ95" s="11"/>
      <c r="DXR95" s="11"/>
      <c r="DXS95" s="11"/>
      <c r="DXT95" s="11"/>
      <c r="DXU95" s="11"/>
      <c r="DXV95" s="11"/>
      <c r="DXW95" s="11"/>
      <c r="DXX95" s="11"/>
      <c r="DXY95" s="11"/>
      <c r="DXZ95" s="11"/>
      <c r="DYA95" s="11"/>
      <c r="DYB95" s="11"/>
      <c r="DYC95" s="11"/>
      <c r="DYD95" s="11"/>
      <c r="DYE95" s="11"/>
      <c r="DYF95" s="11"/>
      <c r="DYG95" s="11"/>
      <c r="DYH95" s="11"/>
      <c r="DYI95" s="11"/>
      <c r="DYJ95" s="11"/>
      <c r="DYK95" s="11"/>
      <c r="DYL95" s="11"/>
      <c r="DYM95" s="11"/>
      <c r="DYN95" s="11"/>
      <c r="DYO95" s="11"/>
      <c r="DYP95" s="11"/>
      <c r="DYQ95" s="11"/>
      <c r="DYR95" s="11"/>
      <c r="DYS95" s="11"/>
      <c r="DYT95" s="11"/>
      <c r="DYU95" s="11"/>
      <c r="DYV95" s="11"/>
      <c r="DYW95" s="11"/>
      <c r="DYX95" s="11"/>
      <c r="DYY95" s="11"/>
      <c r="DYZ95" s="11"/>
      <c r="DZA95" s="11"/>
      <c r="DZB95" s="11"/>
      <c r="DZC95" s="11"/>
      <c r="DZD95" s="11"/>
      <c r="DZE95" s="11"/>
      <c r="DZF95" s="11"/>
      <c r="DZG95" s="11"/>
      <c r="DZH95" s="11"/>
      <c r="DZI95" s="11"/>
      <c r="DZJ95" s="11"/>
      <c r="DZK95" s="11"/>
      <c r="DZL95" s="11"/>
      <c r="DZM95" s="11"/>
      <c r="DZN95" s="11"/>
      <c r="DZO95" s="11"/>
      <c r="DZP95" s="11"/>
      <c r="DZQ95" s="11"/>
      <c r="DZR95" s="11"/>
      <c r="DZS95" s="11"/>
      <c r="DZT95" s="11"/>
      <c r="DZU95" s="11"/>
      <c r="DZV95" s="11"/>
      <c r="DZW95" s="11"/>
      <c r="DZX95" s="11"/>
      <c r="DZY95" s="11"/>
      <c r="DZZ95" s="11"/>
      <c r="EAA95" s="11"/>
      <c r="EAB95" s="11"/>
      <c r="EAC95" s="11"/>
      <c r="EAD95" s="11"/>
      <c r="EAE95" s="11"/>
      <c r="EAF95" s="11"/>
      <c r="EAG95" s="11"/>
      <c r="EAH95" s="11"/>
      <c r="EAI95" s="11"/>
      <c r="EAJ95" s="11"/>
      <c r="EAK95" s="11"/>
      <c r="EAL95" s="11"/>
      <c r="EAM95" s="11"/>
      <c r="EAN95" s="11"/>
      <c r="EAO95" s="11"/>
      <c r="EAP95" s="11"/>
      <c r="EAQ95" s="11"/>
      <c r="EAR95" s="11"/>
      <c r="EAS95" s="11"/>
      <c r="EAT95" s="11"/>
      <c r="EAU95" s="11"/>
      <c r="EAV95" s="11"/>
      <c r="EAW95" s="11"/>
      <c r="EAX95" s="11"/>
      <c r="EAY95" s="11"/>
      <c r="EAZ95" s="11"/>
      <c r="EBA95" s="11"/>
      <c r="EBB95" s="11"/>
      <c r="EBC95" s="11"/>
      <c r="EBD95" s="11"/>
      <c r="EBE95" s="11"/>
      <c r="EBF95" s="11"/>
      <c r="EBG95" s="11"/>
      <c r="EBH95" s="11"/>
      <c r="EBI95" s="11"/>
      <c r="EBJ95" s="11"/>
      <c r="EBK95" s="11"/>
      <c r="EBL95" s="11"/>
      <c r="EBM95" s="11"/>
      <c r="EBN95" s="11"/>
      <c r="EBO95" s="11"/>
      <c r="EBP95" s="11"/>
      <c r="EBQ95" s="11"/>
      <c r="EBR95" s="11"/>
      <c r="EBS95" s="11"/>
      <c r="EBT95" s="11"/>
      <c r="EBU95" s="11"/>
      <c r="EBV95" s="11"/>
      <c r="EBW95" s="11"/>
      <c r="EBX95" s="11"/>
      <c r="EBY95" s="11"/>
      <c r="EBZ95" s="11"/>
      <c r="ECA95" s="11"/>
      <c r="ECB95" s="11"/>
      <c r="ECC95" s="11"/>
      <c r="ECD95" s="11"/>
      <c r="ECE95" s="11"/>
      <c r="ECF95" s="11"/>
      <c r="ECG95" s="11"/>
      <c r="ECH95" s="11"/>
      <c r="ECI95" s="11"/>
      <c r="ECJ95" s="11"/>
      <c r="ECK95" s="11"/>
      <c r="ECL95" s="11"/>
      <c r="ECM95" s="11"/>
      <c r="ECN95" s="11"/>
      <c r="ECO95" s="11"/>
      <c r="ECP95" s="11"/>
      <c r="ECQ95" s="11"/>
      <c r="ECR95" s="11"/>
      <c r="ECS95" s="11"/>
      <c r="ECT95" s="11"/>
      <c r="ECU95" s="11"/>
      <c r="ECV95" s="11"/>
      <c r="ECW95" s="11"/>
      <c r="ECX95" s="11"/>
      <c r="ECY95" s="11"/>
      <c r="ECZ95" s="11"/>
      <c r="EDA95" s="11"/>
      <c r="EDB95" s="11"/>
      <c r="EDC95" s="11"/>
      <c r="EDD95" s="11"/>
      <c r="EDE95" s="11"/>
      <c r="EDF95" s="11"/>
      <c r="EDG95" s="11"/>
      <c r="EDH95" s="11"/>
      <c r="EDI95" s="11"/>
      <c r="EDJ95" s="11"/>
      <c r="EDK95" s="11"/>
      <c r="EDL95" s="11"/>
      <c r="EDM95" s="11"/>
      <c r="EDN95" s="11"/>
      <c r="EDO95" s="11"/>
      <c r="EDP95" s="11"/>
      <c r="EDQ95" s="11"/>
      <c r="EDR95" s="11"/>
      <c r="EDS95" s="11"/>
      <c r="EDT95" s="11"/>
      <c r="EDU95" s="11"/>
      <c r="EDV95" s="11"/>
      <c r="EDW95" s="11"/>
      <c r="EDX95" s="11"/>
      <c r="EDY95" s="11"/>
      <c r="EDZ95" s="11"/>
      <c r="EEA95" s="11"/>
      <c r="EEB95" s="11"/>
      <c r="EEC95" s="11"/>
      <c r="EED95" s="11"/>
      <c r="EEE95" s="11"/>
      <c r="EEF95" s="11"/>
      <c r="EEG95" s="11"/>
      <c r="EEH95" s="11"/>
      <c r="EEI95" s="11"/>
      <c r="EEJ95" s="11"/>
      <c r="EEK95" s="11"/>
      <c r="EEL95" s="11"/>
      <c r="EEM95" s="11"/>
      <c r="EEN95" s="11"/>
      <c r="EEO95" s="11"/>
      <c r="EEP95" s="11"/>
      <c r="EEQ95" s="11"/>
      <c r="EER95" s="11"/>
      <c r="EES95" s="11"/>
      <c r="EET95" s="11"/>
      <c r="EEU95" s="11"/>
      <c r="EEV95" s="11"/>
      <c r="EEW95" s="11"/>
      <c r="EEX95" s="11"/>
      <c r="EEY95" s="11"/>
      <c r="EEZ95" s="11"/>
      <c r="EFA95" s="11"/>
      <c r="EFB95" s="11"/>
      <c r="EFC95" s="11"/>
      <c r="EFD95" s="11"/>
      <c r="EFE95" s="11"/>
      <c r="EFF95" s="11"/>
      <c r="EFG95" s="11"/>
      <c r="EFH95" s="11"/>
      <c r="EFI95" s="11"/>
      <c r="EFJ95" s="11"/>
      <c r="EFK95" s="11"/>
      <c r="EFL95" s="11"/>
      <c r="EFM95" s="11"/>
      <c r="EFN95" s="11"/>
      <c r="EFO95" s="11"/>
      <c r="EFP95" s="11"/>
      <c r="EFQ95" s="11"/>
      <c r="EFR95" s="11"/>
      <c r="EFS95" s="11"/>
      <c r="EFT95" s="11"/>
      <c r="EFU95" s="11"/>
      <c r="EFV95" s="11"/>
      <c r="EFW95" s="11"/>
      <c r="EFX95" s="11"/>
      <c r="EFY95" s="11"/>
      <c r="EFZ95" s="11"/>
      <c r="EGA95" s="11"/>
      <c r="EGB95" s="11"/>
      <c r="EGC95" s="11"/>
      <c r="EGD95" s="11"/>
      <c r="EGE95" s="11"/>
      <c r="EGF95" s="11"/>
      <c r="EGG95" s="11"/>
      <c r="EGH95" s="11"/>
      <c r="EGI95" s="11"/>
      <c r="EGJ95" s="11"/>
      <c r="EGK95" s="11"/>
      <c r="EGL95" s="11"/>
      <c r="EGM95" s="11"/>
      <c r="EGN95" s="11"/>
      <c r="EGO95" s="11"/>
      <c r="EGP95" s="11"/>
      <c r="EGQ95" s="11"/>
      <c r="EGR95" s="11"/>
      <c r="EGS95" s="11"/>
      <c r="EGT95" s="11"/>
      <c r="EGU95" s="11"/>
      <c r="EGV95" s="11"/>
      <c r="EGW95" s="11"/>
      <c r="EGX95" s="11"/>
      <c r="EGY95" s="11"/>
      <c r="EGZ95" s="11"/>
      <c r="EHA95" s="11"/>
      <c r="EHB95" s="11"/>
      <c r="EHC95" s="11"/>
      <c r="EHD95" s="11"/>
      <c r="EHE95" s="11"/>
      <c r="EHF95" s="11"/>
      <c r="EHG95" s="11"/>
      <c r="EHH95" s="11"/>
      <c r="EHI95" s="11"/>
      <c r="EHJ95" s="11"/>
      <c r="EHK95" s="11"/>
      <c r="EHL95" s="11"/>
      <c r="EHM95" s="11"/>
      <c r="EHN95" s="11"/>
      <c r="EHO95" s="11"/>
      <c r="EHP95" s="11"/>
      <c r="EHQ95" s="11"/>
      <c r="EHR95" s="11"/>
      <c r="EHS95" s="11"/>
      <c r="EHT95" s="11"/>
      <c r="EHU95" s="11"/>
      <c r="EHV95" s="11"/>
      <c r="EHW95" s="11"/>
      <c r="EHX95" s="11"/>
      <c r="EHY95" s="11"/>
      <c r="EHZ95" s="11"/>
      <c r="EIA95" s="11"/>
      <c r="EIB95" s="11"/>
      <c r="EIC95" s="11"/>
      <c r="EID95" s="11"/>
      <c r="EIE95" s="11"/>
      <c r="EIF95" s="11"/>
      <c r="EIG95" s="11"/>
      <c r="EIH95" s="11"/>
      <c r="EII95" s="11"/>
      <c r="EIJ95" s="11"/>
      <c r="EIK95" s="11"/>
      <c r="EIL95" s="11"/>
      <c r="EIM95" s="11"/>
      <c r="EIN95" s="11"/>
      <c r="EIO95" s="11"/>
      <c r="EIP95" s="11"/>
      <c r="EIQ95" s="11"/>
      <c r="EIR95" s="11"/>
      <c r="EIS95" s="11"/>
      <c r="EIT95" s="11"/>
      <c r="EIU95" s="11"/>
      <c r="EIV95" s="11"/>
      <c r="EIW95" s="11"/>
      <c r="EIX95" s="11"/>
      <c r="EIY95" s="11"/>
      <c r="EIZ95" s="11"/>
      <c r="EJA95" s="11"/>
      <c r="EJB95" s="11"/>
      <c r="EJC95" s="11"/>
      <c r="EJD95" s="11"/>
      <c r="EJE95" s="11"/>
      <c r="EJF95" s="11"/>
      <c r="EJG95" s="11"/>
      <c r="EJH95" s="11"/>
      <c r="EJI95" s="11"/>
      <c r="EJJ95" s="11"/>
      <c r="EJK95" s="11"/>
      <c r="EJL95" s="11"/>
      <c r="EJM95" s="11"/>
      <c r="EJN95" s="11"/>
      <c r="EJO95" s="11"/>
      <c r="EJP95" s="11"/>
      <c r="EJQ95" s="11"/>
      <c r="EJR95" s="11"/>
      <c r="EJS95" s="11"/>
      <c r="EJT95" s="11"/>
      <c r="EJU95" s="11"/>
      <c r="EJV95" s="11"/>
      <c r="EJW95" s="11"/>
      <c r="EJX95" s="11"/>
      <c r="EJY95" s="11"/>
      <c r="EJZ95" s="11"/>
      <c r="EKA95" s="11"/>
      <c r="EKB95" s="11"/>
      <c r="EKC95" s="11"/>
      <c r="EKD95" s="11"/>
      <c r="EKE95" s="11"/>
      <c r="EKF95" s="11"/>
      <c r="EKG95" s="11"/>
      <c r="EKH95" s="11"/>
      <c r="EKI95" s="11"/>
      <c r="EKJ95" s="11"/>
      <c r="EKK95" s="11"/>
      <c r="EKL95" s="11"/>
      <c r="EKM95" s="11"/>
      <c r="EKN95" s="11"/>
      <c r="EKO95" s="11"/>
      <c r="EKP95" s="11"/>
      <c r="EKQ95" s="11"/>
      <c r="EKR95" s="11"/>
      <c r="EKS95" s="11"/>
      <c r="EKT95" s="11"/>
      <c r="EKU95" s="11"/>
      <c r="EKV95" s="11"/>
      <c r="EKW95" s="11"/>
      <c r="EKX95" s="11"/>
      <c r="EKY95" s="11"/>
      <c r="EKZ95" s="11"/>
      <c r="ELA95" s="11"/>
      <c r="ELB95" s="11"/>
      <c r="ELC95" s="11"/>
      <c r="ELD95" s="11"/>
      <c r="ELE95" s="11"/>
      <c r="ELF95" s="11"/>
      <c r="ELG95" s="11"/>
      <c r="ELH95" s="11"/>
      <c r="ELI95" s="11"/>
      <c r="ELJ95" s="11"/>
      <c r="ELK95" s="11"/>
      <c r="ELL95" s="11"/>
      <c r="ELM95" s="11"/>
      <c r="ELN95" s="11"/>
      <c r="ELO95" s="11"/>
      <c r="ELP95" s="11"/>
      <c r="ELQ95" s="11"/>
      <c r="ELR95" s="11"/>
      <c r="ELS95" s="11"/>
      <c r="ELT95" s="11"/>
      <c r="ELU95" s="11"/>
      <c r="ELV95" s="11"/>
      <c r="ELW95" s="11"/>
      <c r="ELX95" s="11"/>
      <c r="ELY95" s="11"/>
      <c r="ELZ95" s="11"/>
      <c r="EMA95" s="11"/>
      <c r="EMB95" s="11"/>
      <c r="EMC95" s="11"/>
      <c r="EMD95" s="11"/>
      <c r="EME95" s="11"/>
      <c r="EMF95" s="11"/>
      <c r="EMG95" s="11"/>
      <c r="EMH95" s="11"/>
      <c r="EMI95" s="11"/>
      <c r="EMJ95" s="11"/>
      <c r="EMK95" s="11"/>
      <c r="EML95" s="11"/>
      <c r="EMM95" s="11"/>
      <c r="EMN95" s="11"/>
      <c r="EMO95" s="11"/>
      <c r="EMP95" s="11"/>
      <c r="EMQ95" s="11"/>
      <c r="EMR95" s="11"/>
      <c r="EMS95" s="11"/>
      <c r="EMT95" s="11"/>
      <c r="EMU95" s="11"/>
      <c r="EMV95" s="11"/>
      <c r="EMW95" s="11"/>
      <c r="EMX95" s="11"/>
      <c r="EMY95" s="11"/>
      <c r="EMZ95" s="11"/>
      <c r="ENA95" s="11"/>
      <c r="ENB95" s="11"/>
      <c r="ENC95" s="11"/>
      <c r="END95" s="11"/>
      <c r="ENE95" s="11"/>
      <c r="ENF95" s="11"/>
      <c r="ENG95" s="11"/>
      <c r="ENH95" s="11"/>
      <c r="ENI95" s="11"/>
      <c r="ENJ95" s="11"/>
      <c r="ENK95" s="11"/>
      <c r="ENL95" s="11"/>
      <c r="ENM95" s="11"/>
      <c r="ENN95" s="11"/>
      <c r="ENO95" s="11"/>
      <c r="ENP95" s="11"/>
      <c r="ENQ95" s="11"/>
      <c r="ENR95" s="11"/>
      <c r="ENS95" s="11"/>
      <c r="ENT95" s="11"/>
      <c r="ENU95" s="11"/>
      <c r="ENV95" s="11"/>
      <c r="ENW95" s="11"/>
      <c r="ENX95" s="11"/>
      <c r="ENY95" s="11"/>
      <c r="ENZ95" s="11"/>
      <c r="EOA95" s="11"/>
      <c r="EOB95" s="11"/>
      <c r="EOC95" s="11"/>
      <c r="EOD95" s="11"/>
      <c r="EOE95" s="11"/>
      <c r="EOF95" s="11"/>
      <c r="EOG95" s="11"/>
      <c r="EOH95" s="11"/>
      <c r="EOI95" s="11"/>
      <c r="EOJ95" s="11"/>
      <c r="EOK95" s="11"/>
      <c r="EOL95" s="11"/>
      <c r="EOM95" s="11"/>
      <c r="EON95" s="11"/>
      <c r="EOO95" s="11"/>
      <c r="EOP95" s="11"/>
      <c r="EOQ95" s="11"/>
      <c r="EOR95" s="11"/>
      <c r="EOS95" s="11"/>
      <c r="EOT95" s="11"/>
      <c r="EOU95" s="11"/>
      <c r="EOV95" s="11"/>
      <c r="EOW95" s="11"/>
      <c r="EOX95" s="11"/>
      <c r="EOY95" s="11"/>
      <c r="EOZ95" s="11"/>
      <c r="EPA95" s="11"/>
      <c r="EPB95" s="11"/>
      <c r="EPC95" s="11"/>
      <c r="EPD95" s="11"/>
      <c r="EPE95" s="11"/>
      <c r="EPF95" s="11"/>
      <c r="EPG95" s="11"/>
      <c r="EPH95" s="11"/>
      <c r="EPI95" s="11"/>
      <c r="EPJ95" s="11"/>
      <c r="EPK95" s="11"/>
      <c r="EPL95" s="11"/>
      <c r="EPM95" s="11"/>
      <c r="EPN95" s="11"/>
      <c r="EPO95" s="11"/>
      <c r="EPP95" s="11"/>
      <c r="EPQ95" s="11"/>
      <c r="EPR95" s="11"/>
      <c r="EPS95" s="11"/>
      <c r="EPT95" s="11"/>
      <c r="EPU95" s="11"/>
      <c r="EPV95" s="11"/>
      <c r="EPW95" s="11"/>
      <c r="EPX95" s="11"/>
      <c r="EPY95" s="11"/>
      <c r="EPZ95" s="11"/>
      <c r="EQA95" s="11"/>
      <c r="EQB95" s="11"/>
      <c r="EQC95" s="11"/>
      <c r="EQD95" s="11"/>
      <c r="EQE95" s="11"/>
      <c r="EQF95" s="11"/>
      <c r="EQG95" s="11"/>
      <c r="EQH95" s="11"/>
      <c r="EQI95" s="11"/>
      <c r="EQJ95" s="11"/>
      <c r="EQK95" s="11"/>
      <c r="EQL95" s="11"/>
      <c r="EQM95" s="11"/>
      <c r="EQN95" s="11"/>
      <c r="EQO95" s="11"/>
      <c r="EQP95" s="11"/>
      <c r="EQQ95" s="11"/>
      <c r="EQR95" s="11"/>
      <c r="EQS95" s="11"/>
      <c r="EQT95" s="11"/>
      <c r="EQU95" s="11"/>
      <c r="EQV95" s="11"/>
      <c r="EQW95" s="11"/>
      <c r="EQX95" s="11"/>
      <c r="EQY95" s="11"/>
      <c r="EQZ95" s="11"/>
      <c r="ERA95" s="11"/>
      <c r="ERB95" s="11"/>
      <c r="ERC95" s="11"/>
      <c r="ERD95" s="11"/>
      <c r="ERE95" s="11"/>
      <c r="ERF95" s="11"/>
      <c r="ERG95" s="11"/>
      <c r="ERH95" s="11"/>
      <c r="ERI95" s="11"/>
      <c r="ERJ95" s="11"/>
      <c r="ERK95" s="11"/>
      <c r="ERL95" s="11"/>
      <c r="ERM95" s="11"/>
      <c r="ERN95" s="11"/>
      <c r="ERO95" s="11"/>
      <c r="ERP95" s="11"/>
      <c r="ERQ95" s="11"/>
      <c r="ERR95" s="11"/>
      <c r="ERS95" s="11"/>
      <c r="ERT95" s="11"/>
      <c r="ERU95" s="11"/>
      <c r="ERV95" s="11"/>
      <c r="ERW95" s="11"/>
      <c r="ERX95" s="11"/>
      <c r="ERY95" s="11"/>
      <c r="ERZ95" s="11"/>
      <c r="ESA95" s="11"/>
      <c r="ESB95" s="11"/>
      <c r="ESC95" s="11"/>
      <c r="ESD95" s="11"/>
      <c r="ESE95" s="11"/>
      <c r="ESF95" s="11"/>
      <c r="ESG95" s="11"/>
      <c r="ESH95" s="11"/>
      <c r="ESI95" s="11"/>
      <c r="ESJ95" s="11"/>
      <c r="ESK95" s="11"/>
      <c r="ESL95" s="11"/>
      <c r="ESM95" s="11"/>
      <c r="ESN95" s="11"/>
      <c r="ESO95" s="11"/>
      <c r="ESP95" s="11"/>
      <c r="ESQ95" s="11"/>
      <c r="ESR95" s="11"/>
      <c r="ESS95" s="11"/>
      <c r="EST95" s="11"/>
      <c r="ESU95" s="11"/>
      <c r="ESV95" s="11"/>
      <c r="ESW95" s="11"/>
      <c r="ESX95" s="11"/>
      <c r="ESY95" s="11"/>
      <c r="ESZ95" s="11"/>
      <c r="ETA95" s="11"/>
      <c r="ETB95" s="11"/>
      <c r="ETC95" s="11"/>
      <c r="ETD95" s="11"/>
      <c r="ETE95" s="11"/>
      <c r="ETF95" s="11"/>
      <c r="ETG95" s="11"/>
      <c r="ETH95" s="11"/>
      <c r="ETI95" s="11"/>
      <c r="ETJ95" s="11"/>
      <c r="ETK95" s="11"/>
      <c r="ETL95" s="11"/>
      <c r="ETM95" s="11"/>
      <c r="ETN95" s="11"/>
      <c r="ETO95" s="11"/>
      <c r="ETP95" s="11"/>
      <c r="ETQ95" s="11"/>
      <c r="ETR95" s="11"/>
      <c r="ETS95" s="11"/>
      <c r="ETT95" s="11"/>
      <c r="ETU95" s="11"/>
      <c r="ETV95" s="11"/>
      <c r="ETW95" s="11"/>
      <c r="ETX95" s="11"/>
      <c r="ETY95" s="11"/>
      <c r="ETZ95" s="11"/>
      <c r="EUA95" s="11"/>
      <c r="EUB95" s="11"/>
      <c r="EUC95" s="11"/>
      <c r="EUD95" s="11"/>
      <c r="EUE95" s="11"/>
      <c r="EUF95" s="11"/>
      <c r="EUG95" s="11"/>
      <c r="EUH95" s="11"/>
      <c r="EUI95" s="11"/>
      <c r="EUJ95" s="11"/>
      <c r="EUK95" s="11"/>
      <c r="EUL95" s="11"/>
      <c r="EUM95" s="11"/>
      <c r="EUN95" s="11"/>
      <c r="EUO95" s="11"/>
      <c r="EUP95" s="11"/>
      <c r="EUQ95" s="11"/>
      <c r="EUR95" s="11"/>
      <c r="EUS95" s="11"/>
      <c r="EUT95" s="11"/>
      <c r="EUU95" s="11"/>
      <c r="EUV95" s="11"/>
      <c r="EUW95" s="11"/>
      <c r="EUX95" s="11"/>
      <c r="EUY95" s="11"/>
      <c r="EUZ95" s="11"/>
      <c r="EVA95" s="11"/>
      <c r="EVB95" s="11"/>
      <c r="EVC95" s="11"/>
      <c r="EVD95" s="11"/>
      <c r="EVE95" s="11"/>
      <c r="EVF95" s="11"/>
      <c r="EVG95" s="11"/>
      <c r="EVH95" s="11"/>
      <c r="EVI95" s="11"/>
      <c r="EVJ95" s="11"/>
      <c r="EVK95" s="11"/>
      <c r="EVL95" s="11"/>
      <c r="EVM95" s="11"/>
      <c r="EVN95" s="11"/>
      <c r="EVO95" s="11"/>
      <c r="EVP95" s="11"/>
      <c r="EVQ95" s="11"/>
      <c r="EVR95" s="11"/>
      <c r="EVS95" s="11"/>
      <c r="EVT95" s="11"/>
      <c r="EVU95" s="11"/>
      <c r="EVV95" s="11"/>
      <c r="EVW95" s="11"/>
      <c r="EVX95" s="11"/>
      <c r="EVY95" s="11"/>
      <c r="EVZ95" s="11"/>
      <c r="EWA95" s="11"/>
      <c r="EWB95" s="11"/>
      <c r="EWC95" s="11"/>
      <c r="EWD95" s="11"/>
      <c r="EWE95" s="11"/>
      <c r="EWF95" s="11"/>
      <c r="EWG95" s="11"/>
      <c r="EWH95" s="11"/>
      <c r="EWI95" s="11"/>
      <c r="EWJ95" s="11"/>
      <c r="EWK95" s="11"/>
      <c r="EWL95" s="11"/>
      <c r="EWM95" s="11"/>
      <c r="EWN95" s="11"/>
      <c r="EWO95" s="11"/>
      <c r="EWP95" s="11"/>
      <c r="EWQ95" s="11"/>
      <c r="EWR95" s="11"/>
      <c r="EWS95" s="11"/>
      <c r="EWT95" s="11"/>
      <c r="EWU95" s="11"/>
      <c r="EWV95" s="11"/>
      <c r="EWW95" s="11"/>
      <c r="EWX95" s="11"/>
      <c r="EWY95" s="11"/>
      <c r="EWZ95" s="11"/>
      <c r="EXA95" s="11"/>
      <c r="EXB95" s="11"/>
      <c r="EXC95" s="11"/>
      <c r="EXD95" s="11"/>
      <c r="EXE95" s="11"/>
      <c r="EXF95" s="11"/>
      <c r="EXG95" s="11"/>
      <c r="EXH95" s="11"/>
      <c r="EXI95" s="11"/>
      <c r="EXJ95" s="11"/>
      <c r="EXK95" s="11"/>
      <c r="EXL95" s="11"/>
      <c r="EXM95" s="11"/>
      <c r="EXN95" s="11"/>
      <c r="EXO95" s="11"/>
      <c r="EXP95" s="11"/>
      <c r="EXQ95" s="11"/>
      <c r="EXR95" s="11"/>
      <c r="EXS95" s="11"/>
      <c r="EXT95" s="11"/>
      <c r="EXU95" s="11"/>
      <c r="EXV95" s="11"/>
      <c r="EXW95" s="11"/>
      <c r="EXX95" s="11"/>
      <c r="EXY95" s="11"/>
      <c r="EXZ95" s="11"/>
      <c r="EYA95" s="11"/>
      <c r="EYB95" s="11"/>
      <c r="EYC95" s="11"/>
      <c r="EYD95" s="11"/>
      <c r="EYE95" s="11"/>
      <c r="EYF95" s="11"/>
      <c r="EYG95" s="11"/>
      <c r="EYH95" s="11"/>
      <c r="EYI95" s="11"/>
      <c r="EYJ95" s="11"/>
      <c r="EYK95" s="11"/>
      <c r="EYL95" s="11"/>
      <c r="EYM95" s="11"/>
      <c r="EYN95" s="11"/>
      <c r="EYO95" s="11"/>
      <c r="EYP95" s="11"/>
      <c r="EYQ95" s="11"/>
      <c r="EYR95" s="11"/>
      <c r="EYS95" s="11"/>
      <c r="EYT95" s="11"/>
      <c r="EYU95" s="11"/>
      <c r="EYV95" s="11"/>
      <c r="EYW95" s="11"/>
      <c r="EYX95" s="11"/>
      <c r="EYY95" s="11"/>
      <c r="EYZ95" s="11"/>
      <c r="EZA95" s="11"/>
      <c r="EZB95" s="11"/>
      <c r="EZC95" s="11"/>
      <c r="EZD95" s="11"/>
      <c r="EZE95" s="11"/>
      <c r="EZF95" s="11"/>
      <c r="EZG95" s="11"/>
      <c r="EZH95" s="11"/>
      <c r="EZI95" s="11"/>
      <c r="EZJ95" s="11"/>
      <c r="EZK95" s="11"/>
      <c r="EZL95" s="11"/>
      <c r="EZM95" s="11"/>
      <c r="EZN95" s="11"/>
      <c r="EZO95" s="11"/>
      <c r="EZP95" s="11"/>
      <c r="EZQ95" s="11"/>
      <c r="EZR95" s="11"/>
      <c r="EZS95" s="11"/>
      <c r="EZT95" s="11"/>
      <c r="EZU95" s="11"/>
      <c r="EZV95" s="11"/>
      <c r="EZW95" s="11"/>
      <c r="EZX95" s="11"/>
      <c r="EZY95" s="11"/>
      <c r="EZZ95" s="11"/>
      <c r="FAA95" s="11"/>
      <c r="FAB95" s="11"/>
      <c r="FAC95" s="11"/>
      <c r="FAD95" s="11"/>
      <c r="FAE95" s="11"/>
      <c r="FAF95" s="11"/>
      <c r="FAG95" s="11"/>
      <c r="FAH95" s="11"/>
      <c r="FAI95" s="11"/>
      <c r="FAJ95" s="11"/>
      <c r="FAK95" s="11"/>
      <c r="FAL95" s="11"/>
      <c r="FAM95" s="11"/>
      <c r="FAN95" s="11"/>
      <c r="FAO95" s="11"/>
      <c r="FAP95" s="11"/>
      <c r="FAQ95" s="11"/>
      <c r="FAR95" s="11"/>
      <c r="FAS95" s="11"/>
      <c r="FAT95" s="11"/>
      <c r="FAU95" s="11"/>
      <c r="FAV95" s="11"/>
      <c r="FAW95" s="11"/>
      <c r="FAX95" s="11"/>
      <c r="FAY95" s="11"/>
      <c r="FAZ95" s="11"/>
      <c r="FBA95" s="11"/>
      <c r="FBB95" s="11"/>
      <c r="FBC95" s="11"/>
      <c r="FBD95" s="11"/>
      <c r="FBE95" s="11"/>
      <c r="FBF95" s="11"/>
      <c r="FBG95" s="11"/>
      <c r="FBH95" s="11"/>
      <c r="FBI95" s="11"/>
      <c r="FBJ95" s="11"/>
      <c r="FBK95" s="11"/>
      <c r="FBL95" s="11"/>
      <c r="FBM95" s="11"/>
      <c r="FBN95" s="11"/>
      <c r="FBO95" s="11"/>
      <c r="FBP95" s="11"/>
      <c r="FBQ95" s="11"/>
      <c r="FBR95" s="11"/>
      <c r="FBS95" s="11"/>
      <c r="FBT95" s="11"/>
      <c r="FBU95" s="11"/>
      <c r="FBV95" s="11"/>
      <c r="FBW95" s="11"/>
      <c r="FBX95" s="11"/>
      <c r="FBY95" s="11"/>
      <c r="FBZ95" s="11"/>
      <c r="FCA95" s="11"/>
      <c r="FCB95" s="11"/>
      <c r="FCC95" s="11"/>
      <c r="FCD95" s="11"/>
      <c r="FCE95" s="11"/>
      <c r="FCF95" s="11"/>
      <c r="FCG95" s="11"/>
      <c r="FCH95" s="11"/>
      <c r="FCI95" s="11"/>
      <c r="FCJ95" s="11"/>
      <c r="FCK95" s="11"/>
      <c r="FCL95" s="11"/>
      <c r="FCM95" s="11"/>
      <c r="FCN95" s="11"/>
      <c r="FCO95" s="11"/>
      <c r="FCP95" s="11"/>
      <c r="FCQ95" s="11"/>
      <c r="FCR95" s="11"/>
      <c r="FCS95" s="11"/>
      <c r="FCT95" s="11"/>
      <c r="FCU95" s="11"/>
      <c r="FCV95" s="11"/>
      <c r="FCW95" s="11"/>
      <c r="FCX95" s="11"/>
      <c r="FCY95" s="11"/>
      <c r="FCZ95" s="11"/>
      <c r="FDA95" s="11"/>
      <c r="FDB95" s="11"/>
      <c r="FDC95" s="11"/>
      <c r="FDD95" s="11"/>
      <c r="FDE95" s="11"/>
      <c r="FDF95" s="11"/>
      <c r="FDG95" s="11"/>
      <c r="FDH95" s="11"/>
      <c r="FDI95" s="11"/>
      <c r="FDJ95" s="11"/>
      <c r="FDK95" s="11"/>
      <c r="FDL95" s="11"/>
      <c r="FDM95" s="11"/>
      <c r="FDN95" s="11"/>
      <c r="FDO95" s="11"/>
      <c r="FDP95" s="11"/>
      <c r="FDQ95" s="11"/>
      <c r="FDR95" s="11"/>
      <c r="FDS95" s="11"/>
      <c r="FDT95" s="11"/>
      <c r="FDU95" s="11"/>
      <c r="FDV95" s="11"/>
      <c r="FDW95" s="11"/>
      <c r="FDX95" s="11"/>
      <c r="FDY95" s="11"/>
      <c r="FDZ95" s="11"/>
      <c r="FEA95" s="11"/>
      <c r="FEB95" s="11"/>
      <c r="FEC95" s="11"/>
      <c r="FED95" s="11"/>
      <c r="FEE95" s="11"/>
      <c r="FEF95" s="11"/>
      <c r="FEG95" s="11"/>
      <c r="FEH95" s="11"/>
      <c r="FEI95" s="11"/>
      <c r="FEJ95" s="11"/>
      <c r="FEK95" s="11"/>
      <c r="FEL95" s="11"/>
      <c r="FEM95" s="11"/>
      <c r="FEN95" s="11"/>
      <c r="FEO95" s="11"/>
      <c r="FEP95" s="11"/>
      <c r="FEQ95" s="11"/>
      <c r="FER95" s="11"/>
      <c r="FES95" s="11"/>
      <c r="FET95" s="11"/>
      <c r="FEU95" s="11"/>
      <c r="FEV95" s="11"/>
      <c r="FEW95" s="11"/>
      <c r="FEX95" s="11"/>
      <c r="FEY95" s="11"/>
      <c r="FEZ95" s="11"/>
      <c r="FFA95" s="11"/>
      <c r="FFB95" s="11"/>
      <c r="FFC95" s="11"/>
      <c r="FFD95" s="11"/>
      <c r="FFE95" s="11"/>
      <c r="FFF95" s="11"/>
      <c r="FFG95" s="11"/>
      <c r="FFH95" s="11"/>
      <c r="FFI95" s="11"/>
      <c r="FFJ95" s="11"/>
      <c r="FFK95" s="11"/>
      <c r="FFL95" s="11"/>
      <c r="FFM95" s="11"/>
      <c r="FFN95" s="11"/>
      <c r="FFO95" s="11"/>
      <c r="FFP95" s="11"/>
      <c r="FFQ95" s="11"/>
      <c r="FFR95" s="11"/>
      <c r="FFS95" s="11"/>
      <c r="FFT95" s="11"/>
      <c r="FFU95" s="11"/>
      <c r="FFV95" s="11"/>
      <c r="FFW95" s="11"/>
      <c r="FFX95" s="11"/>
      <c r="FFY95" s="11"/>
      <c r="FFZ95" s="11"/>
      <c r="FGA95" s="11"/>
      <c r="FGB95" s="11"/>
      <c r="FGC95" s="11"/>
      <c r="FGD95" s="11"/>
      <c r="FGE95" s="11"/>
      <c r="FGF95" s="11"/>
      <c r="FGG95" s="11"/>
      <c r="FGH95" s="11"/>
      <c r="FGI95" s="11"/>
      <c r="FGJ95" s="11"/>
      <c r="FGK95" s="11"/>
      <c r="FGL95" s="11"/>
      <c r="FGM95" s="11"/>
      <c r="FGN95" s="11"/>
      <c r="FGO95" s="11"/>
      <c r="FGP95" s="11"/>
      <c r="FGQ95" s="11"/>
      <c r="FGR95" s="11"/>
      <c r="FGS95" s="11"/>
      <c r="FGT95" s="11"/>
      <c r="FGU95" s="11"/>
      <c r="FGV95" s="11"/>
      <c r="FGW95" s="11"/>
      <c r="FGX95" s="11"/>
      <c r="FGY95" s="11"/>
      <c r="FGZ95" s="11"/>
      <c r="FHA95" s="11"/>
      <c r="FHB95" s="11"/>
      <c r="FHC95" s="11"/>
      <c r="FHD95" s="11"/>
      <c r="FHE95" s="11"/>
      <c r="FHF95" s="11"/>
      <c r="FHG95" s="11"/>
      <c r="FHH95" s="11"/>
      <c r="FHI95" s="11"/>
      <c r="FHJ95" s="11"/>
      <c r="FHK95" s="11"/>
      <c r="FHL95" s="11"/>
      <c r="FHM95" s="11"/>
      <c r="FHN95" s="11"/>
      <c r="FHO95" s="11"/>
      <c r="FHP95" s="11"/>
      <c r="FHQ95" s="11"/>
      <c r="FHR95" s="11"/>
      <c r="FHS95" s="11"/>
      <c r="FHT95" s="11"/>
      <c r="FHU95" s="11"/>
      <c r="FHV95" s="11"/>
      <c r="FHW95" s="11"/>
      <c r="FHX95" s="11"/>
      <c r="FHY95" s="11"/>
      <c r="FHZ95" s="11"/>
      <c r="FIA95" s="11"/>
      <c r="FIB95" s="11"/>
      <c r="FIC95" s="11"/>
      <c r="FID95" s="11"/>
      <c r="FIE95" s="11"/>
      <c r="FIF95" s="11"/>
      <c r="FIG95" s="11"/>
      <c r="FIH95" s="11"/>
      <c r="FII95" s="11"/>
      <c r="FIJ95" s="11"/>
      <c r="FIK95" s="11"/>
      <c r="FIL95" s="11"/>
      <c r="FIM95" s="11"/>
      <c r="FIN95" s="11"/>
      <c r="FIO95" s="11"/>
      <c r="FIP95" s="11"/>
      <c r="FIQ95" s="11"/>
      <c r="FIR95" s="11"/>
      <c r="FIS95" s="11"/>
      <c r="FIT95" s="11"/>
      <c r="FIU95" s="11"/>
      <c r="FIV95" s="11"/>
      <c r="FIW95" s="11"/>
      <c r="FIX95" s="11"/>
      <c r="FIY95" s="11"/>
      <c r="FIZ95" s="11"/>
      <c r="FJA95" s="11"/>
      <c r="FJB95" s="11"/>
      <c r="FJC95" s="11"/>
      <c r="FJD95" s="11"/>
      <c r="FJE95" s="11"/>
      <c r="FJF95" s="11"/>
      <c r="FJG95" s="11"/>
      <c r="FJH95" s="11"/>
      <c r="FJI95" s="11"/>
      <c r="FJJ95" s="11"/>
      <c r="FJK95" s="11"/>
      <c r="FJL95" s="11"/>
      <c r="FJM95" s="11"/>
      <c r="FJN95" s="11"/>
      <c r="FJO95" s="11"/>
      <c r="FJP95" s="11"/>
      <c r="FJQ95" s="11"/>
      <c r="FJR95" s="11"/>
      <c r="FJS95" s="11"/>
      <c r="FJT95" s="11"/>
      <c r="FJU95" s="11"/>
      <c r="FJV95" s="11"/>
      <c r="FJW95" s="11"/>
      <c r="FJX95" s="11"/>
      <c r="FJY95" s="11"/>
      <c r="FJZ95" s="11"/>
      <c r="FKA95" s="11"/>
      <c r="FKB95" s="11"/>
      <c r="FKC95" s="11"/>
      <c r="FKD95" s="11"/>
      <c r="FKE95" s="11"/>
      <c r="FKF95" s="11"/>
      <c r="FKG95" s="11"/>
      <c r="FKH95" s="11"/>
      <c r="FKI95" s="11"/>
      <c r="FKJ95" s="11"/>
      <c r="FKK95" s="11"/>
      <c r="FKL95" s="11"/>
      <c r="FKM95" s="11"/>
      <c r="FKN95" s="11"/>
      <c r="FKO95" s="11"/>
      <c r="FKP95" s="11"/>
      <c r="FKQ95" s="11"/>
      <c r="FKR95" s="11"/>
      <c r="FKS95" s="11"/>
      <c r="FKT95" s="11"/>
      <c r="FKU95" s="11"/>
      <c r="FKV95" s="11"/>
      <c r="FKW95" s="11"/>
      <c r="FKX95" s="11"/>
      <c r="FKY95" s="11"/>
      <c r="FKZ95" s="11"/>
      <c r="FLA95" s="11"/>
      <c r="FLB95" s="11"/>
      <c r="FLC95" s="11"/>
      <c r="FLD95" s="11"/>
      <c r="FLE95" s="11"/>
      <c r="FLF95" s="11"/>
      <c r="FLG95" s="11"/>
      <c r="FLH95" s="11"/>
      <c r="FLI95" s="11"/>
      <c r="FLJ95" s="11"/>
      <c r="FLK95" s="11"/>
      <c r="FLL95" s="11"/>
      <c r="FLM95" s="11"/>
      <c r="FLN95" s="11"/>
      <c r="FLO95" s="11"/>
      <c r="FLP95" s="11"/>
      <c r="FLQ95" s="11"/>
      <c r="FLR95" s="11"/>
      <c r="FLS95" s="11"/>
      <c r="FLT95" s="11"/>
      <c r="FLU95" s="11"/>
      <c r="FLV95" s="11"/>
      <c r="FLW95" s="11"/>
      <c r="FLX95" s="11"/>
      <c r="FLY95" s="11"/>
      <c r="FLZ95" s="11"/>
      <c r="FMA95" s="11"/>
      <c r="FMB95" s="11"/>
      <c r="FMC95" s="11"/>
      <c r="FMD95" s="11"/>
      <c r="FME95" s="11"/>
      <c r="FMF95" s="11"/>
      <c r="FMG95" s="11"/>
      <c r="FMH95" s="11"/>
      <c r="FMI95" s="11"/>
      <c r="FMJ95" s="11"/>
      <c r="FMK95" s="11"/>
      <c r="FML95" s="11"/>
      <c r="FMM95" s="11"/>
      <c r="FMN95" s="11"/>
      <c r="FMO95" s="11"/>
      <c r="FMP95" s="11"/>
      <c r="FMQ95" s="11"/>
      <c r="FMR95" s="11"/>
      <c r="FMS95" s="11"/>
      <c r="FMT95" s="11"/>
      <c r="FMU95" s="11"/>
      <c r="FMV95" s="11"/>
      <c r="FMW95" s="11"/>
      <c r="FMX95" s="11"/>
      <c r="FMY95" s="11"/>
      <c r="FMZ95" s="11"/>
      <c r="FNA95" s="11"/>
      <c r="FNB95" s="11"/>
      <c r="FNC95" s="11"/>
      <c r="FND95" s="11"/>
      <c r="FNE95" s="11"/>
      <c r="FNF95" s="11"/>
      <c r="FNG95" s="11"/>
      <c r="FNH95" s="11"/>
      <c r="FNI95" s="11"/>
      <c r="FNJ95" s="11"/>
      <c r="FNK95" s="11"/>
      <c r="FNL95" s="11"/>
      <c r="FNM95" s="11"/>
      <c r="FNN95" s="11"/>
      <c r="FNO95" s="11"/>
      <c r="FNP95" s="11"/>
      <c r="FNQ95" s="11"/>
      <c r="FNR95" s="11"/>
      <c r="FNS95" s="11"/>
      <c r="FNT95" s="11"/>
      <c r="FNU95" s="11"/>
      <c r="FNV95" s="11"/>
      <c r="FNW95" s="11"/>
      <c r="FNX95" s="11"/>
      <c r="FNY95" s="11"/>
      <c r="FNZ95" s="11"/>
      <c r="FOA95" s="11"/>
      <c r="FOB95" s="11"/>
      <c r="FOC95" s="11"/>
      <c r="FOD95" s="11"/>
      <c r="FOE95" s="11"/>
      <c r="FOF95" s="11"/>
      <c r="FOG95" s="11"/>
      <c r="FOH95" s="11"/>
      <c r="FOI95" s="11"/>
      <c r="FOJ95" s="11"/>
      <c r="FOK95" s="11"/>
      <c r="FOL95" s="11"/>
      <c r="FOM95" s="11"/>
      <c r="FON95" s="11"/>
      <c r="FOO95" s="11"/>
      <c r="FOP95" s="11"/>
      <c r="FOQ95" s="11"/>
      <c r="FOR95" s="11"/>
      <c r="FOS95" s="11"/>
      <c r="FOT95" s="11"/>
      <c r="FOU95" s="11"/>
      <c r="FOV95" s="11"/>
      <c r="FOW95" s="11"/>
      <c r="FOX95" s="11"/>
      <c r="FOY95" s="11"/>
      <c r="FOZ95" s="11"/>
      <c r="FPA95" s="11"/>
      <c r="FPB95" s="11"/>
      <c r="FPC95" s="11"/>
      <c r="FPD95" s="11"/>
      <c r="FPE95" s="11"/>
      <c r="FPF95" s="11"/>
      <c r="FPG95" s="11"/>
      <c r="FPH95" s="11"/>
      <c r="FPI95" s="11"/>
      <c r="FPJ95" s="11"/>
      <c r="FPK95" s="11"/>
      <c r="FPL95" s="11"/>
      <c r="FPM95" s="11"/>
      <c r="FPN95" s="11"/>
      <c r="FPO95" s="11"/>
      <c r="FPP95" s="11"/>
      <c r="FPQ95" s="11"/>
      <c r="FPR95" s="11"/>
      <c r="FPS95" s="11"/>
      <c r="FPT95" s="11"/>
      <c r="FPU95" s="11"/>
      <c r="FPV95" s="11"/>
      <c r="FPW95" s="11"/>
      <c r="FPX95" s="11"/>
      <c r="FPY95" s="11"/>
      <c r="FPZ95" s="11"/>
      <c r="FQA95" s="11"/>
      <c r="FQB95" s="11"/>
      <c r="FQC95" s="11"/>
      <c r="FQD95" s="11"/>
      <c r="FQE95" s="11"/>
      <c r="FQF95" s="11"/>
      <c r="FQG95" s="11"/>
      <c r="FQH95" s="11"/>
      <c r="FQI95" s="11"/>
      <c r="FQJ95" s="11"/>
      <c r="FQK95" s="11"/>
      <c r="FQL95" s="11"/>
      <c r="FQM95" s="11"/>
      <c r="FQN95" s="11"/>
      <c r="FQO95" s="11"/>
      <c r="FQP95" s="11"/>
      <c r="FQQ95" s="11"/>
      <c r="FQR95" s="11"/>
      <c r="FQS95" s="11"/>
      <c r="FQT95" s="11"/>
      <c r="FQU95" s="11"/>
      <c r="FQV95" s="11"/>
      <c r="FQW95" s="11"/>
      <c r="FQX95" s="11"/>
      <c r="FQY95" s="11"/>
      <c r="FQZ95" s="11"/>
      <c r="FRA95" s="11"/>
      <c r="FRB95" s="11"/>
      <c r="FRC95" s="11"/>
      <c r="FRD95" s="11"/>
      <c r="FRE95" s="11"/>
      <c r="FRF95" s="11"/>
      <c r="FRG95" s="11"/>
      <c r="FRH95" s="11"/>
      <c r="FRI95" s="11"/>
      <c r="FRJ95" s="11"/>
      <c r="FRK95" s="11"/>
      <c r="FRL95" s="11"/>
      <c r="FRM95" s="11"/>
      <c r="FRN95" s="11"/>
      <c r="FRO95" s="11"/>
      <c r="FRP95" s="11"/>
      <c r="FRQ95" s="11"/>
      <c r="FRR95" s="11"/>
      <c r="FRS95" s="11"/>
      <c r="FRT95" s="11"/>
      <c r="FRU95" s="11"/>
      <c r="FRV95" s="11"/>
      <c r="FRW95" s="11"/>
      <c r="FRX95" s="11"/>
      <c r="FRY95" s="11"/>
      <c r="FRZ95" s="11"/>
      <c r="FSA95" s="11"/>
      <c r="FSB95" s="11"/>
      <c r="FSC95" s="11"/>
      <c r="FSD95" s="11"/>
      <c r="FSE95" s="11"/>
      <c r="FSF95" s="11"/>
      <c r="FSG95" s="11"/>
      <c r="FSH95" s="11"/>
      <c r="FSI95" s="11"/>
      <c r="FSJ95" s="11"/>
      <c r="FSK95" s="11"/>
      <c r="FSL95" s="11"/>
      <c r="FSM95" s="11"/>
      <c r="FSN95" s="11"/>
      <c r="FSO95" s="11"/>
      <c r="FSP95" s="11"/>
      <c r="FSQ95" s="11"/>
      <c r="FSR95" s="11"/>
      <c r="FSS95" s="11"/>
      <c r="FST95" s="11"/>
      <c r="FSU95" s="11"/>
      <c r="FSV95" s="11"/>
      <c r="FSW95" s="11"/>
      <c r="FSX95" s="11"/>
      <c r="FSY95" s="11"/>
      <c r="FSZ95" s="11"/>
      <c r="FTA95" s="11"/>
      <c r="FTB95" s="11"/>
      <c r="FTC95" s="11"/>
      <c r="FTD95" s="11"/>
      <c r="FTE95" s="11"/>
      <c r="FTF95" s="11"/>
      <c r="FTG95" s="11"/>
      <c r="FTH95" s="11"/>
      <c r="FTI95" s="11"/>
      <c r="FTJ95" s="11"/>
      <c r="FTK95" s="11"/>
      <c r="FTL95" s="11"/>
      <c r="FTM95" s="11"/>
      <c r="FTN95" s="11"/>
      <c r="FTO95" s="11"/>
      <c r="FTP95" s="11"/>
      <c r="FTQ95" s="11"/>
      <c r="FTR95" s="11"/>
      <c r="FTS95" s="11"/>
      <c r="FTT95" s="11"/>
      <c r="FTU95" s="11"/>
      <c r="FTV95" s="11"/>
      <c r="FTW95" s="11"/>
      <c r="FTX95" s="11"/>
      <c r="FTY95" s="11"/>
      <c r="FTZ95" s="11"/>
      <c r="FUA95" s="11"/>
      <c r="FUB95" s="11"/>
      <c r="FUC95" s="11"/>
      <c r="FUD95" s="11"/>
      <c r="FUE95" s="11"/>
      <c r="FUF95" s="11"/>
      <c r="FUG95" s="11"/>
      <c r="FUH95" s="11"/>
      <c r="FUI95" s="11"/>
      <c r="FUJ95" s="11"/>
      <c r="FUK95" s="11"/>
      <c r="FUL95" s="11"/>
      <c r="FUM95" s="11"/>
      <c r="FUN95" s="11"/>
      <c r="FUO95" s="11"/>
      <c r="FUP95" s="11"/>
      <c r="FUQ95" s="11"/>
      <c r="FUR95" s="11"/>
      <c r="FUS95" s="11"/>
      <c r="FUT95" s="11"/>
      <c r="FUU95" s="11"/>
      <c r="FUV95" s="11"/>
      <c r="FUW95" s="11"/>
      <c r="FUX95" s="11"/>
      <c r="FUY95" s="11"/>
      <c r="FUZ95" s="11"/>
      <c r="FVA95" s="11"/>
      <c r="FVB95" s="11"/>
      <c r="FVC95" s="11"/>
      <c r="FVD95" s="11"/>
      <c r="FVE95" s="11"/>
      <c r="FVF95" s="11"/>
      <c r="FVG95" s="11"/>
      <c r="FVH95" s="11"/>
      <c r="FVI95" s="11"/>
      <c r="FVJ95" s="11"/>
      <c r="FVK95" s="11"/>
      <c r="FVL95" s="11"/>
      <c r="FVM95" s="11"/>
      <c r="FVN95" s="11"/>
      <c r="FVO95" s="11"/>
      <c r="FVP95" s="11"/>
      <c r="FVQ95" s="11"/>
      <c r="FVR95" s="11"/>
      <c r="FVS95" s="11"/>
      <c r="FVT95" s="11"/>
      <c r="FVU95" s="11"/>
      <c r="FVV95" s="11"/>
      <c r="FVW95" s="11"/>
      <c r="FVX95" s="11"/>
      <c r="FVY95" s="11"/>
      <c r="FVZ95" s="11"/>
      <c r="FWA95" s="11"/>
      <c r="FWB95" s="11"/>
      <c r="FWC95" s="11"/>
      <c r="FWD95" s="11"/>
      <c r="FWE95" s="11"/>
      <c r="FWF95" s="11"/>
      <c r="FWG95" s="11"/>
      <c r="FWH95" s="11"/>
      <c r="FWI95" s="11"/>
      <c r="FWJ95" s="11"/>
      <c r="FWK95" s="11"/>
      <c r="FWL95" s="11"/>
      <c r="FWM95" s="11"/>
      <c r="FWN95" s="11"/>
      <c r="FWO95" s="11"/>
      <c r="FWP95" s="11"/>
      <c r="FWQ95" s="11"/>
      <c r="FWR95" s="11"/>
      <c r="FWS95" s="11"/>
      <c r="FWT95" s="11"/>
      <c r="FWU95" s="11"/>
      <c r="FWV95" s="11"/>
      <c r="FWW95" s="11"/>
      <c r="FWX95" s="11"/>
      <c r="FWY95" s="11"/>
      <c r="FWZ95" s="11"/>
      <c r="FXA95" s="11"/>
      <c r="FXB95" s="11"/>
      <c r="FXC95" s="11"/>
      <c r="FXD95" s="11"/>
      <c r="FXE95" s="11"/>
      <c r="FXF95" s="11"/>
      <c r="FXG95" s="11"/>
      <c r="FXH95" s="11"/>
      <c r="FXI95" s="11"/>
      <c r="FXJ95" s="11"/>
      <c r="FXK95" s="11"/>
      <c r="FXL95" s="11"/>
      <c r="FXM95" s="11"/>
      <c r="FXN95" s="11"/>
      <c r="FXO95" s="11"/>
      <c r="FXP95" s="11"/>
      <c r="FXQ95" s="11"/>
      <c r="FXR95" s="11"/>
      <c r="FXS95" s="11"/>
      <c r="FXT95" s="11"/>
      <c r="FXU95" s="11"/>
      <c r="FXV95" s="11"/>
      <c r="FXW95" s="11"/>
      <c r="FXX95" s="11"/>
      <c r="FXY95" s="11"/>
      <c r="FXZ95" s="11"/>
      <c r="FYA95" s="11"/>
      <c r="FYB95" s="11"/>
      <c r="FYC95" s="11"/>
      <c r="FYD95" s="11"/>
      <c r="FYE95" s="11"/>
      <c r="FYF95" s="11"/>
      <c r="FYG95" s="11"/>
      <c r="FYH95" s="11"/>
      <c r="FYI95" s="11"/>
      <c r="FYJ95" s="11"/>
      <c r="FYK95" s="11"/>
      <c r="FYL95" s="11"/>
      <c r="FYM95" s="11"/>
      <c r="FYN95" s="11"/>
      <c r="FYO95" s="11"/>
      <c r="FYP95" s="11"/>
      <c r="FYQ95" s="11"/>
      <c r="FYR95" s="11"/>
      <c r="FYS95" s="11"/>
      <c r="FYT95" s="11"/>
      <c r="FYU95" s="11"/>
      <c r="FYV95" s="11"/>
      <c r="FYW95" s="11"/>
      <c r="FYX95" s="11"/>
      <c r="FYY95" s="11"/>
      <c r="FYZ95" s="11"/>
      <c r="FZA95" s="11"/>
      <c r="FZB95" s="11"/>
      <c r="FZC95" s="11"/>
      <c r="FZD95" s="11"/>
      <c r="FZE95" s="11"/>
      <c r="FZF95" s="11"/>
      <c r="FZG95" s="11"/>
      <c r="FZH95" s="11"/>
      <c r="FZI95" s="11"/>
      <c r="FZJ95" s="11"/>
      <c r="FZK95" s="11"/>
      <c r="FZL95" s="11"/>
      <c r="FZM95" s="11"/>
      <c r="FZN95" s="11"/>
      <c r="FZO95" s="11"/>
      <c r="FZP95" s="11"/>
      <c r="FZQ95" s="11"/>
      <c r="FZR95" s="11"/>
      <c r="FZS95" s="11"/>
      <c r="FZT95" s="11"/>
      <c r="FZU95" s="11"/>
      <c r="FZV95" s="11"/>
      <c r="FZW95" s="11"/>
      <c r="FZX95" s="11"/>
      <c r="FZY95" s="11"/>
      <c r="FZZ95" s="11"/>
      <c r="GAA95" s="11"/>
      <c r="GAB95" s="11"/>
      <c r="GAC95" s="11"/>
      <c r="GAD95" s="11"/>
      <c r="GAE95" s="11"/>
      <c r="GAF95" s="11"/>
      <c r="GAG95" s="11"/>
      <c r="GAH95" s="11"/>
      <c r="GAI95" s="11"/>
      <c r="GAJ95" s="11"/>
      <c r="GAK95" s="11"/>
      <c r="GAL95" s="11"/>
      <c r="GAM95" s="11"/>
      <c r="GAN95" s="11"/>
      <c r="GAO95" s="11"/>
      <c r="GAP95" s="11"/>
      <c r="GAQ95" s="11"/>
      <c r="GAR95" s="11"/>
      <c r="GAS95" s="11"/>
      <c r="GAT95" s="11"/>
      <c r="GAU95" s="11"/>
      <c r="GAV95" s="11"/>
      <c r="GAW95" s="11"/>
      <c r="GAX95" s="11"/>
      <c r="GAY95" s="11"/>
      <c r="GAZ95" s="11"/>
      <c r="GBA95" s="11"/>
      <c r="GBB95" s="11"/>
      <c r="GBC95" s="11"/>
      <c r="GBD95" s="11"/>
      <c r="GBE95" s="11"/>
      <c r="GBF95" s="11"/>
      <c r="GBG95" s="11"/>
      <c r="GBH95" s="11"/>
      <c r="GBI95" s="11"/>
      <c r="GBJ95" s="11"/>
      <c r="GBK95" s="11"/>
      <c r="GBL95" s="11"/>
      <c r="GBM95" s="11"/>
      <c r="GBN95" s="11"/>
      <c r="GBO95" s="11"/>
      <c r="GBP95" s="11"/>
      <c r="GBQ95" s="11"/>
      <c r="GBR95" s="11"/>
      <c r="GBS95" s="11"/>
      <c r="GBT95" s="11"/>
      <c r="GBU95" s="11"/>
      <c r="GBV95" s="11"/>
      <c r="GBW95" s="11"/>
      <c r="GBX95" s="11"/>
      <c r="GBY95" s="11"/>
      <c r="GBZ95" s="11"/>
      <c r="GCA95" s="11"/>
      <c r="GCB95" s="11"/>
      <c r="GCC95" s="11"/>
      <c r="GCD95" s="11"/>
      <c r="GCE95" s="11"/>
      <c r="GCF95" s="11"/>
      <c r="GCG95" s="11"/>
      <c r="GCH95" s="11"/>
      <c r="GCI95" s="11"/>
      <c r="GCJ95" s="11"/>
      <c r="GCK95" s="11"/>
      <c r="GCL95" s="11"/>
      <c r="GCM95" s="11"/>
      <c r="GCN95" s="11"/>
      <c r="GCO95" s="11"/>
      <c r="GCP95" s="11"/>
      <c r="GCQ95" s="11"/>
      <c r="GCR95" s="11"/>
      <c r="GCS95" s="11"/>
      <c r="GCT95" s="11"/>
      <c r="GCU95" s="11"/>
      <c r="GCV95" s="11"/>
      <c r="GCW95" s="11"/>
      <c r="GCX95" s="11"/>
      <c r="GCY95" s="11"/>
      <c r="GCZ95" s="11"/>
      <c r="GDA95" s="11"/>
      <c r="GDB95" s="11"/>
      <c r="GDC95" s="11"/>
      <c r="GDD95" s="11"/>
      <c r="GDE95" s="11"/>
      <c r="GDF95" s="11"/>
      <c r="GDG95" s="11"/>
      <c r="GDH95" s="11"/>
      <c r="GDI95" s="11"/>
      <c r="GDJ95" s="11"/>
      <c r="GDK95" s="11"/>
      <c r="GDL95" s="11"/>
      <c r="GDM95" s="11"/>
      <c r="GDN95" s="11"/>
      <c r="GDO95" s="11"/>
      <c r="GDP95" s="11"/>
      <c r="GDQ95" s="11"/>
      <c r="GDR95" s="11"/>
      <c r="GDS95" s="11"/>
      <c r="GDT95" s="11"/>
      <c r="GDU95" s="11"/>
      <c r="GDV95" s="11"/>
      <c r="GDW95" s="11"/>
      <c r="GDX95" s="11"/>
      <c r="GDY95" s="11"/>
      <c r="GDZ95" s="11"/>
      <c r="GEA95" s="11"/>
      <c r="GEB95" s="11"/>
      <c r="GEC95" s="11"/>
      <c r="GED95" s="11"/>
      <c r="GEE95" s="11"/>
      <c r="GEF95" s="11"/>
      <c r="GEG95" s="11"/>
      <c r="GEH95" s="11"/>
      <c r="GEI95" s="11"/>
      <c r="GEJ95" s="11"/>
      <c r="GEK95" s="11"/>
      <c r="GEL95" s="11"/>
      <c r="GEM95" s="11"/>
      <c r="GEN95" s="11"/>
      <c r="GEO95" s="11"/>
      <c r="GEP95" s="11"/>
      <c r="GEQ95" s="11"/>
      <c r="GER95" s="11"/>
      <c r="GES95" s="11"/>
      <c r="GET95" s="11"/>
      <c r="GEU95" s="11"/>
      <c r="GEV95" s="11"/>
      <c r="GEW95" s="11"/>
      <c r="GEX95" s="11"/>
      <c r="GEY95" s="11"/>
      <c r="GEZ95" s="11"/>
      <c r="GFA95" s="11"/>
      <c r="GFB95" s="11"/>
      <c r="GFC95" s="11"/>
      <c r="GFD95" s="11"/>
      <c r="GFE95" s="11"/>
      <c r="GFF95" s="11"/>
      <c r="GFG95" s="11"/>
      <c r="GFH95" s="11"/>
      <c r="GFI95" s="11"/>
      <c r="GFJ95" s="11"/>
      <c r="GFK95" s="11"/>
      <c r="GFL95" s="11"/>
      <c r="GFM95" s="11"/>
      <c r="GFN95" s="11"/>
      <c r="GFO95" s="11"/>
      <c r="GFP95" s="11"/>
      <c r="GFQ95" s="11"/>
      <c r="GFR95" s="11"/>
      <c r="GFS95" s="11"/>
      <c r="GFT95" s="11"/>
      <c r="GFU95" s="11"/>
      <c r="GFV95" s="11"/>
      <c r="GFW95" s="11"/>
      <c r="GFX95" s="11"/>
      <c r="GFY95" s="11"/>
      <c r="GFZ95" s="11"/>
      <c r="GGA95" s="11"/>
      <c r="GGB95" s="11"/>
      <c r="GGC95" s="11"/>
      <c r="GGD95" s="11"/>
      <c r="GGE95" s="11"/>
      <c r="GGF95" s="11"/>
      <c r="GGG95" s="11"/>
      <c r="GGH95" s="11"/>
      <c r="GGI95" s="11"/>
      <c r="GGJ95" s="11"/>
      <c r="GGK95" s="11"/>
      <c r="GGL95" s="11"/>
      <c r="GGM95" s="11"/>
      <c r="GGN95" s="11"/>
      <c r="GGO95" s="11"/>
      <c r="GGP95" s="11"/>
      <c r="GGQ95" s="11"/>
      <c r="GGR95" s="11"/>
      <c r="GGS95" s="11"/>
      <c r="GGT95" s="11"/>
      <c r="GGU95" s="11"/>
      <c r="GGV95" s="11"/>
      <c r="GGW95" s="11"/>
      <c r="GGX95" s="11"/>
      <c r="GGY95" s="11"/>
      <c r="GGZ95" s="11"/>
      <c r="GHA95" s="11"/>
      <c r="GHB95" s="11"/>
      <c r="GHC95" s="11"/>
      <c r="GHD95" s="11"/>
      <c r="GHE95" s="11"/>
      <c r="GHF95" s="11"/>
      <c r="GHG95" s="11"/>
      <c r="GHH95" s="11"/>
      <c r="GHI95" s="11"/>
      <c r="GHJ95" s="11"/>
      <c r="GHK95" s="11"/>
      <c r="GHL95" s="11"/>
      <c r="GHM95" s="11"/>
      <c r="GHN95" s="11"/>
      <c r="GHO95" s="11"/>
      <c r="GHP95" s="11"/>
      <c r="GHQ95" s="11"/>
      <c r="GHR95" s="11"/>
      <c r="GHS95" s="11"/>
      <c r="GHT95" s="11"/>
      <c r="GHU95" s="11"/>
      <c r="GHV95" s="11"/>
      <c r="GHW95" s="11"/>
      <c r="GHX95" s="11"/>
      <c r="GHY95" s="11"/>
      <c r="GHZ95" s="11"/>
      <c r="GIA95" s="11"/>
      <c r="GIB95" s="11"/>
      <c r="GIC95" s="11"/>
      <c r="GID95" s="11"/>
      <c r="GIE95" s="11"/>
      <c r="GIF95" s="11"/>
      <c r="GIG95" s="11"/>
      <c r="GIH95" s="11"/>
      <c r="GII95" s="11"/>
      <c r="GIJ95" s="11"/>
      <c r="GIK95" s="11"/>
      <c r="GIL95" s="11"/>
      <c r="GIM95" s="11"/>
      <c r="GIN95" s="11"/>
      <c r="GIO95" s="11"/>
      <c r="GIP95" s="11"/>
      <c r="GIQ95" s="11"/>
      <c r="GIR95" s="11"/>
      <c r="GIS95" s="11"/>
      <c r="GIT95" s="11"/>
      <c r="GIU95" s="11"/>
      <c r="GIV95" s="11"/>
      <c r="GIW95" s="11"/>
      <c r="GIX95" s="11"/>
      <c r="GIY95" s="11"/>
      <c r="GIZ95" s="11"/>
      <c r="GJA95" s="11"/>
      <c r="GJB95" s="11"/>
      <c r="GJC95" s="11"/>
      <c r="GJD95" s="11"/>
      <c r="GJE95" s="11"/>
      <c r="GJF95" s="11"/>
      <c r="GJG95" s="11"/>
      <c r="GJH95" s="11"/>
      <c r="GJI95" s="11"/>
      <c r="GJJ95" s="11"/>
      <c r="GJK95" s="11"/>
      <c r="GJL95" s="11"/>
      <c r="GJM95" s="11"/>
      <c r="GJN95" s="11"/>
      <c r="GJO95" s="11"/>
      <c r="GJP95" s="11"/>
      <c r="GJQ95" s="11"/>
      <c r="GJR95" s="11"/>
      <c r="GJS95" s="11"/>
      <c r="GJT95" s="11"/>
      <c r="GJU95" s="11"/>
      <c r="GJV95" s="11"/>
      <c r="GJW95" s="11"/>
      <c r="GJX95" s="11"/>
      <c r="GJY95" s="11"/>
      <c r="GJZ95" s="11"/>
      <c r="GKA95" s="11"/>
      <c r="GKB95" s="11"/>
      <c r="GKC95" s="11"/>
      <c r="GKD95" s="11"/>
      <c r="GKE95" s="11"/>
      <c r="GKF95" s="11"/>
      <c r="GKG95" s="11"/>
      <c r="GKH95" s="11"/>
      <c r="GKI95" s="11"/>
      <c r="GKJ95" s="11"/>
      <c r="GKK95" s="11"/>
      <c r="GKL95" s="11"/>
      <c r="GKM95" s="11"/>
      <c r="GKN95" s="11"/>
      <c r="GKO95" s="11"/>
      <c r="GKP95" s="11"/>
      <c r="GKQ95" s="11"/>
      <c r="GKR95" s="11"/>
      <c r="GKS95" s="11"/>
      <c r="GKT95" s="11"/>
      <c r="GKU95" s="11"/>
      <c r="GKV95" s="11"/>
      <c r="GKW95" s="11"/>
      <c r="GKX95" s="11"/>
      <c r="GKY95" s="11"/>
      <c r="GKZ95" s="11"/>
      <c r="GLA95" s="11"/>
      <c r="GLB95" s="11"/>
      <c r="GLC95" s="11"/>
      <c r="GLD95" s="11"/>
      <c r="GLE95" s="11"/>
      <c r="GLF95" s="11"/>
      <c r="GLG95" s="11"/>
      <c r="GLH95" s="11"/>
      <c r="GLI95" s="11"/>
      <c r="GLJ95" s="11"/>
      <c r="GLK95" s="11"/>
      <c r="GLL95" s="11"/>
      <c r="GLM95" s="11"/>
      <c r="GLN95" s="11"/>
      <c r="GLO95" s="11"/>
      <c r="GLP95" s="11"/>
      <c r="GLQ95" s="11"/>
      <c r="GLR95" s="11"/>
      <c r="GLS95" s="11"/>
      <c r="GLT95" s="11"/>
      <c r="GLU95" s="11"/>
      <c r="GLV95" s="11"/>
      <c r="GLW95" s="11"/>
      <c r="GLX95" s="11"/>
      <c r="GLY95" s="11"/>
      <c r="GLZ95" s="11"/>
      <c r="GMA95" s="11"/>
      <c r="GMB95" s="11"/>
      <c r="GMC95" s="11"/>
      <c r="GMD95" s="11"/>
      <c r="GME95" s="11"/>
      <c r="GMF95" s="11"/>
      <c r="GMG95" s="11"/>
      <c r="GMH95" s="11"/>
      <c r="GMI95" s="11"/>
      <c r="GMJ95" s="11"/>
      <c r="GMK95" s="11"/>
      <c r="GML95" s="11"/>
      <c r="GMM95" s="11"/>
      <c r="GMN95" s="11"/>
      <c r="GMO95" s="11"/>
      <c r="GMP95" s="11"/>
      <c r="GMQ95" s="11"/>
      <c r="GMR95" s="11"/>
      <c r="GMS95" s="11"/>
      <c r="GMT95" s="11"/>
      <c r="GMU95" s="11"/>
      <c r="GMV95" s="11"/>
      <c r="GMW95" s="11"/>
      <c r="GMX95" s="11"/>
      <c r="GMY95" s="11"/>
      <c r="GMZ95" s="11"/>
      <c r="GNA95" s="11"/>
      <c r="GNB95" s="11"/>
      <c r="GNC95" s="11"/>
      <c r="GND95" s="11"/>
      <c r="GNE95" s="11"/>
      <c r="GNF95" s="11"/>
      <c r="GNG95" s="11"/>
      <c r="GNH95" s="11"/>
      <c r="GNI95" s="11"/>
      <c r="GNJ95" s="11"/>
      <c r="GNK95" s="11"/>
      <c r="GNL95" s="11"/>
      <c r="GNM95" s="11"/>
      <c r="GNN95" s="11"/>
      <c r="GNO95" s="11"/>
      <c r="GNP95" s="11"/>
      <c r="GNQ95" s="11"/>
      <c r="GNR95" s="11"/>
      <c r="GNS95" s="11"/>
      <c r="GNT95" s="11"/>
      <c r="GNU95" s="11"/>
      <c r="GNV95" s="11"/>
      <c r="GNW95" s="11"/>
      <c r="GNX95" s="11"/>
      <c r="GNY95" s="11"/>
      <c r="GNZ95" s="11"/>
      <c r="GOA95" s="11"/>
      <c r="GOB95" s="11"/>
      <c r="GOC95" s="11"/>
      <c r="GOD95" s="11"/>
      <c r="GOE95" s="11"/>
      <c r="GOF95" s="11"/>
      <c r="GOG95" s="11"/>
      <c r="GOH95" s="11"/>
      <c r="GOI95" s="11"/>
      <c r="GOJ95" s="11"/>
      <c r="GOK95" s="11"/>
      <c r="GOL95" s="11"/>
      <c r="GOM95" s="11"/>
      <c r="GON95" s="11"/>
      <c r="GOO95" s="11"/>
      <c r="GOP95" s="11"/>
      <c r="GOQ95" s="11"/>
      <c r="GOR95" s="11"/>
      <c r="GOS95" s="11"/>
      <c r="GOT95" s="11"/>
      <c r="GOU95" s="11"/>
      <c r="GOV95" s="11"/>
      <c r="GOW95" s="11"/>
      <c r="GOX95" s="11"/>
      <c r="GOY95" s="11"/>
      <c r="GOZ95" s="11"/>
      <c r="GPA95" s="11"/>
      <c r="GPB95" s="11"/>
      <c r="GPC95" s="11"/>
      <c r="GPD95" s="11"/>
      <c r="GPE95" s="11"/>
      <c r="GPF95" s="11"/>
      <c r="GPG95" s="11"/>
      <c r="GPH95" s="11"/>
      <c r="GPI95" s="11"/>
      <c r="GPJ95" s="11"/>
      <c r="GPK95" s="11"/>
      <c r="GPL95" s="11"/>
      <c r="GPM95" s="11"/>
      <c r="GPN95" s="11"/>
      <c r="GPO95" s="11"/>
      <c r="GPP95" s="11"/>
      <c r="GPQ95" s="11"/>
      <c r="GPR95" s="11"/>
      <c r="GPS95" s="11"/>
      <c r="GPT95" s="11"/>
      <c r="GPU95" s="11"/>
      <c r="GPV95" s="11"/>
      <c r="GPW95" s="11"/>
      <c r="GPX95" s="11"/>
      <c r="GPY95" s="11"/>
      <c r="GPZ95" s="11"/>
      <c r="GQA95" s="11"/>
      <c r="GQB95" s="11"/>
      <c r="GQC95" s="11"/>
      <c r="GQD95" s="11"/>
      <c r="GQE95" s="11"/>
      <c r="GQF95" s="11"/>
      <c r="GQG95" s="11"/>
      <c r="GQH95" s="11"/>
      <c r="GQI95" s="11"/>
      <c r="GQJ95" s="11"/>
      <c r="GQK95" s="11"/>
      <c r="GQL95" s="11"/>
      <c r="GQM95" s="11"/>
      <c r="GQN95" s="11"/>
      <c r="GQO95" s="11"/>
      <c r="GQP95" s="11"/>
      <c r="GQQ95" s="11"/>
      <c r="GQR95" s="11"/>
      <c r="GQS95" s="11"/>
      <c r="GQT95" s="11"/>
      <c r="GQU95" s="11"/>
      <c r="GQV95" s="11"/>
      <c r="GQW95" s="11"/>
      <c r="GQX95" s="11"/>
      <c r="GQY95" s="11"/>
      <c r="GQZ95" s="11"/>
      <c r="GRA95" s="11"/>
      <c r="GRB95" s="11"/>
      <c r="GRC95" s="11"/>
      <c r="GRD95" s="11"/>
      <c r="GRE95" s="11"/>
      <c r="GRF95" s="11"/>
      <c r="GRG95" s="11"/>
      <c r="GRH95" s="11"/>
      <c r="GRI95" s="11"/>
      <c r="GRJ95" s="11"/>
      <c r="GRK95" s="11"/>
      <c r="GRL95" s="11"/>
      <c r="GRM95" s="11"/>
      <c r="GRN95" s="11"/>
      <c r="GRO95" s="11"/>
      <c r="GRP95" s="11"/>
      <c r="GRQ95" s="11"/>
      <c r="GRR95" s="11"/>
      <c r="GRS95" s="11"/>
      <c r="GRT95" s="11"/>
      <c r="GRU95" s="11"/>
      <c r="GRV95" s="11"/>
      <c r="GRW95" s="11"/>
      <c r="GRX95" s="11"/>
      <c r="GRY95" s="11"/>
      <c r="GRZ95" s="11"/>
      <c r="GSA95" s="11"/>
      <c r="GSB95" s="11"/>
      <c r="GSC95" s="11"/>
      <c r="GSD95" s="11"/>
      <c r="GSE95" s="11"/>
      <c r="GSF95" s="11"/>
      <c r="GSG95" s="11"/>
      <c r="GSH95" s="11"/>
      <c r="GSI95" s="11"/>
      <c r="GSJ95" s="11"/>
      <c r="GSK95" s="11"/>
      <c r="GSL95" s="11"/>
      <c r="GSM95" s="11"/>
      <c r="GSN95" s="11"/>
      <c r="GSO95" s="11"/>
      <c r="GSP95" s="11"/>
      <c r="GSQ95" s="11"/>
      <c r="GSR95" s="11"/>
      <c r="GSS95" s="11"/>
      <c r="GST95" s="11"/>
      <c r="GSU95" s="11"/>
      <c r="GSV95" s="11"/>
      <c r="GSW95" s="11"/>
      <c r="GSX95" s="11"/>
      <c r="GSY95" s="11"/>
      <c r="GSZ95" s="11"/>
      <c r="GTA95" s="11"/>
      <c r="GTB95" s="11"/>
      <c r="GTC95" s="11"/>
      <c r="GTD95" s="11"/>
      <c r="GTE95" s="11"/>
      <c r="GTF95" s="11"/>
      <c r="GTG95" s="11"/>
      <c r="GTH95" s="11"/>
      <c r="GTI95" s="11"/>
      <c r="GTJ95" s="11"/>
      <c r="GTK95" s="11"/>
      <c r="GTL95" s="11"/>
      <c r="GTM95" s="11"/>
      <c r="GTN95" s="11"/>
      <c r="GTO95" s="11"/>
      <c r="GTP95" s="11"/>
      <c r="GTQ95" s="11"/>
      <c r="GTR95" s="11"/>
      <c r="GTS95" s="11"/>
      <c r="GTT95" s="11"/>
      <c r="GTU95" s="11"/>
      <c r="GTV95" s="11"/>
      <c r="GTW95" s="11"/>
      <c r="GTX95" s="11"/>
      <c r="GTY95" s="11"/>
      <c r="GTZ95" s="11"/>
      <c r="GUA95" s="11"/>
      <c r="GUB95" s="11"/>
      <c r="GUC95" s="11"/>
      <c r="GUD95" s="11"/>
      <c r="GUE95" s="11"/>
      <c r="GUF95" s="11"/>
      <c r="GUG95" s="11"/>
      <c r="GUH95" s="11"/>
      <c r="GUI95" s="11"/>
      <c r="GUJ95" s="11"/>
      <c r="GUK95" s="11"/>
      <c r="GUL95" s="11"/>
      <c r="GUM95" s="11"/>
      <c r="GUN95" s="11"/>
      <c r="GUO95" s="11"/>
      <c r="GUP95" s="11"/>
      <c r="GUQ95" s="11"/>
      <c r="GUR95" s="11"/>
      <c r="GUS95" s="11"/>
      <c r="GUT95" s="11"/>
      <c r="GUU95" s="11"/>
      <c r="GUV95" s="11"/>
      <c r="GUW95" s="11"/>
      <c r="GUX95" s="11"/>
      <c r="GUY95" s="11"/>
      <c r="GUZ95" s="11"/>
      <c r="GVA95" s="11"/>
      <c r="GVB95" s="11"/>
      <c r="GVC95" s="11"/>
      <c r="GVD95" s="11"/>
      <c r="GVE95" s="11"/>
      <c r="GVF95" s="11"/>
      <c r="GVG95" s="11"/>
      <c r="GVH95" s="11"/>
      <c r="GVI95" s="11"/>
      <c r="GVJ95" s="11"/>
      <c r="GVK95" s="11"/>
      <c r="GVL95" s="11"/>
      <c r="GVM95" s="11"/>
      <c r="GVN95" s="11"/>
      <c r="GVO95" s="11"/>
      <c r="GVP95" s="11"/>
      <c r="GVQ95" s="11"/>
      <c r="GVR95" s="11"/>
      <c r="GVS95" s="11"/>
      <c r="GVT95" s="11"/>
      <c r="GVU95" s="11"/>
      <c r="GVV95" s="11"/>
      <c r="GVW95" s="11"/>
      <c r="GVX95" s="11"/>
      <c r="GVY95" s="11"/>
      <c r="GVZ95" s="11"/>
      <c r="GWA95" s="11"/>
      <c r="GWB95" s="11"/>
      <c r="GWC95" s="11"/>
      <c r="GWD95" s="11"/>
      <c r="GWE95" s="11"/>
      <c r="GWF95" s="11"/>
      <c r="GWG95" s="11"/>
      <c r="GWH95" s="11"/>
      <c r="GWI95" s="11"/>
      <c r="GWJ95" s="11"/>
      <c r="GWK95" s="11"/>
      <c r="GWL95" s="11"/>
      <c r="GWM95" s="11"/>
      <c r="GWN95" s="11"/>
      <c r="GWO95" s="11"/>
      <c r="GWP95" s="11"/>
      <c r="GWQ95" s="11"/>
      <c r="GWR95" s="11"/>
      <c r="GWS95" s="11"/>
      <c r="GWT95" s="11"/>
      <c r="GWU95" s="11"/>
      <c r="GWV95" s="11"/>
      <c r="GWW95" s="11"/>
      <c r="GWX95" s="11"/>
      <c r="GWY95" s="11"/>
      <c r="GWZ95" s="11"/>
      <c r="GXA95" s="11"/>
      <c r="GXB95" s="11"/>
      <c r="GXC95" s="11"/>
      <c r="GXD95" s="11"/>
      <c r="GXE95" s="11"/>
      <c r="GXF95" s="11"/>
      <c r="GXG95" s="11"/>
      <c r="GXH95" s="11"/>
      <c r="GXI95" s="11"/>
      <c r="GXJ95" s="11"/>
      <c r="GXK95" s="11"/>
      <c r="GXL95" s="11"/>
      <c r="GXM95" s="11"/>
      <c r="GXN95" s="11"/>
      <c r="GXO95" s="11"/>
      <c r="GXP95" s="11"/>
      <c r="GXQ95" s="11"/>
      <c r="GXR95" s="11"/>
      <c r="GXS95" s="11"/>
      <c r="GXT95" s="11"/>
      <c r="GXU95" s="11"/>
      <c r="GXV95" s="11"/>
      <c r="GXW95" s="11"/>
      <c r="GXX95" s="11"/>
      <c r="GXY95" s="11"/>
      <c r="GXZ95" s="11"/>
      <c r="GYA95" s="11"/>
      <c r="GYB95" s="11"/>
      <c r="GYC95" s="11"/>
      <c r="GYD95" s="11"/>
      <c r="GYE95" s="11"/>
      <c r="GYF95" s="11"/>
      <c r="GYG95" s="11"/>
      <c r="GYH95" s="11"/>
      <c r="GYI95" s="11"/>
      <c r="GYJ95" s="11"/>
      <c r="GYK95" s="11"/>
      <c r="GYL95" s="11"/>
      <c r="GYM95" s="11"/>
      <c r="GYN95" s="11"/>
      <c r="GYO95" s="11"/>
      <c r="GYP95" s="11"/>
      <c r="GYQ95" s="11"/>
      <c r="GYR95" s="11"/>
      <c r="GYS95" s="11"/>
      <c r="GYT95" s="11"/>
      <c r="GYU95" s="11"/>
      <c r="GYV95" s="11"/>
      <c r="GYW95" s="11"/>
      <c r="GYX95" s="11"/>
      <c r="GYY95" s="11"/>
      <c r="GYZ95" s="11"/>
      <c r="GZA95" s="11"/>
      <c r="GZB95" s="11"/>
      <c r="GZC95" s="11"/>
      <c r="GZD95" s="11"/>
      <c r="GZE95" s="11"/>
      <c r="GZF95" s="11"/>
      <c r="GZG95" s="11"/>
      <c r="GZH95" s="11"/>
      <c r="GZI95" s="11"/>
      <c r="GZJ95" s="11"/>
      <c r="GZK95" s="11"/>
      <c r="GZL95" s="11"/>
      <c r="GZM95" s="11"/>
      <c r="GZN95" s="11"/>
      <c r="GZO95" s="11"/>
      <c r="GZP95" s="11"/>
      <c r="GZQ95" s="11"/>
      <c r="GZR95" s="11"/>
      <c r="GZS95" s="11"/>
      <c r="GZT95" s="11"/>
      <c r="GZU95" s="11"/>
      <c r="GZV95" s="11"/>
      <c r="GZW95" s="11"/>
      <c r="GZX95" s="11"/>
      <c r="GZY95" s="11"/>
      <c r="GZZ95" s="11"/>
      <c r="HAA95" s="11"/>
      <c r="HAB95" s="11"/>
      <c r="HAC95" s="11"/>
      <c r="HAD95" s="11"/>
      <c r="HAE95" s="11"/>
      <c r="HAF95" s="11"/>
      <c r="HAG95" s="11"/>
      <c r="HAH95" s="11"/>
      <c r="HAI95" s="11"/>
      <c r="HAJ95" s="11"/>
      <c r="HAK95" s="11"/>
      <c r="HAL95" s="11"/>
      <c r="HAM95" s="11"/>
      <c r="HAN95" s="11"/>
      <c r="HAO95" s="11"/>
      <c r="HAP95" s="11"/>
      <c r="HAQ95" s="11"/>
      <c r="HAR95" s="11"/>
      <c r="HAS95" s="11"/>
      <c r="HAT95" s="11"/>
      <c r="HAU95" s="11"/>
      <c r="HAV95" s="11"/>
      <c r="HAW95" s="11"/>
      <c r="HAX95" s="11"/>
      <c r="HAY95" s="11"/>
      <c r="HAZ95" s="11"/>
      <c r="HBA95" s="11"/>
      <c r="HBB95" s="11"/>
      <c r="HBC95" s="11"/>
      <c r="HBD95" s="11"/>
      <c r="HBE95" s="11"/>
      <c r="HBF95" s="11"/>
      <c r="HBG95" s="11"/>
      <c r="HBH95" s="11"/>
      <c r="HBI95" s="11"/>
      <c r="HBJ95" s="11"/>
      <c r="HBK95" s="11"/>
      <c r="HBL95" s="11"/>
      <c r="HBM95" s="11"/>
      <c r="HBN95" s="11"/>
      <c r="HBO95" s="11"/>
      <c r="HBP95" s="11"/>
      <c r="HBQ95" s="11"/>
      <c r="HBR95" s="11"/>
      <c r="HBS95" s="11"/>
      <c r="HBT95" s="11"/>
      <c r="HBU95" s="11"/>
      <c r="HBV95" s="11"/>
      <c r="HBW95" s="11"/>
      <c r="HBX95" s="11"/>
      <c r="HBY95" s="11"/>
      <c r="HBZ95" s="11"/>
      <c r="HCA95" s="11"/>
      <c r="HCB95" s="11"/>
      <c r="HCC95" s="11"/>
      <c r="HCD95" s="11"/>
      <c r="HCE95" s="11"/>
      <c r="HCF95" s="11"/>
      <c r="HCG95" s="11"/>
      <c r="HCH95" s="11"/>
      <c r="HCI95" s="11"/>
      <c r="HCJ95" s="11"/>
      <c r="HCK95" s="11"/>
      <c r="HCL95" s="11"/>
      <c r="HCM95" s="11"/>
      <c r="HCN95" s="11"/>
      <c r="HCO95" s="11"/>
      <c r="HCP95" s="11"/>
      <c r="HCQ95" s="11"/>
      <c r="HCR95" s="11"/>
      <c r="HCS95" s="11"/>
      <c r="HCT95" s="11"/>
      <c r="HCU95" s="11"/>
      <c r="HCV95" s="11"/>
      <c r="HCW95" s="11"/>
      <c r="HCX95" s="11"/>
      <c r="HCY95" s="11"/>
      <c r="HCZ95" s="11"/>
      <c r="HDA95" s="11"/>
      <c r="HDB95" s="11"/>
      <c r="HDC95" s="11"/>
      <c r="HDD95" s="11"/>
      <c r="HDE95" s="11"/>
      <c r="HDF95" s="11"/>
      <c r="HDG95" s="11"/>
      <c r="HDH95" s="11"/>
      <c r="HDI95" s="11"/>
      <c r="HDJ95" s="11"/>
      <c r="HDK95" s="11"/>
      <c r="HDL95" s="11"/>
      <c r="HDM95" s="11"/>
      <c r="HDN95" s="11"/>
      <c r="HDO95" s="11"/>
      <c r="HDP95" s="11"/>
      <c r="HDQ95" s="11"/>
      <c r="HDR95" s="11"/>
      <c r="HDS95" s="11"/>
      <c r="HDT95" s="11"/>
      <c r="HDU95" s="11"/>
      <c r="HDV95" s="11"/>
      <c r="HDW95" s="11"/>
      <c r="HDX95" s="11"/>
      <c r="HDY95" s="11"/>
      <c r="HDZ95" s="11"/>
      <c r="HEA95" s="11"/>
      <c r="HEB95" s="11"/>
      <c r="HEC95" s="11"/>
      <c r="HED95" s="11"/>
      <c r="HEE95" s="11"/>
      <c r="HEF95" s="11"/>
      <c r="HEG95" s="11"/>
      <c r="HEH95" s="11"/>
      <c r="HEI95" s="11"/>
      <c r="HEJ95" s="11"/>
      <c r="HEK95" s="11"/>
      <c r="HEL95" s="11"/>
      <c r="HEM95" s="11"/>
      <c r="HEN95" s="11"/>
      <c r="HEO95" s="11"/>
      <c r="HEP95" s="11"/>
      <c r="HEQ95" s="11"/>
      <c r="HER95" s="11"/>
      <c r="HES95" s="11"/>
      <c r="HET95" s="11"/>
      <c r="HEU95" s="11"/>
      <c r="HEV95" s="11"/>
      <c r="HEW95" s="11"/>
      <c r="HEX95" s="11"/>
      <c r="HEY95" s="11"/>
      <c r="HEZ95" s="11"/>
      <c r="HFA95" s="11"/>
      <c r="HFB95" s="11"/>
      <c r="HFC95" s="11"/>
      <c r="HFD95" s="11"/>
      <c r="HFE95" s="11"/>
      <c r="HFF95" s="11"/>
      <c r="HFG95" s="11"/>
      <c r="HFH95" s="11"/>
      <c r="HFI95" s="11"/>
      <c r="HFJ95" s="11"/>
      <c r="HFK95" s="11"/>
      <c r="HFL95" s="11"/>
      <c r="HFM95" s="11"/>
      <c r="HFN95" s="11"/>
      <c r="HFO95" s="11"/>
      <c r="HFP95" s="11"/>
      <c r="HFQ95" s="11"/>
      <c r="HFR95" s="11"/>
      <c r="HFS95" s="11"/>
      <c r="HFT95" s="11"/>
      <c r="HFU95" s="11"/>
      <c r="HFV95" s="11"/>
      <c r="HFW95" s="11"/>
      <c r="HFX95" s="11"/>
      <c r="HFY95" s="11"/>
      <c r="HFZ95" s="11"/>
      <c r="HGA95" s="11"/>
      <c r="HGB95" s="11"/>
      <c r="HGC95" s="11"/>
      <c r="HGD95" s="11"/>
      <c r="HGE95" s="11"/>
      <c r="HGF95" s="11"/>
      <c r="HGG95" s="11"/>
      <c r="HGH95" s="11"/>
      <c r="HGI95" s="11"/>
      <c r="HGJ95" s="11"/>
      <c r="HGK95" s="11"/>
      <c r="HGL95" s="11"/>
      <c r="HGM95" s="11"/>
      <c r="HGN95" s="11"/>
      <c r="HGO95" s="11"/>
      <c r="HGP95" s="11"/>
      <c r="HGQ95" s="11"/>
      <c r="HGR95" s="11"/>
      <c r="HGS95" s="11"/>
      <c r="HGT95" s="11"/>
      <c r="HGU95" s="11"/>
      <c r="HGV95" s="11"/>
      <c r="HGW95" s="11"/>
      <c r="HGX95" s="11"/>
      <c r="HGY95" s="11"/>
      <c r="HGZ95" s="11"/>
      <c r="HHA95" s="11"/>
      <c r="HHB95" s="11"/>
      <c r="HHC95" s="11"/>
      <c r="HHD95" s="11"/>
      <c r="HHE95" s="11"/>
      <c r="HHF95" s="11"/>
      <c r="HHG95" s="11"/>
      <c r="HHH95" s="11"/>
      <c r="HHI95" s="11"/>
      <c r="HHJ95" s="11"/>
      <c r="HHK95" s="11"/>
      <c r="HHL95" s="11"/>
      <c r="HHM95" s="11"/>
      <c r="HHN95" s="11"/>
      <c r="HHO95" s="11"/>
      <c r="HHP95" s="11"/>
      <c r="HHQ95" s="11"/>
      <c r="HHR95" s="11"/>
      <c r="HHS95" s="11"/>
      <c r="HHT95" s="11"/>
      <c r="HHU95" s="11"/>
      <c r="HHV95" s="11"/>
      <c r="HHW95" s="11"/>
      <c r="HHX95" s="11"/>
      <c r="HHY95" s="11"/>
      <c r="HHZ95" s="11"/>
      <c r="HIA95" s="11"/>
      <c r="HIB95" s="11"/>
      <c r="HIC95" s="11"/>
      <c r="HID95" s="11"/>
      <c r="HIE95" s="11"/>
      <c r="HIF95" s="11"/>
      <c r="HIG95" s="11"/>
      <c r="HIH95" s="11"/>
      <c r="HII95" s="11"/>
      <c r="HIJ95" s="11"/>
      <c r="HIK95" s="11"/>
      <c r="HIL95" s="11"/>
      <c r="HIM95" s="11"/>
      <c r="HIN95" s="11"/>
      <c r="HIO95" s="11"/>
      <c r="HIP95" s="11"/>
      <c r="HIQ95" s="11"/>
      <c r="HIR95" s="11"/>
      <c r="HIS95" s="11"/>
      <c r="HIT95" s="11"/>
      <c r="HIU95" s="11"/>
      <c r="HIV95" s="11"/>
      <c r="HIW95" s="11"/>
      <c r="HIX95" s="11"/>
      <c r="HIY95" s="11"/>
      <c r="HIZ95" s="11"/>
      <c r="HJA95" s="11"/>
      <c r="HJB95" s="11"/>
      <c r="HJC95" s="11"/>
      <c r="HJD95" s="11"/>
      <c r="HJE95" s="11"/>
      <c r="HJF95" s="11"/>
      <c r="HJG95" s="11"/>
      <c r="HJH95" s="11"/>
      <c r="HJI95" s="11"/>
      <c r="HJJ95" s="11"/>
      <c r="HJK95" s="11"/>
      <c r="HJL95" s="11"/>
      <c r="HJM95" s="11"/>
      <c r="HJN95" s="11"/>
      <c r="HJO95" s="11"/>
      <c r="HJP95" s="11"/>
      <c r="HJQ95" s="11"/>
      <c r="HJR95" s="11"/>
      <c r="HJS95" s="11"/>
      <c r="HJT95" s="11"/>
      <c r="HJU95" s="11"/>
      <c r="HJV95" s="11"/>
      <c r="HJW95" s="11"/>
      <c r="HJX95" s="11"/>
      <c r="HJY95" s="11"/>
      <c r="HJZ95" s="11"/>
      <c r="HKA95" s="11"/>
      <c r="HKB95" s="11"/>
      <c r="HKC95" s="11"/>
      <c r="HKD95" s="11"/>
      <c r="HKE95" s="11"/>
      <c r="HKF95" s="11"/>
      <c r="HKG95" s="11"/>
      <c r="HKH95" s="11"/>
      <c r="HKI95" s="11"/>
      <c r="HKJ95" s="11"/>
      <c r="HKK95" s="11"/>
      <c r="HKL95" s="11"/>
      <c r="HKM95" s="11"/>
      <c r="HKN95" s="11"/>
      <c r="HKO95" s="11"/>
      <c r="HKP95" s="11"/>
      <c r="HKQ95" s="11"/>
      <c r="HKR95" s="11"/>
      <c r="HKS95" s="11"/>
      <c r="HKT95" s="11"/>
      <c r="HKU95" s="11"/>
      <c r="HKV95" s="11"/>
      <c r="HKW95" s="11"/>
      <c r="HKX95" s="11"/>
      <c r="HKY95" s="11"/>
      <c r="HKZ95" s="11"/>
      <c r="HLA95" s="11"/>
      <c r="HLB95" s="11"/>
      <c r="HLC95" s="11"/>
      <c r="HLD95" s="11"/>
      <c r="HLE95" s="11"/>
      <c r="HLF95" s="11"/>
      <c r="HLG95" s="11"/>
      <c r="HLH95" s="11"/>
      <c r="HLI95" s="11"/>
      <c r="HLJ95" s="11"/>
      <c r="HLK95" s="11"/>
      <c r="HLL95" s="11"/>
      <c r="HLM95" s="11"/>
      <c r="HLN95" s="11"/>
      <c r="HLO95" s="11"/>
      <c r="HLP95" s="11"/>
      <c r="HLQ95" s="11"/>
      <c r="HLR95" s="11"/>
      <c r="HLS95" s="11"/>
      <c r="HLT95" s="11"/>
      <c r="HLU95" s="11"/>
      <c r="HLV95" s="11"/>
      <c r="HLW95" s="11"/>
      <c r="HLX95" s="11"/>
      <c r="HLY95" s="11"/>
      <c r="HLZ95" s="11"/>
      <c r="HMA95" s="11"/>
      <c r="HMB95" s="11"/>
      <c r="HMC95" s="11"/>
      <c r="HMD95" s="11"/>
      <c r="HME95" s="11"/>
      <c r="HMF95" s="11"/>
      <c r="HMG95" s="11"/>
      <c r="HMH95" s="11"/>
      <c r="HMI95" s="11"/>
      <c r="HMJ95" s="11"/>
      <c r="HMK95" s="11"/>
      <c r="HML95" s="11"/>
      <c r="HMM95" s="11"/>
      <c r="HMN95" s="11"/>
      <c r="HMO95" s="11"/>
      <c r="HMP95" s="11"/>
      <c r="HMQ95" s="11"/>
      <c r="HMR95" s="11"/>
      <c r="HMS95" s="11"/>
      <c r="HMT95" s="11"/>
      <c r="HMU95" s="11"/>
      <c r="HMV95" s="11"/>
      <c r="HMW95" s="11"/>
      <c r="HMX95" s="11"/>
      <c r="HMY95" s="11"/>
      <c r="HMZ95" s="11"/>
      <c r="HNA95" s="11"/>
      <c r="HNB95" s="11"/>
      <c r="HNC95" s="11"/>
      <c r="HND95" s="11"/>
      <c r="HNE95" s="11"/>
      <c r="HNF95" s="11"/>
      <c r="HNG95" s="11"/>
      <c r="HNH95" s="11"/>
      <c r="HNI95" s="11"/>
      <c r="HNJ95" s="11"/>
      <c r="HNK95" s="11"/>
      <c r="HNL95" s="11"/>
      <c r="HNM95" s="11"/>
      <c r="HNN95" s="11"/>
      <c r="HNO95" s="11"/>
      <c r="HNP95" s="11"/>
      <c r="HNQ95" s="11"/>
      <c r="HNR95" s="11"/>
      <c r="HNS95" s="11"/>
      <c r="HNT95" s="11"/>
      <c r="HNU95" s="11"/>
      <c r="HNV95" s="11"/>
      <c r="HNW95" s="11"/>
      <c r="HNX95" s="11"/>
      <c r="HNY95" s="11"/>
      <c r="HNZ95" s="11"/>
      <c r="HOA95" s="11"/>
      <c r="HOB95" s="11"/>
      <c r="HOC95" s="11"/>
      <c r="HOD95" s="11"/>
      <c r="HOE95" s="11"/>
      <c r="HOF95" s="11"/>
      <c r="HOG95" s="11"/>
      <c r="HOH95" s="11"/>
      <c r="HOI95" s="11"/>
      <c r="HOJ95" s="11"/>
      <c r="HOK95" s="11"/>
      <c r="HOL95" s="11"/>
      <c r="HOM95" s="11"/>
      <c r="HON95" s="11"/>
      <c r="HOO95" s="11"/>
      <c r="HOP95" s="11"/>
      <c r="HOQ95" s="11"/>
      <c r="HOR95" s="11"/>
      <c r="HOS95" s="11"/>
      <c r="HOT95" s="11"/>
      <c r="HOU95" s="11"/>
      <c r="HOV95" s="11"/>
      <c r="HOW95" s="11"/>
      <c r="HOX95" s="11"/>
      <c r="HOY95" s="11"/>
      <c r="HOZ95" s="11"/>
      <c r="HPA95" s="11"/>
      <c r="HPB95" s="11"/>
      <c r="HPC95" s="11"/>
      <c r="HPD95" s="11"/>
      <c r="HPE95" s="11"/>
      <c r="HPF95" s="11"/>
      <c r="HPG95" s="11"/>
      <c r="HPH95" s="11"/>
      <c r="HPI95" s="11"/>
      <c r="HPJ95" s="11"/>
      <c r="HPK95" s="11"/>
      <c r="HPL95" s="11"/>
      <c r="HPM95" s="11"/>
      <c r="HPN95" s="11"/>
      <c r="HPO95" s="11"/>
      <c r="HPP95" s="11"/>
      <c r="HPQ95" s="11"/>
      <c r="HPR95" s="11"/>
      <c r="HPS95" s="11"/>
      <c r="HPT95" s="11"/>
      <c r="HPU95" s="11"/>
      <c r="HPV95" s="11"/>
      <c r="HPW95" s="11"/>
      <c r="HPX95" s="11"/>
      <c r="HPY95" s="11"/>
      <c r="HPZ95" s="11"/>
      <c r="HQA95" s="11"/>
      <c r="HQB95" s="11"/>
      <c r="HQC95" s="11"/>
      <c r="HQD95" s="11"/>
      <c r="HQE95" s="11"/>
      <c r="HQF95" s="11"/>
      <c r="HQG95" s="11"/>
      <c r="HQH95" s="11"/>
      <c r="HQI95" s="11"/>
      <c r="HQJ95" s="11"/>
      <c r="HQK95" s="11"/>
      <c r="HQL95" s="11"/>
      <c r="HQM95" s="11"/>
      <c r="HQN95" s="11"/>
      <c r="HQO95" s="11"/>
      <c r="HQP95" s="11"/>
      <c r="HQQ95" s="11"/>
      <c r="HQR95" s="11"/>
      <c r="HQS95" s="11"/>
      <c r="HQT95" s="11"/>
      <c r="HQU95" s="11"/>
      <c r="HQV95" s="11"/>
      <c r="HQW95" s="11"/>
      <c r="HQX95" s="11"/>
      <c r="HQY95" s="11"/>
      <c r="HQZ95" s="11"/>
      <c r="HRA95" s="11"/>
      <c r="HRB95" s="11"/>
      <c r="HRC95" s="11"/>
      <c r="HRD95" s="11"/>
      <c r="HRE95" s="11"/>
      <c r="HRF95" s="11"/>
      <c r="HRG95" s="11"/>
      <c r="HRH95" s="11"/>
      <c r="HRI95" s="11"/>
      <c r="HRJ95" s="11"/>
      <c r="HRK95" s="11"/>
      <c r="HRL95" s="11"/>
      <c r="HRM95" s="11"/>
      <c r="HRN95" s="11"/>
      <c r="HRO95" s="11"/>
      <c r="HRP95" s="11"/>
      <c r="HRQ95" s="11"/>
      <c r="HRR95" s="11"/>
      <c r="HRS95" s="11"/>
      <c r="HRT95" s="11"/>
      <c r="HRU95" s="11"/>
      <c r="HRV95" s="11"/>
      <c r="HRW95" s="11"/>
      <c r="HRX95" s="11"/>
      <c r="HRY95" s="11"/>
      <c r="HRZ95" s="11"/>
      <c r="HSA95" s="11"/>
      <c r="HSB95" s="11"/>
      <c r="HSC95" s="11"/>
      <c r="HSD95" s="11"/>
      <c r="HSE95" s="11"/>
      <c r="HSF95" s="11"/>
      <c r="HSG95" s="11"/>
      <c r="HSH95" s="11"/>
      <c r="HSI95" s="11"/>
      <c r="HSJ95" s="11"/>
      <c r="HSK95" s="11"/>
      <c r="HSL95" s="11"/>
      <c r="HSM95" s="11"/>
      <c r="HSN95" s="11"/>
      <c r="HSO95" s="11"/>
      <c r="HSP95" s="11"/>
      <c r="HSQ95" s="11"/>
      <c r="HSR95" s="11"/>
      <c r="HSS95" s="11"/>
      <c r="HST95" s="11"/>
      <c r="HSU95" s="11"/>
      <c r="HSV95" s="11"/>
      <c r="HSW95" s="11"/>
      <c r="HSX95" s="11"/>
      <c r="HSY95" s="11"/>
      <c r="HSZ95" s="11"/>
      <c r="HTA95" s="11"/>
      <c r="HTB95" s="11"/>
      <c r="HTC95" s="11"/>
      <c r="HTD95" s="11"/>
      <c r="HTE95" s="11"/>
      <c r="HTF95" s="11"/>
      <c r="HTG95" s="11"/>
      <c r="HTH95" s="11"/>
      <c r="HTI95" s="11"/>
      <c r="HTJ95" s="11"/>
      <c r="HTK95" s="11"/>
      <c r="HTL95" s="11"/>
      <c r="HTM95" s="11"/>
      <c r="HTN95" s="11"/>
      <c r="HTO95" s="11"/>
      <c r="HTP95" s="11"/>
      <c r="HTQ95" s="11"/>
      <c r="HTR95" s="11"/>
      <c r="HTS95" s="11"/>
      <c r="HTT95" s="11"/>
      <c r="HTU95" s="11"/>
      <c r="HTV95" s="11"/>
      <c r="HTW95" s="11"/>
      <c r="HTX95" s="11"/>
      <c r="HTY95" s="11"/>
      <c r="HTZ95" s="11"/>
      <c r="HUA95" s="11"/>
      <c r="HUB95" s="11"/>
      <c r="HUC95" s="11"/>
      <c r="HUD95" s="11"/>
      <c r="HUE95" s="11"/>
      <c r="HUF95" s="11"/>
      <c r="HUG95" s="11"/>
      <c r="HUH95" s="11"/>
      <c r="HUI95" s="11"/>
      <c r="HUJ95" s="11"/>
      <c r="HUK95" s="11"/>
      <c r="HUL95" s="11"/>
      <c r="HUM95" s="11"/>
      <c r="HUN95" s="11"/>
      <c r="HUO95" s="11"/>
      <c r="HUP95" s="11"/>
      <c r="HUQ95" s="11"/>
      <c r="HUR95" s="11"/>
      <c r="HUS95" s="11"/>
      <c r="HUT95" s="11"/>
      <c r="HUU95" s="11"/>
      <c r="HUV95" s="11"/>
      <c r="HUW95" s="11"/>
      <c r="HUX95" s="11"/>
      <c r="HUY95" s="11"/>
      <c r="HUZ95" s="11"/>
      <c r="HVA95" s="11"/>
      <c r="HVB95" s="11"/>
      <c r="HVC95" s="11"/>
      <c r="HVD95" s="11"/>
      <c r="HVE95" s="11"/>
      <c r="HVF95" s="11"/>
      <c r="HVG95" s="11"/>
      <c r="HVH95" s="11"/>
      <c r="HVI95" s="11"/>
      <c r="HVJ95" s="11"/>
      <c r="HVK95" s="11"/>
      <c r="HVL95" s="11"/>
      <c r="HVM95" s="11"/>
      <c r="HVN95" s="11"/>
      <c r="HVO95" s="11"/>
      <c r="HVP95" s="11"/>
      <c r="HVQ95" s="11"/>
      <c r="HVR95" s="11"/>
      <c r="HVS95" s="11"/>
      <c r="HVT95" s="11"/>
      <c r="HVU95" s="11"/>
      <c r="HVV95" s="11"/>
      <c r="HVW95" s="11"/>
      <c r="HVX95" s="11"/>
      <c r="HVY95" s="11"/>
      <c r="HVZ95" s="11"/>
      <c r="HWA95" s="11"/>
      <c r="HWB95" s="11"/>
      <c r="HWC95" s="11"/>
      <c r="HWD95" s="11"/>
      <c r="HWE95" s="11"/>
      <c r="HWF95" s="11"/>
      <c r="HWG95" s="11"/>
      <c r="HWH95" s="11"/>
      <c r="HWI95" s="11"/>
      <c r="HWJ95" s="11"/>
      <c r="HWK95" s="11"/>
      <c r="HWL95" s="11"/>
      <c r="HWM95" s="11"/>
      <c r="HWN95" s="11"/>
      <c r="HWO95" s="11"/>
      <c r="HWP95" s="11"/>
      <c r="HWQ95" s="11"/>
      <c r="HWR95" s="11"/>
      <c r="HWS95" s="11"/>
      <c r="HWT95" s="11"/>
      <c r="HWU95" s="11"/>
      <c r="HWV95" s="11"/>
      <c r="HWW95" s="11"/>
      <c r="HWX95" s="11"/>
      <c r="HWY95" s="11"/>
      <c r="HWZ95" s="11"/>
      <c r="HXA95" s="11"/>
      <c r="HXB95" s="11"/>
      <c r="HXC95" s="11"/>
      <c r="HXD95" s="11"/>
      <c r="HXE95" s="11"/>
      <c r="HXF95" s="11"/>
      <c r="HXG95" s="11"/>
      <c r="HXH95" s="11"/>
      <c r="HXI95" s="11"/>
      <c r="HXJ95" s="11"/>
      <c r="HXK95" s="11"/>
      <c r="HXL95" s="11"/>
      <c r="HXM95" s="11"/>
      <c r="HXN95" s="11"/>
      <c r="HXO95" s="11"/>
      <c r="HXP95" s="11"/>
      <c r="HXQ95" s="11"/>
      <c r="HXR95" s="11"/>
      <c r="HXS95" s="11"/>
      <c r="HXT95" s="11"/>
      <c r="HXU95" s="11"/>
      <c r="HXV95" s="11"/>
      <c r="HXW95" s="11"/>
      <c r="HXX95" s="11"/>
      <c r="HXY95" s="11"/>
      <c r="HXZ95" s="11"/>
      <c r="HYA95" s="11"/>
      <c r="HYB95" s="11"/>
      <c r="HYC95" s="11"/>
      <c r="HYD95" s="11"/>
      <c r="HYE95" s="11"/>
      <c r="HYF95" s="11"/>
      <c r="HYG95" s="11"/>
      <c r="HYH95" s="11"/>
      <c r="HYI95" s="11"/>
      <c r="HYJ95" s="11"/>
      <c r="HYK95" s="11"/>
      <c r="HYL95" s="11"/>
      <c r="HYM95" s="11"/>
      <c r="HYN95" s="11"/>
      <c r="HYO95" s="11"/>
      <c r="HYP95" s="11"/>
      <c r="HYQ95" s="11"/>
      <c r="HYR95" s="11"/>
      <c r="HYS95" s="11"/>
      <c r="HYT95" s="11"/>
      <c r="HYU95" s="11"/>
      <c r="HYV95" s="11"/>
      <c r="HYW95" s="11"/>
      <c r="HYX95" s="11"/>
      <c r="HYY95" s="11"/>
      <c r="HYZ95" s="11"/>
      <c r="HZA95" s="11"/>
      <c r="HZB95" s="11"/>
      <c r="HZC95" s="11"/>
      <c r="HZD95" s="11"/>
      <c r="HZE95" s="11"/>
      <c r="HZF95" s="11"/>
      <c r="HZG95" s="11"/>
      <c r="HZH95" s="11"/>
      <c r="HZI95" s="11"/>
      <c r="HZJ95" s="11"/>
      <c r="HZK95" s="11"/>
      <c r="HZL95" s="11"/>
      <c r="HZM95" s="11"/>
      <c r="HZN95" s="11"/>
      <c r="HZO95" s="11"/>
      <c r="HZP95" s="11"/>
      <c r="HZQ95" s="11"/>
      <c r="HZR95" s="11"/>
      <c r="HZS95" s="11"/>
      <c r="HZT95" s="11"/>
      <c r="HZU95" s="11"/>
      <c r="HZV95" s="11"/>
      <c r="HZW95" s="11"/>
      <c r="HZX95" s="11"/>
      <c r="HZY95" s="11"/>
      <c r="HZZ95" s="11"/>
      <c r="IAA95" s="11"/>
      <c r="IAB95" s="11"/>
      <c r="IAC95" s="11"/>
      <c r="IAD95" s="11"/>
      <c r="IAE95" s="11"/>
      <c r="IAF95" s="11"/>
      <c r="IAG95" s="11"/>
      <c r="IAH95" s="11"/>
      <c r="IAI95" s="11"/>
      <c r="IAJ95" s="11"/>
      <c r="IAK95" s="11"/>
      <c r="IAL95" s="11"/>
      <c r="IAM95" s="11"/>
      <c r="IAN95" s="11"/>
      <c r="IAO95" s="11"/>
      <c r="IAP95" s="11"/>
      <c r="IAQ95" s="11"/>
      <c r="IAR95" s="11"/>
      <c r="IAS95" s="11"/>
      <c r="IAT95" s="11"/>
      <c r="IAU95" s="11"/>
      <c r="IAV95" s="11"/>
      <c r="IAW95" s="11"/>
      <c r="IAX95" s="11"/>
      <c r="IAY95" s="11"/>
      <c r="IAZ95" s="11"/>
      <c r="IBA95" s="11"/>
      <c r="IBB95" s="11"/>
      <c r="IBC95" s="11"/>
      <c r="IBD95" s="11"/>
      <c r="IBE95" s="11"/>
      <c r="IBF95" s="11"/>
      <c r="IBG95" s="11"/>
      <c r="IBH95" s="11"/>
      <c r="IBI95" s="11"/>
      <c r="IBJ95" s="11"/>
      <c r="IBK95" s="11"/>
      <c r="IBL95" s="11"/>
      <c r="IBM95" s="11"/>
      <c r="IBN95" s="11"/>
      <c r="IBO95" s="11"/>
      <c r="IBP95" s="11"/>
      <c r="IBQ95" s="11"/>
      <c r="IBR95" s="11"/>
      <c r="IBS95" s="11"/>
      <c r="IBT95" s="11"/>
      <c r="IBU95" s="11"/>
      <c r="IBV95" s="11"/>
      <c r="IBW95" s="11"/>
      <c r="IBX95" s="11"/>
      <c r="IBY95" s="11"/>
      <c r="IBZ95" s="11"/>
      <c r="ICA95" s="11"/>
      <c r="ICB95" s="11"/>
      <c r="ICC95" s="11"/>
      <c r="ICD95" s="11"/>
      <c r="ICE95" s="11"/>
      <c r="ICF95" s="11"/>
      <c r="ICG95" s="11"/>
      <c r="ICH95" s="11"/>
      <c r="ICI95" s="11"/>
      <c r="ICJ95" s="11"/>
      <c r="ICK95" s="11"/>
      <c r="ICL95" s="11"/>
      <c r="ICM95" s="11"/>
      <c r="ICN95" s="11"/>
      <c r="ICO95" s="11"/>
      <c r="ICP95" s="11"/>
      <c r="ICQ95" s="11"/>
      <c r="ICR95" s="11"/>
      <c r="ICS95" s="11"/>
      <c r="ICT95" s="11"/>
      <c r="ICU95" s="11"/>
      <c r="ICV95" s="11"/>
      <c r="ICW95" s="11"/>
      <c r="ICX95" s="11"/>
      <c r="ICY95" s="11"/>
      <c r="ICZ95" s="11"/>
      <c r="IDA95" s="11"/>
      <c r="IDB95" s="11"/>
      <c r="IDC95" s="11"/>
      <c r="IDD95" s="11"/>
      <c r="IDE95" s="11"/>
      <c r="IDF95" s="11"/>
      <c r="IDG95" s="11"/>
      <c r="IDH95" s="11"/>
      <c r="IDI95" s="11"/>
      <c r="IDJ95" s="11"/>
      <c r="IDK95" s="11"/>
      <c r="IDL95" s="11"/>
      <c r="IDM95" s="11"/>
      <c r="IDN95" s="11"/>
      <c r="IDO95" s="11"/>
      <c r="IDP95" s="11"/>
      <c r="IDQ95" s="11"/>
      <c r="IDR95" s="11"/>
      <c r="IDS95" s="11"/>
      <c r="IDT95" s="11"/>
      <c r="IDU95" s="11"/>
      <c r="IDV95" s="11"/>
      <c r="IDW95" s="11"/>
      <c r="IDX95" s="11"/>
      <c r="IDY95" s="11"/>
      <c r="IDZ95" s="11"/>
      <c r="IEA95" s="11"/>
      <c r="IEB95" s="11"/>
      <c r="IEC95" s="11"/>
      <c r="IED95" s="11"/>
      <c r="IEE95" s="11"/>
      <c r="IEF95" s="11"/>
      <c r="IEG95" s="11"/>
      <c r="IEH95" s="11"/>
      <c r="IEI95" s="11"/>
      <c r="IEJ95" s="11"/>
      <c r="IEK95" s="11"/>
      <c r="IEL95" s="11"/>
      <c r="IEM95" s="11"/>
      <c r="IEN95" s="11"/>
      <c r="IEO95" s="11"/>
      <c r="IEP95" s="11"/>
      <c r="IEQ95" s="11"/>
      <c r="IER95" s="11"/>
      <c r="IES95" s="11"/>
      <c r="IET95" s="11"/>
      <c r="IEU95" s="11"/>
      <c r="IEV95" s="11"/>
      <c r="IEW95" s="11"/>
      <c r="IEX95" s="11"/>
      <c r="IEY95" s="11"/>
      <c r="IEZ95" s="11"/>
      <c r="IFA95" s="11"/>
      <c r="IFB95" s="11"/>
      <c r="IFC95" s="11"/>
      <c r="IFD95" s="11"/>
      <c r="IFE95" s="11"/>
      <c r="IFF95" s="11"/>
      <c r="IFG95" s="11"/>
      <c r="IFH95" s="11"/>
      <c r="IFI95" s="11"/>
      <c r="IFJ95" s="11"/>
      <c r="IFK95" s="11"/>
      <c r="IFL95" s="11"/>
      <c r="IFM95" s="11"/>
      <c r="IFN95" s="11"/>
      <c r="IFO95" s="11"/>
      <c r="IFP95" s="11"/>
      <c r="IFQ95" s="11"/>
      <c r="IFR95" s="11"/>
      <c r="IFS95" s="11"/>
      <c r="IFT95" s="11"/>
      <c r="IFU95" s="11"/>
      <c r="IFV95" s="11"/>
      <c r="IFW95" s="11"/>
      <c r="IFX95" s="11"/>
      <c r="IFY95" s="11"/>
      <c r="IFZ95" s="11"/>
      <c r="IGA95" s="11"/>
      <c r="IGB95" s="11"/>
      <c r="IGC95" s="11"/>
      <c r="IGD95" s="11"/>
      <c r="IGE95" s="11"/>
      <c r="IGF95" s="11"/>
      <c r="IGG95" s="11"/>
      <c r="IGH95" s="11"/>
      <c r="IGI95" s="11"/>
      <c r="IGJ95" s="11"/>
      <c r="IGK95" s="11"/>
      <c r="IGL95" s="11"/>
      <c r="IGM95" s="11"/>
      <c r="IGN95" s="11"/>
      <c r="IGO95" s="11"/>
      <c r="IGP95" s="11"/>
      <c r="IGQ95" s="11"/>
      <c r="IGR95" s="11"/>
      <c r="IGS95" s="11"/>
      <c r="IGT95" s="11"/>
      <c r="IGU95" s="11"/>
      <c r="IGV95" s="11"/>
      <c r="IGW95" s="11"/>
      <c r="IGX95" s="11"/>
      <c r="IGY95" s="11"/>
      <c r="IGZ95" s="11"/>
      <c r="IHA95" s="11"/>
      <c r="IHB95" s="11"/>
      <c r="IHC95" s="11"/>
      <c r="IHD95" s="11"/>
      <c r="IHE95" s="11"/>
      <c r="IHF95" s="11"/>
      <c r="IHG95" s="11"/>
      <c r="IHH95" s="11"/>
      <c r="IHI95" s="11"/>
      <c r="IHJ95" s="11"/>
      <c r="IHK95" s="11"/>
      <c r="IHL95" s="11"/>
      <c r="IHM95" s="11"/>
      <c r="IHN95" s="11"/>
      <c r="IHO95" s="11"/>
      <c r="IHP95" s="11"/>
      <c r="IHQ95" s="11"/>
      <c r="IHR95" s="11"/>
      <c r="IHS95" s="11"/>
      <c r="IHT95" s="11"/>
      <c r="IHU95" s="11"/>
      <c r="IHV95" s="11"/>
      <c r="IHW95" s="11"/>
      <c r="IHX95" s="11"/>
      <c r="IHY95" s="11"/>
      <c r="IHZ95" s="11"/>
      <c r="IIA95" s="11"/>
      <c r="IIB95" s="11"/>
      <c r="IIC95" s="11"/>
      <c r="IID95" s="11"/>
      <c r="IIE95" s="11"/>
      <c r="IIF95" s="11"/>
      <c r="IIG95" s="11"/>
      <c r="IIH95" s="11"/>
      <c r="III95" s="11"/>
      <c r="IIJ95" s="11"/>
      <c r="IIK95" s="11"/>
      <c r="IIL95" s="11"/>
      <c r="IIM95" s="11"/>
      <c r="IIN95" s="11"/>
      <c r="IIO95" s="11"/>
      <c r="IIP95" s="11"/>
      <c r="IIQ95" s="11"/>
      <c r="IIR95" s="11"/>
      <c r="IIS95" s="11"/>
      <c r="IIT95" s="11"/>
      <c r="IIU95" s="11"/>
      <c r="IIV95" s="11"/>
      <c r="IIW95" s="11"/>
      <c r="IIX95" s="11"/>
      <c r="IIY95" s="11"/>
      <c r="IIZ95" s="11"/>
      <c r="IJA95" s="11"/>
      <c r="IJB95" s="11"/>
      <c r="IJC95" s="11"/>
      <c r="IJD95" s="11"/>
      <c r="IJE95" s="11"/>
      <c r="IJF95" s="11"/>
      <c r="IJG95" s="11"/>
      <c r="IJH95" s="11"/>
      <c r="IJI95" s="11"/>
      <c r="IJJ95" s="11"/>
      <c r="IJK95" s="11"/>
      <c r="IJL95" s="11"/>
      <c r="IJM95" s="11"/>
      <c r="IJN95" s="11"/>
      <c r="IJO95" s="11"/>
      <c r="IJP95" s="11"/>
      <c r="IJQ95" s="11"/>
      <c r="IJR95" s="11"/>
      <c r="IJS95" s="11"/>
      <c r="IJT95" s="11"/>
      <c r="IJU95" s="11"/>
      <c r="IJV95" s="11"/>
      <c r="IJW95" s="11"/>
      <c r="IJX95" s="11"/>
      <c r="IJY95" s="11"/>
      <c r="IJZ95" s="11"/>
      <c r="IKA95" s="11"/>
      <c r="IKB95" s="11"/>
      <c r="IKC95" s="11"/>
      <c r="IKD95" s="11"/>
      <c r="IKE95" s="11"/>
      <c r="IKF95" s="11"/>
      <c r="IKG95" s="11"/>
      <c r="IKH95" s="11"/>
      <c r="IKI95" s="11"/>
      <c r="IKJ95" s="11"/>
      <c r="IKK95" s="11"/>
      <c r="IKL95" s="11"/>
      <c r="IKM95" s="11"/>
      <c r="IKN95" s="11"/>
      <c r="IKO95" s="11"/>
      <c r="IKP95" s="11"/>
      <c r="IKQ95" s="11"/>
      <c r="IKR95" s="11"/>
      <c r="IKS95" s="11"/>
      <c r="IKT95" s="11"/>
      <c r="IKU95" s="11"/>
      <c r="IKV95" s="11"/>
      <c r="IKW95" s="11"/>
      <c r="IKX95" s="11"/>
      <c r="IKY95" s="11"/>
      <c r="IKZ95" s="11"/>
      <c r="ILA95" s="11"/>
      <c r="ILB95" s="11"/>
      <c r="ILC95" s="11"/>
      <c r="ILD95" s="11"/>
      <c r="ILE95" s="11"/>
      <c r="ILF95" s="11"/>
      <c r="ILG95" s="11"/>
      <c r="ILH95" s="11"/>
      <c r="ILI95" s="11"/>
      <c r="ILJ95" s="11"/>
      <c r="ILK95" s="11"/>
      <c r="ILL95" s="11"/>
      <c r="ILM95" s="11"/>
      <c r="ILN95" s="11"/>
      <c r="ILO95" s="11"/>
      <c r="ILP95" s="11"/>
      <c r="ILQ95" s="11"/>
      <c r="ILR95" s="11"/>
      <c r="ILS95" s="11"/>
      <c r="ILT95" s="11"/>
      <c r="ILU95" s="11"/>
      <c r="ILV95" s="11"/>
      <c r="ILW95" s="11"/>
      <c r="ILX95" s="11"/>
      <c r="ILY95" s="11"/>
      <c r="ILZ95" s="11"/>
      <c r="IMA95" s="11"/>
      <c r="IMB95" s="11"/>
      <c r="IMC95" s="11"/>
      <c r="IMD95" s="11"/>
      <c r="IME95" s="11"/>
      <c r="IMF95" s="11"/>
      <c r="IMG95" s="11"/>
      <c r="IMH95" s="11"/>
      <c r="IMI95" s="11"/>
      <c r="IMJ95" s="11"/>
      <c r="IMK95" s="11"/>
      <c r="IML95" s="11"/>
      <c r="IMM95" s="11"/>
      <c r="IMN95" s="11"/>
      <c r="IMO95" s="11"/>
      <c r="IMP95" s="11"/>
      <c r="IMQ95" s="11"/>
      <c r="IMR95" s="11"/>
      <c r="IMS95" s="11"/>
      <c r="IMT95" s="11"/>
      <c r="IMU95" s="11"/>
      <c r="IMV95" s="11"/>
      <c r="IMW95" s="11"/>
      <c r="IMX95" s="11"/>
      <c r="IMY95" s="11"/>
      <c r="IMZ95" s="11"/>
      <c r="INA95" s="11"/>
      <c r="INB95" s="11"/>
      <c r="INC95" s="11"/>
      <c r="IND95" s="11"/>
      <c r="INE95" s="11"/>
      <c r="INF95" s="11"/>
      <c r="ING95" s="11"/>
      <c r="INH95" s="11"/>
      <c r="INI95" s="11"/>
      <c r="INJ95" s="11"/>
      <c r="INK95" s="11"/>
      <c r="INL95" s="11"/>
      <c r="INM95" s="11"/>
      <c r="INN95" s="11"/>
      <c r="INO95" s="11"/>
      <c r="INP95" s="11"/>
      <c r="INQ95" s="11"/>
      <c r="INR95" s="11"/>
      <c r="INS95" s="11"/>
      <c r="INT95" s="11"/>
      <c r="INU95" s="11"/>
      <c r="INV95" s="11"/>
      <c r="INW95" s="11"/>
      <c r="INX95" s="11"/>
      <c r="INY95" s="11"/>
      <c r="INZ95" s="11"/>
      <c r="IOA95" s="11"/>
      <c r="IOB95" s="11"/>
      <c r="IOC95" s="11"/>
      <c r="IOD95" s="11"/>
      <c r="IOE95" s="11"/>
      <c r="IOF95" s="11"/>
      <c r="IOG95" s="11"/>
      <c r="IOH95" s="11"/>
      <c r="IOI95" s="11"/>
      <c r="IOJ95" s="11"/>
      <c r="IOK95" s="11"/>
      <c r="IOL95" s="11"/>
      <c r="IOM95" s="11"/>
      <c r="ION95" s="11"/>
      <c r="IOO95" s="11"/>
      <c r="IOP95" s="11"/>
      <c r="IOQ95" s="11"/>
      <c r="IOR95" s="11"/>
      <c r="IOS95" s="11"/>
      <c r="IOT95" s="11"/>
      <c r="IOU95" s="11"/>
      <c r="IOV95" s="11"/>
      <c r="IOW95" s="11"/>
      <c r="IOX95" s="11"/>
      <c r="IOY95" s="11"/>
      <c r="IOZ95" s="11"/>
      <c r="IPA95" s="11"/>
      <c r="IPB95" s="11"/>
      <c r="IPC95" s="11"/>
      <c r="IPD95" s="11"/>
      <c r="IPE95" s="11"/>
      <c r="IPF95" s="11"/>
      <c r="IPG95" s="11"/>
      <c r="IPH95" s="11"/>
      <c r="IPI95" s="11"/>
      <c r="IPJ95" s="11"/>
      <c r="IPK95" s="11"/>
      <c r="IPL95" s="11"/>
      <c r="IPM95" s="11"/>
      <c r="IPN95" s="11"/>
      <c r="IPO95" s="11"/>
      <c r="IPP95" s="11"/>
      <c r="IPQ95" s="11"/>
      <c r="IPR95" s="11"/>
      <c r="IPS95" s="11"/>
      <c r="IPT95" s="11"/>
      <c r="IPU95" s="11"/>
      <c r="IPV95" s="11"/>
      <c r="IPW95" s="11"/>
      <c r="IPX95" s="11"/>
      <c r="IPY95" s="11"/>
      <c r="IPZ95" s="11"/>
      <c r="IQA95" s="11"/>
      <c r="IQB95" s="11"/>
      <c r="IQC95" s="11"/>
      <c r="IQD95" s="11"/>
      <c r="IQE95" s="11"/>
      <c r="IQF95" s="11"/>
      <c r="IQG95" s="11"/>
      <c r="IQH95" s="11"/>
      <c r="IQI95" s="11"/>
      <c r="IQJ95" s="11"/>
      <c r="IQK95" s="11"/>
      <c r="IQL95" s="11"/>
      <c r="IQM95" s="11"/>
      <c r="IQN95" s="11"/>
      <c r="IQO95" s="11"/>
      <c r="IQP95" s="11"/>
      <c r="IQQ95" s="11"/>
      <c r="IQR95" s="11"/>
      <c r="IQS95" s="11"/>
      <c r="IQT95" s="11"/>
      <c r="IQU95" s="11"/>
      <c r="IQV95" s="11"/>
      <c r="IQW95" s="11"/>
      <c r="IQX95" s="11"/>
      <c r="IQY95" s="11"/>
      <c r="IQZ95" s="11"/>
      <c r="IRA95" s="11"/>
      <c r="IRB95" s="11"/>
      <c r="IRC95" s="11"/>
      <c r="IRD95" s="11"/>
      <c r="IRE95" s="11"/>
      <c r="IRF95" s="11"/>
      <c r="IRG95" s="11"/>
      <c r="IRH95" s="11"/>
      <c r="IRI95" s="11"/>
      <c r="IRJ95" s="11"/>
      <c r="IRK95" s="11"/>
      <c r="IRL95" s="11"/>
      <c r="IRM95" s="11"/>
      <c r="IRN95" s="11"/>
      <c r="IRO95" s="11"/>
      <c r="IRP95" s="11"/>
      <c r="IRQ95" s="11"/>
      <c r="IRR95" s="11"/>
      <c r="IRS95" s="11"/>
      <c r="IRT95" s="11"/>
      <c r="IRU95" s="11"/>
      <c r="IRV95" s="11"/>
      <c r="IRW95" s="11"/>
      <c r="IRX95" s="11"/>
      <c r="IRY95" s="11"/>
      <c r="IRZ95" s="11"/>
      <c r="ISA95" s="11"/>
      <c r="ISB95" s="11"/>
      <c r="ISC95" s="11"/>
      <c r="ISD95" s="11"/>
      <c r="ISE95" s="11"/>
      <c r="ISF95" s="11"/>
      <c r="ISG95" s="11"/>
      <c r="ISH95" s="11"/>
      <c r="ISI95" s="11"/>
      <c r="ISJ95" s="11"/>
      <c r="ISK95" s="11"/>
      <c r="ISL95" s="11"/>
      <c r="ISM95" s="11"/>
      <c r="ISN95" s="11"/>
      <c r="ISO95" s="11"/>
      <c r="ISP95" s="11"/>
      <c r="ISQ95" s="11"/>
      <c r="ISR95" s="11"/>
      <c r="ISS95" s="11"/>
      <c r="IST95" s="11"/>
      <c r="ISU95" s="11"/>
      <c r="ISV95" s="11"/>
      <c r="ISW95" s="11"/>
      <c r="ISX95" s="11"/>
      <c r="ISY95" s="11"/>
      <c r="ISZ95" s="11"/>
      <c r="ITA95" s="11"/>
      <c r="ITB95" s="11"/>
      <c r="ITC95" s="11"/>
      <c r="ITD95" s="11"/>
      <c r="ITE95" s="11"/>
      <c r="ITF95" s="11"/>
      <c r="ITG95" s="11"/>
      <c r="ITH95" s="11"/>
      <c r="ITI95" s="11"/>
      <c r="ITJ95" s="11"/>
      <c r="ITK95" s="11"/>
      <c r="ITL95" s="11"/>
      <c r="ITM95" s="11"/>
      <c r="ITN95" s="11"/>
      <c r="ITO95" s="11"/>
      <c r="ITP95" s="11"/>
      <c r="ITQ95" s="11"/>
      <c r="ITR95" s="11"/>
      <c r="ITS95" s="11"/>
      <c r="ITT95" s="11"/>
      <c r="ITU95" s="11"/>
      <c r="ITV95" s="11"/>
      <c r="ITW95" s="11"/>
      <c r="ITX95" s="11"/>
      <c r="ITY95" s="11"/>
      <c r="ITZ95" s="11"/>
      <c r="IUA95" s="11"/>
      <c r="IUB95" s="11"/>
      <c r="IUC95" s="11"/>
      <c r="IUD95" s="11"/>
      <c r="IUE95" s="11"/>
      <c r="IUF95" s="11"/>
      <c r="IUG95" s="11"/>
      <c r="IUH95" s="11"/>
      <c r="IUI95" s="11"/>
      <c r="IUJ95" s="11"/>
      <c r="IUK95" s="11"/>
      <c r="IUL95" s="11"/>
      <c r="IUM95" s="11"/>
      <c r="IUN95" s="11"/>
      <c r="IUO95" s="11"/>
      <c r="IUP95" s="11"/>
      <c r="IUQ95" s="11"/>
      <c r="IUR95" s="11"/>
      <c r="IUS95" s="11"/>
      <c r="IUT95" s="11"/>
      <c r="IUU95" s="11"/>
      <c r="IUV95" s="11"/>
      <c r="IUW95" s="11"/>
      <c r="IUX95" s="11"/>
      <c r="IUY95" s="11"/>
      <c r="IUZ95" s="11"/>
      <c r="IVA95" s="11"/>
      <c r="IVB95" s="11"/>
      <c r="IVC95" s="11"/>
      <c r="IVD95" s="11"/>
      <c r="IVE95" s="11"/>
      <c r="IVF95" s="11"/>
      <c r="IVG95" s="11"/>
      <c r="IVH95" s="11"/>
      <c r="IVI95" s="11"/>
      <c r="IVJ95" s="11"/>
      <c r="IVK95" s="11"/>
      <c r="IVL95" s="11"/>
      <c r="IVM95" s="11"/>
      <c r="IVN95" s="11"/>
      <c r="IVO95" s="11"/>
      <c r="IVP95" s="11"/>
      <c r="IVQ95" s="11"/>
      <c r="IVR95" s="11"/>
      <c r="IVS95" s="11"/>
      <c r="IVT95" s="11"/>
      <c r="IVU95" s="11"/>
      <c r="IVV95" s="11"/>
      <c r="IVW95" s="11"/>
      <c r="IVX95" s="11"/>
      <c r="IVY95" s="11"/>
      <c r="IVZ95" s="11"/>
      <c r="IWA95" s="11"/>
      <c r="IWB95" s="11"/>
      <c r="IWC95" s="11"/>
      <c r="IWD95" s="11"/>
      <c r="IWE95" s="11"/>
      <c r="IWF95" s="11"/>
      <c r="IWG95" s="11"/>
      <c r="IWH95" s="11"/>
      <c r="IWI95" s="11"/>
      <c r="IWJ95" s="11"/>
      <c r="IWK95" s="11"/>
      <c r="IWL95" s="11"/>
      <c r="IWM95" s="11"/>
      <c r="IWN95" s="11"/>
      <c r="IWO95" s="11"/>
      <c r="IWP95" s="11"/>
      <c r="IWQ95" s="11"/>
      <c r="IWR95" s="11"/>
      <c r="IWS95" s="11"/>
      <c r="IWT95" s="11"/>
      <c r="IWU95" s="11"/>
      <c r="IWV95" s="11"/>
      <c r="IWW95" s="11"/>
      <c r="IWX95" s="11"/>
      <c r="IWY95" s="11"/>
      <c r="IWZ95" s="11"/>
      <c r="IXA95" s="11"/>
      <c r="IXB95" s="11"/>
      <c r="IXC95" s="11"/>
      <c r="IXD95" s="11"/>
      <c r="IXE95" s="11"/>
      <c r="IXF95" s="11"/>
      <c r="IXG95" s="11"/>
      <c r="IXH95" s="11"/>
      <c r="IXI95" s="11"/>
      <c r="IXJ95" s="11"/>
      <c r="IXK95" s="11"/>
      <c r="IXL95" s="11"/>
      <c r="IXM95" s="11"/>
      <c r="IXN95" s="11"/>
      <c r="IXO95" s="11"/>
      <c r="IXP95" s="11"/>
      <c r="IXQ95" s="11"/>
      <c r="IXR95" s="11"/>
      <c r="IXS95" s="11"/>
      <c r="IXT95" s="11"/>
      <c r="IXU95" s="11"/>
      <c r="IXV95" s="11"/>
      <c r="IXW95" s="11"/>
      <c r="IXX95" s="11"/>
      <c r="IXY95" s="11"/>
      <c r="IXZ95" s="11"/>
      <c r="IYA95" s="11"/>
      <c r="IYB95" s="11"/>
      <c r="IYC95" s="11"/>
      <c r="IYD95" s="11"/>
      <c r="IYE95" s="11"/>
      <c r="IYF95" s="11"/>
      <c r="IYG95" s="11"/>
      <c r="IYH95" s="11"/>
      <c r="IYI95" s="11"/>
      <c r="IYJ95" s="11"/>
      <c r="IYK95" s="11"/>
      <c r="IYL95" s="11"/>
      <c r="IYM95" s="11"/>
      <c r="IYN95" s="11"/>
      <c r="IYO95" s="11"/>
      <c r="IYP95" s="11"/>
      <c r="IYQ95" s="11"/>
      <c r="IYR95" s="11"/>
      <c r="IYS95" s="11"/>
      <c r="IYT95" s="11"/>
      <c r="IYU95" s="11"/>
      <c r="IYV95" s="11"/>
      <c r="IYW95" s="11"/>
      <c r="IYX95" s="11"/>
      <c r="IYY95" s="11"/>
      <c r="IYZ95" s="11"/>
      <c r="IZA95" s="11"/>
      <c r="IZB95" s="11"/>
      <c r="IZC95" s="11"/>
      <c r="IZD95" s="11"/>
      <c r="IZE95" s="11"/>
      <c r="IZF95" s="11"/>
      <c r="IZG95" s="11"/>
      <c r="IZH95" s="11"/>
      <c r="IZI95" s="11"/>
      <c r="IZJ95" s="11"/>
      <c r="IZK95" s="11"/>
      <c r="IZL95" s="11"/>
      <c r="IZM95" s="11"/>
      <c r="IZN95" s="11"/>
      <c r="IZO95" s="11"/>
      <c r="IZP95" s="11"/>
      <c r="IZQ95" s="11"/>
      <c r="IZR95" s="11"/>
      <c r="IZS95" s="11"/>
      <c r="IZT95" s="11"/>
      <c r="IZU95" s="11"/>
      <c r="IZV95" s="11"/>
      <c r="IZW95" s="11"/>
      <c r="IZX95" s="11"/>
      <c r="IZY95" s="11"/>
      <c r="IZZ95" s="11"/>
      <c r="JAA95" s="11"/>
      <c r="JAB95" s="11"/>
      <c r="JAC95" s="11"/>
      <c r="JAD95" s="11"/>
      <c r="JAE95" s="11"/>
      <c r="JAF95" s="11"/>
      <c r="JAG95" s="11"/>
      <c r="JAH95" s="11"/>
      <c r="JAI95" s="11"/>
      <c r="JAJ95" s="11"/>
      <c r="JAK95" s="11"/>
      <c r="JAL95" s="11"/>
      <c r="JAM95" s="11"/>
      <c r="JAN95" s="11"/>
      <c r="JAO95" s="11"/>
      <c r="JAP95" s="11"/>
      <c r="JAQ95" s="11"/>
      <c r="JAR95" s="11"/>
      <c r="JAS95" s="11"/>
      <c r="JAT95" s="11"/>
      <c r="JAU95" s="11"/>
      <c r="JAV95" s="11"/>
      <c r="JAW95" s="11"/>
      <c r="JAX95" s="11"/>
      <c r="JAY95" s="11"/>
      <c r="JAZ95" s="11"/>
      <c r="JBA95" s="11"/>
      <c r="JBB95" s="11"/>
      <c r="JBC95" s="11"/>
      <c r="JBD95" s="11"/>
      <c r="JBE95" s="11"/>
      <c r="JBF95" s="11"/>
      <c r="JBG95" s="11"/>
      <c r="JBH95" s="11"/>
      <c r="JBI95" s="11"/>
      <c r="JBJ95" s="11"/>
      <c r="JBK95" s="11"/>
      <c r="JBL95" s="11"/>
      <c r="JBM95" s="11"/>
      <c r="JBN95" s="11"/>
      <c r="JBO95" s="11"/>
      <c r="JBP95" s="11"/>
      <c r="JBQ95" s="11"/>
      <c r="JBR95" s="11"/>
      <c r="JBS95" s="11"/>
      <c r="JBT95" s="11"/>
      <c r="JBU95" s="11"/>
      <c r="JBV95" s="11"/>
      <c r="JBW95" s="11"/>
      <c r="JBX95" s="11"/>
      <c r="JBY95" s="11"/>
      <c r="JBZ95" s="11"/>
      <c r="JCA95" s="11"/>
      <c r="JCB95" s="11"/>
      <c r="JCC95" s="11"/>
      <c r="JCD95" s="11"/>
      <c r="JCE95" s="11"/>
      <c r="JCF95" s="11"/>
      <c r="JCG95" s="11"/>
      <c r="JCH95" s="11"/>
      <c r="JCI95" s="11"/>
      <c r="JCJ95" s="11"/>
      <c r="JCK95" s="11"/>
      <c r="JCL95" s="11"/>
      <c r="JCM95" s="11"/>
      <c r="JCN95" s="11"/>
      <c r="JCO95" s="11"/>
      <c r="JCP95" s="11"/>
      <c r="JCQ95" s="11"/>
      <c r="JCR95" s="11"/>
      <c r="JCS95" s="11"/>
      <c r="JCT95" s="11"/>
      <c r="JCU95" s="11"/>
      <c r="JCV95" s="11"/>
      <c r="JCW95" s="11"/>
      <c r="JCX95" s="11"/>
      <c r="JCY95" s="11"/>
      <c r="JCZ95" s="11"/>
      <c r="JDA95" s="11"/>
      <c r="JDB95" s="11"/>
      <c r="JDC95" s="11"/>
      <c r="JDD95" s="11"/>
      <c r="JDE95" s="11"/>
      <c r="JDF95" s="11"/>
      <c r="JDG95" s="11"/>
      <c r="JDH95" s="11"/>
      <c r="JDI95" s="11"/>
      <c r="JDJ95" s="11"/>
      <c r="JDK95" s="11"/>
      <c r="JDL95" s="11"/>
      <c r="JDM95" s="11"/>
      <c r="JDN95" s="11"/>
      <c r="JDO95" s="11"/>
      <c r="JDP95" s="11"/>
      <c r="JDQ95" s="11"/>
      <c r="JDR95" s="11"/>
      <c r="JDS95" s="11"/>
      <c r="JDT95" s="11"/>
      <c r="JDU95" s="11"/>
      <c r="JDV95" s="11"/>
      <c r="JDW95" s="11"/>
      <c r="JDX95" s="11"/>
      <c r="JDY95" s="11"/>
      <c r="JDZ95" s="11"/>
      <c r="JEA95" s="11"/>
      <c r="JEB95" s="11"/>
      <c r="JEC95" s="11"/>
      <c r="JED95" s="11"/>
      <c r="JEE95" s="11"/>
      <c r="JEF95" s="11"/>
      <c r="JEG95" s="11"/>
      <c r="JEH95" s="11"/>
      <c r="JEI95" s="11"/>
      <c r="JEJ95" s="11"/>
      <c r="JEK95" s="11"/>
      <c r="JEL95" s="11"/>
      <c r="JEM95" s="11"/>
      <c r="JEN95" s="11"/>
      <c r="JEO95" s="11"/>
      <c r="JEP95" s="11"/>
      <c r="JEQ95" s="11"/>
      <c r="JER95" s="11"/>
      <c r="JES95" s="11"/>
      <c r="JET95" s="11"/>
      <c r="JEU95" s="11"/>
      <c r="JEV95" s="11"/>
      <c r="JEW95" s="11"/>
      <c r="JEX95" s="11"/>
      <c r="JEY95" s="11"/>
      <c r="JEZ95" s="11"/>
      <c r="JFA95" s="11"/>
      <c r="JFB95" s="11"/>
      <c r="JFC95" s="11"/>
      <c r="JFD95" s="11"/>
      <c r="JFE95" s="11"/>
      <c r="JFF95" s="11"/>
      <c r="JFG95" s="11"/>
      <c r="JFH95" s="11"/>
      <c r="JFI95" s="11"/>
      <c r="JFJ95" s="11"/>
      <c r="JFK95" s="11"/>
      <c r="JFL95" s="11"/>
      <c r="JFM95" s="11"/>
      <c r="JFN95" s="11"/>
      <c r="JFO95" s="11"/>
      <c r="JFP95" s="11"/>
      <c r="JFQ95" s="11"/>
      <c r="JFR95" s="11"/>
      <c r="JFS95" s="11"/>
      <c r="JFT95" s="11"/>
      <c r="JFU95" s="11"/>
      <c r="JFV95" s="11"/>
      <c r="JFW95" s="11"/>
      <c r="JFX95" s="11"/>
      <c r="JFY95" s="11"/>
      <c r="JFZ95" s="11"/>
      <c r="JGA95" s="11"/>
      <c r="JGB95" s="11"/>
      <c r="JGC95" s="11"/>
      <c r="JGD95" s="11"/>
      <c r="JGE95" s="11"/>
      <c r="JGF95" s="11"/>
      <c r="JGG95" s="11"/>
      <c r="JGH95" s="11"/>
      <c r="JGI95" s="11"/>
      <c r="JGJ95" s="11"/>
      <c r="JGK95" s="11"/>
      <c r="JGL95" s="11"/>
      <c r="JGM95" s="11"/>
      <c r="JGN95" s="11"/>
      <c r="JGO95" s="11"/>
      <c r="JGP95" s="11"/>
      <c r="JGQ95" s="11"/>
      <c r="JGR95" s="11"/>
      <c r="JGS95" s="11"/>
      <c r="JGT95" s="11"/>
      <c r="JGU95" s="11"/>
      <c r="JGV95" s="11"/>
      <c r="JGW95" s="11"/>
      <c r="JGX95" s="11"/>
      <c r="JGY95" s="11"/>
      <c r="JGZ95" s="11"/>
      <c r="JHA95" s="11"/>
      <c r="JHB95" s="11"/>
      <c r="JHC95" s="11"/>
      <c r="JHD95" s="11"/>
      <c r="JHE95" s="11"/>
      <c r="JHF95" s="11"/>
      <c r="JHG95" s="11"/>
      <c r="JHH95" s="11"/>
      <c r="JHI95" s="11"/>
      <c r="JHJ95" s="11"/>
      <c r="JHK95" s="11"/>
      <c r="JHL95" s="11"/>
      <c r="JHM95" s="11"/>
      <c r="JHN95" s="11"/>
      <c r="JHO95" s="11"/>
      <c r="JHP95" s="11"/>
      <c r="JHQ95" s="11"/>
      <c r="JHR95" s="11"/>
      <c r="JHS95" s="11"/>
      <c r="JHT95" s="11"/>
      <c r="JHU95" s="11"/>
      <c r="JHV95" s="11"/>
      <c r="JHW95" s="11"/>
      <c r="JHX95" s="11"/>
      <c r="JHY95" s="11"/>
      <c r="JHZ95" s="11"/>
      <c r="JIA95" s="11"/>
      <c r="JIB95" s="11"/>
      <c r="JIC95" s="11"/>
      <c r="JID95" s="11"/>
      <c r="JIE95" s="11"/>
      <c r="JIF95" s="11"/>
      <c r="JIG95" s="11"/>
      <c r="JIH95" s="11"/>
      <c r="JII95" s="11"/>
      <c r="JIJ95" s="11"/>
      <c r="JIK95" s="11"/>
      <c r="JIL95" s="11"/>
      <c r="JIM95" s="11"/>
      <c r="JIN95" s="11"/>
      <c r="JIO95" s="11"/>
      <c r="JIP95" s="11"/>
      <c r="JIQ95" s="11"/>
      <c r="JIR95" s="11"/>
      <c r="JIS95" s="11"/>
      <c r="JIT95" s="11"/>
      <c r="JIU95" s="11"/>
      <c r="JIV95" s="11"/>
      <c r="JIW95" s="11"/>
      <c r="JIX95" s="11"/>
      <c r="JIY95" s="11"/>
      <c r="JIZ95" s="11"/>
      <c r="JJA95" s="11"/>
      <c r="JJB95" s="11"/>
      <c r="JJC95" s="11"/>
      <c r="JJD95" s="11"/>
      <c r="JJE95" s="11"/>
      <c r="JJF95" s="11"/>
      <c r="JJG95" s="11"/>
      <c r="JJH95" s="11"/>
      <c r="JJI95" s="11"/>
      <c r="JJJ95" s="11"/>
      <c r="JJK95" s="11"/>
      <c r="JJL95" s="11"/>
      <c r="JJM95" s="11"/>
      <c r="JJN95" s="11"/>
      <c r="JJO95" s="11"/>
      <c r="JJP95" s="11"/>
      <c r="JJQ95" s="11"/>
      <c r="JJR95" s="11"/>
      <c r="JJS95" s="11"/>
      <c r="JJT95" s="11"/>
      <c r="JJU95" s="11"/>
      <c r="JJV95" s="11"/>
      <c r="JJW95" s="11"/>
      <c r="JJX95" s="11"/>
      <c r="JJY95" s="11"/>
      <c r="JJZ95" s="11"/>
      <c r="JKA95" s="11"/>
      <c r="JKB95" s="11"/>
      <c r="JKC95" s="11"/>
      <c r="JKD95" s="11"/>
      <c r="JKE95" s="11"/>
      <c r="JKF95" s="11"/>
      <c r="JKG95" s="11"/>
      <c r="JKH95" s="11"/>
      <c r="JKI95" s="11"/>
      <c r="JKJ95" s="11"/>
      <c r="JKK95" s="11"/>
      <c r="JKL95" s="11"/>
      <c r="JKM95" s="11"/>
      <c r="JKN95" s="11"/>
      <c r="JKO95" s="11"/>
      <c r="JKP95" s="11"/>
      <c r="JKQ95" s="11"/>
      <c r="JKR95" s="11"/>
      <c r="JKS95" s="11"/>
      <c r="JKT95" s="11"/>
      <c r="JKU95" s="11"/>
      <c r="JKV95" s="11"/>
      <c r="JKW95" s="11"/>
      <c r="JKX95" s="11"/>
      <c r="JKY95" s="11"/>
      <c r="JKZ95" s="11"/>
      <c r="JLA95" s="11"/>
      <c r="JLB95" s="11"/>
      <c r="JLC95" s="11"/>
      <c r="JLD95" s="11"/>
      <c r="JLE95" s="11"/>
      <c r="JLF95" s="11"/>
      <c r="JLG95" s="11"/>
      <c r="JLH95" s="11"/>
      <c r="JLI95" s="11"/>
      <c r="JLJ95" s="11"/>
      <c r="JLK95" s="11"/>
      <c r="JLL95" s="11"/>
      <c r="JLM95" s="11"/>
      <c r="JLN95" s="11"/>
      <c r="JLO95" s="11"/>
      <c r="JLP95" s="11"/>
      <c r="JLQ95" s="11"/>
      <c r="JLR95" s="11"/>
      <c r="JLS95" s="11"/>
      <c r="JLT95" s="11"/>
      <c r="JLU95" s="11"/>
      <c r="JLV95" s="11"/>
      <c r="JLW95" s="11"/>
      <c r="JLX95" s="11"/>
      <c r="JLY95" s="11"/>
      <c r="JLZ95" s="11"/>
      <c r="JMA95" s="11"/>
      <c r="JMB95" s="11"/>
      <c r="JMC95" s="11"/>
      <c r="JMD95" s="11"/>
      <c r="JME95" s="11"/>
      <c r="JMF95" s="11"/>
      <c r="JMG95" s="11"/>
      <c r="JMH95" s="11"/>
      <c r="JMI95" s="11"/>
      <c r="JMJ95" s="11"/>
      <c r="JMK95" s="11"/>
      <c r="JML95" s="11"/>
      <c r="JMM95" s="11"/>
      <c r="JMN95" s="11"/>
      <c r="JMO95" s="11"/>
      <c r="JMP95" s="11"/>
      <c r="JMQ95" s="11"/>
      <c r="JMR95" s="11"/>
      <c r="JMS95" s="11"/>
      <c r="JMT95" s="11"/>
      <c r="JMU95" s="11"/>
      <c r="JMV95" s="11"/>
      <c r="JMW95" s="11"/>
      <c r="JMX95" s="11"/>
      <c r="JMY95" s="11"/>
      <c r="JMZ95" s="11"/>
      <c r="JNA95" s="11"/>
      <c r="JNB95" s="11"/>
      <c r="JNC95" s="11"/>
      <c r="JND95" s="11"/>
      <c r="JNE95" s="11"/>
      <c r="JNF95" s="11"/>
      <c r="JNG95" s="11"/>
      <c r="JNH95" s="11"/>
      <c r="JNI95" s="11"/>
      <c r="JNJ95" s="11"/>
      <c r="JNK95" s="11"/>
      <c r="JNL95" s="11"/>
      <c r="JNM95" s="11"/>
      <c r="JNN95" s="11"/>
      <c r="JNO95" s="11"/>
      <c r="JNP95" s="11"/>
      <c r="JNQ95" s="11"/>
      <c r="JNR95" s="11"/>
      <c r="JNS95" s="11"/>
      <c r="JNT95" s="11"/>
      <c r="JNU95" s="11"/>
      <c r="JNV95" s="11"/>
      <c r="JNW95" s="11"/>
      <c r="JNX95" s="11"/>
      <c r="JNY95" s="11"/>
      <c r="JNZ95" s="11"/>
      <c r="JOA95" s="11"/>
      <c r="JOB95" s="11"/>
      <c r="JOC95" s="11"/>
      <c r="JOD95" s="11"/>
      <c r="JOE95" s="11"/>
      <c r="JOF95" s="11"/>
      <c r="JOG95" s="11"/>
      <c r="JOH95" s="11"/>
      <c r="JOI95" s="11"/>
      <c r="JOJ95" s="11"/>
      <c r="JOK95" s="11"/>
      <c r="JOL95" s="11"/>
      <c r="JOM95" s="11"/>
      <c r="JON95" s="11"/>
      <c r="JOO95" s="11"/>
      <c r="JOP95" s="11"/>
      <c r="JOQ95" s="11"/>
      <c r="JOR95" s="11"/>
      <c r="JOS95" s="11"/>
      <c r="JOT95" s="11"/>
      <c r="JOU95" s="11"/>
      <c r="JOV95" s="11"/>
      <c r="JOW95" s="11"/>
      <c r="JOX95" s="11"/>
      <c r="JOY95" s="11"/>
      <c r="JOZ95" s="11"/>
      <c r="JPA95" s="11"/>
      <c r="JPB95" s="11"/>
      <c r="JPC95" s="11"/>
      <c r="JPD95" s="11"/>
      <c r="JPE95" s="11"/>
      <c r="JPF95" s="11"/>
      <c r="JPG95" s="11"/>
      <c r="JPH95" s="11"/>
      <c r="JPI95" s="11"/>
      <c r="JPJ95" s="11"/>
      <c r="JPK95" s="11"/>
      <c r="JPL95" s="11"/>
      <c r="JPM95" s="11"/>
      <c r="JPN95" s="11"/>
      <c r="JPO95" s="11"/>
      <c r="JPP95" s="11"/>
      <c r="JPQ95" s="11"/>
      <c r="JPR95" s="11"/>
      <c r="JPS95" s="11"/>
      <c r="JPT95" s="11"/>
      <c r="JPU95" s="11"/>
      <c r="JPV95" s="11"/>
      <c r="JPW95" s="11"/>
      <c r="JPX95" s="11"/>
      <c r="JPY95" s="11"/>
      <c r="JPZ95" s="11"/>
      <c r="JQA95" s="11"/>
      <c r="JQB95" s="11"/>
      <c r="JQC95" s="11"/>
      <c r="JQD95" s="11"/>
      <c r="JQE95" s="11"/>
      <c r="JQF95" s="11"/>
      <c r="JQG95" s="11"/>
      <c r="JQH95" s="11"/>
      <c r="JQI95" s="11"/>
      <c r="JQJ95" s="11"/>
      <c r="JQK95" s="11"/>
      <c r="JQL95" s="11"/>
      <c r="JQM95" s="11"/>
      <c r="JQN95" s="11"/>
      <c r="JQO95" s="11"/>
      <c r="JQP95" s="11"/>
      <c r="JQQ95" s="11"/>
      <c r="JQR95" s="11"/>
      <c r="JQS95" s="11"/>
      <c r="JQT95" s="11"/>
      <c r="JQU95" s="11"/>
      <c r="JQV95" s="11"/>
      <c r="JQW95" s="11"/>
      <c r="JQX95" s="11"/>
      <c r="JQY95" s="11"/>
      <c r="JQZ95" s="11"/>
      <c r="JRA95" s="11"/>
      <c r="JRB95" s="11"/>
      <c r="JRC95" s="11"/>
      <c r="JRD95" s="11"/>
      <c r="JRE95" s="11"/>
      <c r="JRF95" s="11"/>
      <c r="JRG95" s="11"/>
      <c r="JRH95" s="11"/>
      <c r="JRI95" s="11"/>
      <c r="JRJ95" s="11"/>
      <c r="JRK95" s="11"/>
      <c r="JRL95" s="11"/>
      <c r="JRM95" s="11"/>
      <c r="JRN95" s="11"/>
      <c r="JRO95" s="11"/>
      <c r="JRP95" s="11"/>
      <c r="JRQ95" s="11"/>
      <c r="JRR95" s="11"/>
      <c r="JRS95" s="11"/>
      <c r="JRT95" s="11"/>
      <c r="JRU95" s="11"/>
      <c r="JRV95" s="11"/>
      <c r="JRW95" s="11"/>
      <c r="JRX95" s="11"/>
      <c r="JRY95" s="11"/>
      <c r="JRZ95" s="11"/>
      <c r="JSA95" s="11"/>
      <c r="JSB95" s="11"/>
      <c r="JSC95" s="11"/>
      <c r="JSD95" s="11"/>
      <c r="JSE95" s="11"/>
      <c r="JSF95" s="11"/>
      <c r="JSG95" s="11"/>
      <c r="JSH95" s="11"/>
      <c r="JSI95" s="11"/>
      <c r="JSJ95" s="11"/>
      <c r="JSK95" s="11"/>
      <c r="JSL95" s="11"/>
      <c r="JSM95" s="11"/>
      <c r="JSN95" s="11"/>
      <c r="JSO95" s="11"/>
      <c r="JSP95" s="11"/>
      <c r="JSQ95" s="11"/>
      <c r="JSR95" s="11"/>
      <c r="JSS95" s="11"/>
      <c r="JST95" s="11"/>
      <c r="JSU95" s="11"/>
      <c r="JSV95" s="11"/>
      <c r="JSW95" s="11"/>
      <c r="JSX95" s="11"/>
      <c r="JSY95" s="11"/>
      <c r="JSZ95" s="11"/>
      <c r="JTA95" s="11"/>
      <c r="JTB95" s="11"/>
      <c r="JTC95" s="11"/>
      <c r="JTD95" s="11"/>
      <c r="JTE95" s="11"/>
      <c r="JTF95" s="11"/>
      <c r="JTG95" s="11"/>
      <c r="JTH95" s="11"/>
      <c r="JTI95" s="11"/>
      <c r="JTJ95" s="11"/>
      <c r="JTK95" s="11"/>
      <c r="JTL95" s="11"/>
      <c r="JTM95" s="11"/>
      <c r="JTN95" s="11"/>
      <c r="JTO95" s="11"/>
      <c r="JTP95" s="11"/>
      <c r="JTQ95" s="11"/>
      <c r="JTR95" s="11"/>
      <c r="JTS95" s="11"/>
      <c r="JTT95" s="11"/>
      <c r="JTU95" s="11"/>
      <c r="JTV95" s="11"/>
      <c r="JTW95" s="11"/>
      <c r="JTX95" s="11"/>
      <c r="JTY95" s="11"/>
      <c r="JTZ95" s="11"/>
      <c r="JUA95" s="11"/>
      <c r="JUB95" s="11"/>
      <c r="JUC95" s="11"/>
      <c r="JUD95" s="11"/>
      <c r="JUE95" s="11"/>
      <c r="JUF95" s="11"/>
      <c r="JUG95" s="11"/>
      <c r="JUH95" s="11"/>
      <c r="JUI95" s="11"/>
      <c r="JUJ95" s="11"/>
      <c r="JUK95" s="11"/>
      <c r="JUL95" s="11"/>
      <c r="JUM95" s="11"/>
      <c r="JUN95" s="11"/>
      <c r="JUO95" s="11"/>
      <c r="JUP95" s="11"/>
      <c r="JUQ95" s="11"/>
      <c r="JUR95" s="11"/>
      <c r="JUS95" s="11"/>
      <c r="JUT95" s="11"/>
      <c r="JUU95" s="11"/>
      <c r="JUV95" s="11"/>
      <c r="JUW95" s="11"/>
      <c r="JUX95" s="11"/>
      <c r="JUY95" s="11"/>
      <c r="JUZ95" s="11"/>
      <c r="JVA95" s="11"/>
      <c r="JVB95" s="11"/>
      <c r="JVC95" s="11"/>
      <c r="JVD95" s="11"/>
      <c r="JVE95" s="11"/>
      <c r="JVF95" s="11"/>
      <c r="JVG95" s="11"/>
      <c r="JVH95" s="11"/>
      <c r="JVI95" s="11"/>
      <c r="JVJ95" s="11"/>
      <c r="JVK95" s="11"/>
      <c r="JVL95" s="11"/>
      <c r="JVM95" s="11"/>
      <c r="JVN95" s="11"/>
      <c r="JVO95" s="11"/>
      <c r="JVP95" s="11"/>
      <c r="JVQ95" s="11"/>
      <c r="JVR95" s="11"/>
      <c r="JVS95" s="11"/>
      <c r="JVT95" s="11"/>
      <c r="JVU95" s="11"/>
      <c r="JVV95" s="11"/>
      <c r="JVW95" s="11"/>
      <c r="JVX95" s="11"/>
      <c r="JVY95" s="11"/>
      <c r="JVZ95" s="11"/>
      <c r="JWA95" s="11"/>
      <c r="JWB95" s="11"/>
      <c r="JWC95" s="11"/>
      <c r="JWD95" s="11"/>
      <c r="JWE95" s="11"/>
      <c r="JWF95" s="11"/>
      <c r="JWG95" s="11"/>
      <c r="JWH95" s="11"/>
      <c r="JWI95" s="11"/>
      <c r="JWJ95" s="11"/>
      <c r="JWK95" s="11"/>
      <c r="JWL95" s="11"/>
      <c r="JWM95" s="11"/>
      <c r="JWN95" s="11"/>
      <c r="JWO95" s="11"/>
      <c r="JWP95" s="11"/>
      <c r="JWQ95" s="11"/>
      <c r="JWR95" s="11"/>
      <c r="JWS95" s="11"/>
      <c r="JWT95" s="11"/>
      <c r="JWU95" s="11"/>
      <c r="JWV95" s="11"/>
      <c r="JWW95" s="11"/>
      <c r="JWX95" s="11"/>
      <c r="JWY95" s="11"/>
      <c r="JWZ95" s="11"/>
      <c r="JXA95" s="11"/>
      <c r="JXB95" s="11"/>
      <c r="JXC95" s="11"/>
      <c r="JXD95" s="11"/>
      <c r="JXE95" s="11"/>
      <c r="JXF95" s="11"/>
      <c r="JXG95" s="11"/>
      <c r="JXH95" s="11"/>
      <c r="JXI95" s="11"/>
      <c r="JXJ95" s="11"/>
      <c r="JXK95" s="11"/>
      <c r="JXL95" s="11"/>
      <c r="JXM95" s="11"/>
      <c r="JXN95" s="11"/>
      <c r="JXO95" s="11"/>
      <c r="JXP95" s="11"/>
      <c r="JXQ95" s="11"/>
      <c r="JXR95" s="11"/>
      <c r="JXS95" s="11"/>
      <c r="JXT95" s="11"/>
      <c r="JXU95" s="11"/>
      <c r="JXV95" s="11"/>
      <c r="JXW95" s="11"/>
      <c r="JXX95" s="11"/>
      <c r="JXY95" s="11"/>
      <c r="JXZ95" s="11"/>
      <c r="JYA95" s="11"/>
      <c r="JYB95" s="11"/>
      <c r="JYC95" s="11"/>
      <c r="JYD95" s="11"/>
      <c r="JYE95" s="11"/>
      <c r="JYF95" s="11"/>
      <c r="JYG95" s="11"/>
      <c r="JYH95" s="11"/>
      <c r="JYI95" s="11"/>
      <c r="JYJ95" s="11"/>
      <c r="JYK95" s="11"/>
      <c r="JYL95" s="11"/>
      <c r="JYM95" s="11"/>
      <c r="JYN95" s="11"/>
      <c r="JYO95" s="11"/>
      <c r="JYP95" s="11"/>
      <c r="JYQ95" s="11"/>
      <c r="JYR95" s="11"/>
      <c r="JYS95" s="11"/>
      <c r="JYT95" s="11"/>
      <c r="JYU95" s="11"/>
      <c r="JYV95" s="11"/>
      <c r="JYW95" s="11"/>
      <c r="JYX95" s="11"/>
      <c r="JYY95" s="11"/>
      <c r="JYZ95" s="11"/>
      <c r="JZA95" s="11"/>
      <c r="JZB95" s="11"/>
      <c r="JZC95" s="11"/>
      <c r="JZD95" s="11"/>
      <c r="JZE95" s="11"/>
      <c r="JZF95" s="11"/>
      <c r="JZG95" s="11"/>
      <c r="JZH95" s="11"/>
      <c r="JZI95" s="11"/>
      <c r="JZJ95" s="11"/>
      <c r="JZK95" s="11"/>
      <c r="JZL95" s="11"/>
      <c r="JZM95" s="11"/>
      <c r="JZN95" s="11"/>
      <c r="JZO95" s="11"/>
      <c r="JZP95" s="11"/>
      <c r="JZQ95" s="11"/>
      <c r="JZR95" s="11"/>
      <c r="JZS95" s="11"/>
      <c r="JZT95" s="11"/>
      <c r="JZU95" s="11"/>
      <c r="JZV95" s="11"/>
      <c r="JZW95" s="11"/>
      <c r="JZX95" s="11"/>
      <c r="JZY95" s="11"/>
      <c r="JZZ95" s="11"/>
      <c r="KAA95" s="11"/>
      <c r="KAB95" s="11"/>
      <c r="KAC95" s="11"/>
      <c r="KAD95" s="11"/>
      <c r="KAE95" s="11"/>
      <c r="KAF95" s="11"/>
      <c r="KAG95" s="11"/>
      <c r="KAH95" s="11"/>
      <c r="KAI95" s="11"/>
      <c r="KAJ95" s="11"/>
      <c r="KAK95" s="11"/>
      <c r="KAL95" s="11"/>
      <c r="KAM95" s="11"/>
      <c r="KAN95" s="11"/>
      <c r="KAO95" s="11"/>
      <c r="KAP95" s="11"/>
      <c r="KAQ95" s="11"/>
      <c r="KAR95" s="11"/>
      <c r="KAS95" s="11"/>
      <c r="KAT95" s="11"/>
      <c r="KAU95" s="11"/>
      <c r="KAV95" s="11"/>
      <c r="KAW95" s="11"/>
      <c r="KAX95" s="11"/>
      <c r="KAY95" s="11"/>
      <c r="KAZ95" s="11"/>
      <c r="KBA95" s="11"/>
      <c r="KBB95" s="11"/>
      <c r="KBC95" s="11"/>
      <c r="KBD95" s="11"/>
      <c r="KBE95" s="11"/>
      <c r="KBF95" s="11"/>
      <c r="KBG95" s="11"/>
      <c r="KBH95" s="11"/>
      <c r="KBI95" s="11"/>
      <c r="KBJ95" s="11"/>
      <c r="KBK95" s="11"/>
      <c r="KBL95" s="11"/>
      <c r="KBM95" s="11"/>
      <c r="KBN95" s="11"/>
      <c r="KBO95" s="11"/>
      <c r="KBP95" s="11"/>
      <c r="KBQ95" s="11"/>
      <c r="KBR95" s="11"/>
      <c r="KBS95" s="11"/>
      <c r="KBT95" s="11"/>
      <c r="KBU95" s="11"/>
      <c r="KBV95" s="11"/>
      <c r="KBW95" s="11"/>
      <c r="KBX95" s="11"/>
      <c r="KBY95" s="11"/>
      <c r="KBZ95" s="11"/>
      <c r="KCA95" s="11"/>
      <c r="KCB95" s="11"/>
      <c r="KCC95" s="11"/>
      <c r="KCD95" s="11"/>
      <c r="KCE95" s="11"/>
      <c r="KCF95" s="11"/>
      <c r="KCG95" s="11"/>
      <c r="KCH95" s="11"/>
      <c r="KCI95" s="11"/>
      <c r="KCJ95" s="11"/>
      <c r="KCK95" s="11"/>
      <c r="KCL95" s="11"/>
      <c r="KCM95" s="11"/>
      <c r="KCN95" s="11"/>
      <c r="KCO95" s="11"/>
      <c r="KCP95" s="11"/>
      <c r="KCQ95" s="11"/>
      <c r="KCR95" s="11"/>
      <c r="KCS95" s="11"/>
      <c r="KCT95" s="11"/>
      <c r="KCU95" s="11"/>
      <c r="KCV95" s="11"/>
      <c r="KCW95" s="11"/>
      <c r="KCX95" s="11"/>
      <c r="KCY95" s="11"/>
      <c r="KCZ95" s="11"/>
      <c r="KDA95" s="11"/>
      <c r="KDB95" s="11"/>
      <c r="KDC95" s="11"/>
      <c r="KDD95" s="11"/>
      <c r="KDE95" s="11"/>
      <c r="KDF95" s="11"/>
      <c r="KDG95" s="11"/>
      <c r="KDH95" s="11"/>
      <c r="KDI95" s="11"/>
      <c r="KDJ95" s="11"/>
      <c r="KDK95" s="11"/>
      <c r="KDL95" s="11"/>
      <c r="KDM95" s="11"/>
      <c r="KDN95" s="11"/>
      <c r="KDO95" s="11"/>
      <c r="KDP95" s="11"/>
      <c r="KDQ95" s="11"/>
      <c r="KDR95" s="11"/>
      <c r="KDS95" s="11"/>
      <c r="KDT95" s="11"/>
      <c r="KDU95" s="11"/>
      <c r="KDV95" s="11"/>
      <c r="KDW95" s="11"/>
      <c r="KDX95" s="11"/>
      <c r="KDY95" s="11"/>
      <c r="KDZ95" s="11"/>
      <c r="KEA95" s="11"/>
      <c r="KEB95" s="11"/>
      <c r="KEC95" s="11"/>
      <c r="KED95" s="11"/>
      <c r="KEE95" s="11"/>
      <c r="KEF95" s="11"/>
      <c r="KEG95" s="11"/>
      <c r="KEH95" s="11"/>
      <c r="KEI95" s="11"/>
      <c r="KEJ95" s="11"/>
      <c r="KEK95" s="11"/>
      <c r="KEL95" s="11"/>
      <c r="KEM95" s="11"/>
      <c r="KEN95" s="11"/>
      <c r="KEO95" s="11"/>
      <c r="KEP95" s="11"/>
      <c r="KEQ95" s="11"/>
      <c r="KER95" s="11"/>
      <c r="KES95" s="11"/>
      <c r="KET95" s="11"/>
      <c r="KEU95" s="11"/>
      <c r="KEV95" s="11"/>
      <c r="KEW95" s="11"/>
      <c r="KEX95" s="11"/>
      <c r="KEY95" s="11"/>
      <c r="KEZ95" s="11"/>
      <c r="KFA95" s="11"/>
      <c r="KFB95" s="11"/>
      <c r="KFC95" s="11"/>
      <c r="KFD95" s="11"/>
      <c r="KFE95" s="11"/>
      <c r="KFF95" s="11"/>
      <c r="KFG95" s="11"/>
      <c r="KFH95" s="11"/>
      <c r="KFI95" s="11"/>
      <c r="KFJ95" s="11"/>
      <c r="KFK95" s="11"/>
      <c r="KFL95" s="11"/>
      <c r="KFM95" s="11"/>
      <c r="KFN95" s="11"/>
      <c r="KFO95" s="11"/>
      <c r="KFP95" s="11"/>
      <c r="KFQ95" s="11"/>
      <c r="KFR95" s="11"/>
      <c r="KFS95" s="11"/>
      <c r="KFT95" s="11"/>
      <c r="KFU95" s="11"/>
      <c r="KFV95" s="11"/>
      <c r="KFW95" s="11"/>
      <c r="KFX95" s="11"/>
      <c r="KFY95" s="11"/>
      <c r="KFZ95" s="11"/>
      <c r="KGA95" s="11"/>
      <c r="KGB95" s="11"/>
      <c r="KGC95" s="11"/>
      <c r="KGD95" s="11"/>
      <c r="KGE95" s="11"/>
      <c r="KGF95" s="11"/>
      <c r="KGG95" s="11"/>
      <c r="KGH95" s="11"/>
      <c r="KGI95" s="11"/>
      <c r="KGJ95" s="11"/>
      <c r="KGK95" s="11"/>
      <c r="KGL95" s="11"/>
      <c r="KGM95" s="11"/>
      <c r="KGN95" s="11"/>
      <c r="KGO95" s="11"/>
      <c r="KGP95" s="11"/>
      <c r="KGQ95" s="11"/>
      <c r="KGR95" s="11"/>
      <c r="KGS95" s="11"/>
      <c r="KGT95" s="11"/>
      <c r="KGU95" s="11"/>
      <c r="KGV95" s="11"/>
      <c r="KGW95" s="11"/>
      <c r="KGX95" s="11"/>
      <c r="KGY95" s="11"/>
      <c r="KGZ95" s="11"/>
      <c r="KHA95" s="11"/>
      <c r="KHB95" s="11"/>
      <c r="KHC95" s="11"/>
      <c r="KHD95" s="11"/>
      <c r="KHE95" s="11"/>
      <c r="KHF95" s="11"/>
      <c r="KHG95" s="11"/>
      <c r="KHH95" s="11"/>
      <c r="KHI95" s="11"/>
      <c r="KHJ95" s="11"/>
      <c r="KHK95" s="11"/>
      <c r="KHL95" s="11"/>
      <c r="KHM95" s="11"/>
      <c r="KHN95" s="11"/>
      <c r="KHO95" s="11"/>
      <c r="KHP95" s="11"/>
      <c r="KHQ95" s="11"/>
      <c r="KHR95" s="11"/>
      <c r="KHS95" s="11"/>
      <c r="KHT95" s="11"/>
      <c r="KHU95" s="11"/>
      <c r="KHV95" s="11"/>
      <c r="KHW95" s="11"/>
      <c r="KHX95" s="11"/>
      <c r="KHY95" s="11"/>
      <c r="KHZ95" s="11"/>
      <c r="KIA95" s="11"/>
      <c r="KIB95" s="11"/>
      <c r="KIC95" s="11"/>
      <c r="KID95" s="11"/>
      <c r="KIE95" s="11"/>
      <c r="KIF95" s="11"/>
      <c r="KIG95" s="11"/>
      <c r="KIH95" s="11"/>
      <c r="KII95" s="11"/>
      <c r="KIJ95" s="11"/>
      <c r="KIK95" s="11"/>
      <c r="KIL95" s="11"/>
      <c r="KIM95" s="11"/>
      <c r="KIN95" s="11"/>
      <c r="KIO95" s="11"/>
      <c r="KIP95" s="11"/>
      <c r="KIQ95" s="11"/>
      <c r="KIR95" s="11"/>
      <c r="KIS95" s="11"/>
      <c r="KIT95" s="11"/>
      <c r="KIU95" s="11"/>
      <c r="KIV95" s="11"/>
      <c r="KIW95" s="11"/>
      <c r="KIX95" s="11"/>
      <c r="KIY95" s="11"/>
      <c r="KIZ95" s="11"/>
      <c r="KJA95" s="11"/>
      <c r="KJB95" s="11"/>
      <c r="KJC95" s="11"/>
      <c r="KJD95" s="11"/>
      <c r="KJE95" s="11"/>
      <c r="KJF95" s="11"/>
      <c r="KJG95" s="11"/>
      <c r="KJH95" s="11"/>
      <c r="KJI95" s="11"/>
      <c r="KJJ95" s="11"/>
      <c r="KJK95" s="11"/>
      <c r="KJL95" s="11"/>
      <c r="KJM95" s="11"/>
      <c r="KJN95" s="11"/>
      <c r="KJO95" s="11"/>
      <c r="KJP95" s="11"/>
      <c r="KJQ95" s="11"/>
      <c r="KJR95" s="11"/>
      <c r="KJS95" s="11"/>
      <c r="KJT95" s="11"/>
      <c r="KJU95" s="11"/>
      <c r="KJV95" s="11"/>
      <c r="KJW95" s="11"/>
      <c r="KJX95" s="11"/>
      <c r="KJY95" s="11"/>
      <c r="KJZ95" s="11"/>
      <c r="KKA95" s="11"/>
      <c r="KKB95" s="11"/>
      <c r="KKC95" s="11"/>
      <c r="KKD95" s="11"/>
      <c r="KKE95" s="11"/>
      <c r="KKF95" s="11"/>
      <c r="KKG95" s="11"/>
      <c r="KKH95" s="11"/>
      <c r="KKI95" s="11"/>
      <c r="KKJ95" s="11"/>
      <c r="KKK95" s="11"/>
      <c r="KKL95" s="11"/>
      <c r="KKM95" s="11"/>
      <c r="KKN95" s="11"/>
      <c r="KKO95" s="11"/>
      <c r="KKP95" s="11"/>
      <c r="KKQ95" s="11"/>
      <c r="KKR95" s="11"/>
      <c r="KKS95" s="11"/>
      <c r="KKT95" s="11"/>
      <c r="KKU95" s="11"/>
      <c r="KKV95" s="11"/>
      <c r="KKW95" s="11"/>
      <c r="KKX95" s="11"/>
      <c r="KKY95" s="11"/>
      <c r="KKZ95" s="11"/>
      <c r="KLA95" s="11"/>
      <c r="KLB95" s="11"/>
      <c r="KLC95" s="11"/>
      <c r="KLD95" s="11"/>
      <c r="KLE95" s="11"/>
      <c r="KLF95" s="11"/>
      <c r="KLG95" s="11"/>
      <c r="KLH95" s="11"/>
      <c r="KLI95" s="11"/>
      <c r="KLJ95" s="11"/>
      <c r="KLK95" s="11"/>
      <c r="KLL95" s="11"/>
      <c r="KLM95" s="11"/>
      <c r="KLN95" s="11"/>
      <c r="KLO95" s="11"/>
      <c r="KLP95" s="11"/>
      <c r="KLQ95" s="11"/>
      <c r="KLR95" s="11"/>
      <c r="KLS95" s="11"/>
      <c r="KLT95" s="11"/>
      <c r="KLU95" s="11"/>
      <c r="KLV95" s="11"/>
      <c r="KLW95" s="11"/>
      <c r="KLX95" s="11"/>
      <c r="KLY95" s="11"/>
      <c r="KLZ95" s="11"/>
      <c r="KMA95" s="11"/>
      <c r="KMB95" s="11"/>
      <c r="KMC95" s="11"/>
      <c r="KMD95" s="11"/>
      <c r="KME95" s="11"/>
      <c r="KMF95" s="11"/>
      <c r="KMG95" s="11"/>
      <c r="KMH95" s="11"/>
      <c r="KMI95" s="11"/>
      <c r="KMJ95" s="11"/>
      <c r="KMK95" s="11"/>
      <c r="KML95" s="11"/>
      <c r="KMM95" s="11"/>
      <c r="KMN95" s="11"/>
      <c r="KMO95" s="11"/>
      <c r="KMP95" s="11"/>
      <c r="KMQ95" s="11"/>
      <c r="KMR95" s="11"/>
      <c r="KMS95" s="11"/>
      <c r="KMT95" s="11"/>
      <c r="KMU95" s="11"/>
      <c r="KMV95" s="11"/>
      <c r="KMW95" s="11"/>
      <c r="KMX95" s="11"/>
      <c r="KMY95" s="11"/>
      <c r="KMZ95" s="11"/>
      <c r="KNA95" s="11"/>
      <c r="KNB95" s="11"/>
      <c r="KNC95" s="11"/>
      <c r="KND95" s="11"/>
      <c r="KNE95" s="11"/>
      <c r="KNF95" s="11"/>
      <c r="KNG95" s="11"/>
      <c r="KNH95" s="11"/>
      <c r="KNI95" s="11"/>
      <c r="KNJ95" s="11"/>
      <c r="KNK95" s="11"/>
      <c r="KNL95" s="11"/>
      <c r="KNM95" s="11"/>
      <c r="KNN95" s="11"/>
      <c r="KNO95" s="11"/>
      <c r="KNP95" s="11"/>
      <c r="KNQ95" s="11"/>
      <c r="KNR95" s="11"/>
      <c r="KNS95" s="11"/>
      <c r="KNT95" s="11"/>
      <c r="KNU95" s="11"/>
      <c r="KNV95" s="11"/>
      <c r="KNW95" s="11"/>
      <c r="KNX95" s="11"/>
      <c r="KNY95" s="11"/>
      <c r="KNZ95" s="11"/>
      <c r="KOA95" s="11"/>
      <c r="KOB95" s="11"/>
      <c r="KOC95" s="11"/>
      <c r="KOD95" s="11"/>
      <c r="KOE95" s="11"/>
      <c r="KOF95" s="11"/>
      <c r="KOG95" s="11"/>
      <c r="KOH95" s="11"/>
      <c r="KOI95" s="11"/>
      <c r="KOJ95" s="11"/>
      <c r="KOK95" s="11"/>
      <c r="KOL95" s="11"/>
      <c r="KOM95" s="11"/>
      <c r="KON95" s="11"/>
      <c r="KOO95" s="11"/>
      <c r="KOP95" s="11"/>
      <c r="KOQ95" s="11"/>
      <c r="KOR95" s="11"/>
      <c r="KOS95" s="11"/>
      <c r="KOT95" s="11"/>
      <c r="KOU95" s="11"/>
      <c r="KOV95" s="11"/>
      <c r="KOW95" s="11"/>
      <c r="KOX95" s="11"/>
      <c r="KOY95" s="11"/>
      <c r="KOZ95" s="11"/>
      <c r="KPA95" s="11"/>
      <c r="KPB95" s="11"/>
      <c r="KPC95" s="11"/>
      <c r="KPD95" s="11"/>
      <c r="KPE95" s="11"/>
      <c r="KPF95" s="11"/>
      <c r="KPG95" s="11"/>
      <c r="KPH95" s="11"/>
      <c r="KPI95" s="11"/>
      <c r="KPJ95" s="11"/>
      <c r="KPK95" s="11"/>
      <c r="KPL95" s="11"/>
      <c r="KPM95" s="11"/>
      <c r="KPN95" s="11"/>
      <c r="KPO95" s="11"/>
      <c r="KPP95" s="11"/>
      <c r="KPQ95" s="11"/>
      <c r="KPR95" s="11"/>
      <c r="KPS95" s="11"/>
      <c r="KPT95" s="11"/>
      <c r="KPU95" s="11"/>
      <c r="KPV95" s="11"/>
      <c r="KPW95" s="11"/>
      <c r="KPX95" s="11"/>
      <c r="KPY95" s="11"/>
      <c r="KPZ95" s="11"/>
      <c r="KQA95" s="11"/>
      <c r="KQB95" s="11"/>
      <c r="KQC95" s="11"/>
      <c r="KQD95" s="11"/>
      <c r="KQE95" s="11"/>
      <c r="KQF95" s="11"/>
      <c r="KQG95" s="11"/>
      <c r="KQH95" s="11"/>
      <c r="KQI95" s="11"/>
      <c r="KQJ95" s="11"/>
      <c r="KQK95" s="11"/>
      <c r="KQL95" s="11"/>
      <c r="KQM95" s="11"/>
      <c r="KQN95" s="11"/>
      <c r="KQO95" s="11"/>
      <c r="KQP95" s="11"/>
      <c r="KQQ95" s="11"/>
      <c r="KQR95" s="11"/>
      <c r="KQS95" s="11"/>
      <c r="KQT95" s="11"/>
      <c r="KQU95" s="11"/>
      <c r="KQV95" s="11"/>
      <c r="KQW95" s="11"/>
      <c r="KQX95" s="11"/>
      <c r="KQY95" s="11"/>
      <c r="KQZ95" s="11"/>
      <c r="KRA95" s="11"/>
      <c r="KRB95" s="11"/>
      <c r="KRC95" s="11"/>
      <c r="KRD95" s="11"/>
      <c r="KRE95" s="11"/>
      <c r="KRF95" s="11"/>
      <c r="KRG95" s="11"/>
      <c r="KRH95" s="11"/>
      <c r="KRI95" s="11"/>
      <c r="KRJ95" s="11"/>
      <c r="KRK95" s="11"/>
      <c r="KRL95" s="11"/>
      <c r="KRM95" s="11"/>
      <c r="KRN95" s="11"/>
      <c r="KRO95" s="11"/>
      <c r="KRP95" s="11"/>
      <c r="KRQ95" s="11"/>
      <c r="KRR95" s="11"/>
      <c r="KRS95" s="11"/>
      <c r="KRT95" s="11"/>
      <c r="KRU95" s="11"/>
      <c r="KRV95" s="11"/>
      <c r="KRW95" s="11"/>
      <c r="KRX95" s="11"/>
      <c r="KRY95" s="11"/>
      <c r="KRZ95" s="11"/>
      <c r="KSA95" s="11"/>
      <c r="KSB95" s="11"/>
      <c r="KSC95" s="11"/>
      <c r="KSD95" s="11"/>
      <c r="KSE95" s="11"/>
      <c r="KSF95" s="11"/>
      <c r="KSG95" s="11"/>
      <c r="KSH95" s="11"/>
      <c r="KSI95" s="11"/>
      <c r="KSJ95" s="11"/>
      <c r="KSK95" s="11"/>
      <c r="KSL95" s="11"/>
      <c r="KSM95" s="11"/>
      <c r="KSN95" s="11"/>
      <c r="KSO95" s="11"/>
      <c r="KSP95" s="11"/>
      <c r="KSQ95" s="11"/>
      <c r="KSR95" s="11"/>
      <c r="KSS95" s="11"/>
      <c r="KST95" s="11"/>
      <c r="KSU95" s="11"/>
      <c r="KSV95" s="11"/>
      <c r="KSW95" s="11"/>
      <c r="KSX95" s="11"/>
      <c r="KSY95" s="11"/>
      <c r="KSZ95" s="11"/>
      <c r="KTA95" s="11"/>
      <c r="KTB95" s="11"/>
      <c r="KTC95" s="11"/>
      <c r="KTD95" s="11"/>
      <c r="KTE95" s="11"/>
      <c r="KTF95" s="11"/>
      <c r="KTG95" s="11"/>
      <c r="KTH95" s="11"/>
      <c r="KTI95" s="11"/>
      <c r="KTJ95" s="11"/>
      <c r="KTK95" s="11"/>
      <c r="KTL95" s="11"/>
      <c r="KTM95" s="11"/>
      <c r="KTN95" s="11"/>
      <c r="KTO95" s="11"/>
      <c r="KTP95" s="11"/>
      <c r="KTQ95" s="11"/>
      <c r="KTR95" s="11"/>
      <c r="KTS95" s="11"/>
      <c r="KTT95" s="11"/>
      <c r="KTU95" s="11"/>
      <c r="KTV95" s="11"/>
      <c r="KTW95" s="11"/>
      <c r="KTX95" s="11"/>
      <c r="KTY95" s="11"/>
      <c r="KTZ95" s="11"/>
      <c r="KUA95" s="11"/>
      <c r="KUB95" s="11"/>
      <c r="KUC95" s="11"/>
      <c r="KUD95" s="11"/>
      <c r="KUE95" s="11"/>
      <c r="KUF95" s="11"/>
      <c r="KUG95" s="11"/>
      <c r="KUH95" s="11"/>
      <c r="KUI95" s="11"/>
      <c r="KUJ95" s="11"/>
      <c r="KUK95" s="11"/>
      <c r="KUL95" s="11"/>
      <c r="KUM95" s="11"/>
      <c r="KUN95" s="11"/>
      <c r="KUO95" s="11"/>
      <c r="KUP95" s="11"/>
      <c r="KUQ95" s="11"/>
      <c r="KUR95" s="11"/>
      <c r="KUS95" s="11"/>
      <c r="KUT95" s="11"/>
      <c r="KUU95" s="11"/>
      <c r="KUV95" s="11"/>
      <c r="KUW95" s="11"/>
      <c r="KUX95" s="11"/>
      <c r="KUY95" s="11"/>
      <c r="KUZ95" s="11"/>
      <c r="KVA95" s="11"/>
      <c r="KVB95" s="11"/>
      <c r="KVC95" s="11"/>
      <c r="KVD95" s="11"/>
      <c r="KVE95" s="11"/>
      <c r="KVF95" s="11"/>
      <c r="KVG95" s="11"/>
      <c r="KVH95" s="11"/>
      <c r="KVI95" s="11"/>
      <c r="KVJ95" s="11"/>
      <c r="KVK95" s="11"/>
      <c r="KVL95" s="11"/>
      <c r="KVM95" s="11"/>
      <c r="KVN95" s="11"/>
      <c r="KVO95" s="11"/>
      <c r="KVP95" s="11"/>
      <c r="KVQ95" s="11"/>
      <c r="KVR95" s="11"/>
      <c r="KVS95" s="11"/>
      <c r="KVT95" s="11"/>
      <c r="KVU95" s="11"/>
      <c r="KVV95" s="11"/>
      <c r="KVW95" s="11"/>
      <c r="KVX95" s="11"/>
      <c r="KVY95" s="11"/>
      <c r="KVZ95" s="11"/>
      <c r="KWA95" s="11"/>
      <c r="KWB95" s="11"/>
      <c r="KWC95" s="11"/>
      <c r="KWD95" s="11"/>
      <c r="KWE95" s="11"/>
      <c r="KWF95" s="11"/>
      <c r="KWG95" s="11"/>
      <c r="KWH95" s="11"/>
      <c r="KWI95" s="11"/>
      <c r="KWJ95" s="11"/>
      <c r="KWK95" s="11"/>
      <c r="KWL95" s="11"/>
      <c r="KWM95" s="11"/>
      <c r="KWN95" s="11"/>
      <c r="KWO95" s="11"/>
      <c r="KWP95" s="11"/>
      <c r="KWQ95" s="11"/>
      <c r="KWR95" s="11"/>
      <c r="KWS95" s="11"/>
      <c r="KWT95" s="11"/>
      <c r="KWU95" s="11"/>
      <c r="KWV95" s="11"/>
      <c r="KWW95" s="11"/>
      <c r="KWX95" s="11"/>
      <c r="KWY95" s="11"/>
      <c r="KWZ95" s="11"/>
      <c r="KXA95" s="11"/>
      <c r="KXB95" s="11"/>
      <c r="KXC95" s="11"/>
      <c r="KXD95" s="11"/>
      <c r="KXE95" s="11"/>
      <c r="KXF95" s="11"/>
      <c r="KXG95" s="11"/>
      <c r="KXH95" s="11"/>
      <c r="KXI95" s="11"/>
      <c r="KXJ95" s="11"/>
      <c r="KXK95" s="11"/>
      <c r="KXL95" s="11"/>
      <c r="KXM95" s="11"/>
      <c r="KXN95" s="11"/>
      <c r="KXO95" s="11"/>
      <c r="KXP95" s="11"/>
      <c r="KXQ95" s="11"/>
      <c r="KXR95" s="11"/>
      <c r="KXS95" s="11"/>
      <c r="KXT95" s="11"/>
      <c r="KXU95" s="11"/>
      <c r="KXV95" s="11"/>
      <c r="KXW95" s="11"/>
      <c r="KXX95" s="11"/>
      <c r="KXY95" s="11"/>
      <c r="KXZ95" s="11"/>
      <c r="KYA95" s="11"/>
      <c r="KYB95" s="11"/>
      <c r="KYC95" s="11"/>
      <c r="KYD95" s="11"/>
      <c r="KYE95" s="11"/>
      <c r="KYF95" s="11"/>
      <c r="KYG95" s="11"/>
      <c r="KYH95" s="11"/>
      <c r="KYI95" s="11"/>
      <c r="KYJ95" s="11"/>
      <c r="KYK95" s="11"/>
      <c r="KYL95" s="11"/>
      <c r="KYM95" s="11"/>
      <c r="KYN95" s="11"/>
      <c r="KYO95" s="11"/>
      <c r="KYP95" s="11"/>
      <c r="KYQ95" s="11"/>
      <c r="KYR95" s="11"/>
      <c r="KYS95" s="11"/>
      <c r="KYT95" s="11"/>
      <c r="KYU95" s="11"/>
      <c r="KYV95" s="11"/>
      <c r="KYW95" s="11"/>
      <c r="KYX95" s="11"/>
      <c r="KYY95" s="11"/>
      <c r="KYZ95" s="11"/>
      <c r="KZA95" s="11"/>
      <c r="KZB95" s="11"/>
      <c r="KZC95" s="11"/>
      <c r="KZD95" s="11"/>
      <c r="KZE95" s="11"/>
      <c r="KZF95" s="11"/>
      <c r="KZG95" s="11"/>
      <c r="KZH95" s="11"/>
      <c r="KZI95" s="11"/>
      <c r="KZJ95" s="11"/>
      <c r="KZK95" s="11"/>
      <c r="KZL95" s="11"/>
      <c r="KZM95" s="11"/>
      <c r="KZN95" s="11"/>
      <c r="KZO95" s="11"/>
      <c r="KZP95" s="11"/>
      <c r="KZQ95" s="11"/>
      <c r="KZR95" s="11"/>
      <c r="KZS95" s="11"/>
      <c r="KZT95" s="11"/>
      <c r="KZU95" s="11"/>
      <c r="KZV95" s="11"/>
      <c r="KZW95" s="11"/>
      <c r="KZX95" s="11"/>
      <c r="KZY95" s="11"/>
      <c r="KZZ95" s="11"/>
      <c r="LAA95" s="11"/>
      <c r="LAB95" s="11"/>
      <c r="LAC95" s="11"/>
      <c r="LAD95" s="11"/>
      <c r="LAE95" s="11"/>
      <c r="LAF95" s="11"/>
      <c r="LAG95" s="11"/>
      <c r="LAH95" s="11"/>
      <c r="LAI95" s="11"/>
      <c r="LAJ95" s="11"/>
      <c r="LAK95" s="11"/>
      <c r="LAL95" s="11"/>
      <c r="LAM95" s="11"/>
      <c r="LAN95" s="11"/>
      <c r="LAO95" s="11"/>
      <c r="LAP95" s="11"/>
      <c r="LAQ95" s="11"/>
      <c r="LAR95" s="11"/>
      <c r="LAS95" s="11"/>
      <c r="LAT95" s="11"/>
      <c r="LAU95" s="11"/>
      <c r="LAV95" s="11"/>
      <c r="LAW95" s="11"/>
      <c r="LAX95" s="11"/>
      <c r="LAY95" s="11"/>
      <c r="LAZ95" s="11"/>
      <c r="LBA95" s="11"/>
      <c r="LBB95" s="11"/>
      <c r="LBC95" s="11"/>
      <c r="LBD95" s="11"/>
      <c r="LBE95" s="11"/>
      <c r="LBF95" s="11"/>
      <c r="LBG95" s="11"/>
      <c r="LBH95" s="11"/>
      <c r="LBI95" s="11"/>
      <c r="LBJ95" s="11"/>
      <c r="LBK95" s="11"/>
      <c r="LBL95" s="11"/>
      <c r="LBM95" s="11"/>
      <c r="LBN95" s="11"/>
      <c r="LBO95" s="11"/>
      <c r="LBP95" s="11"/>
      <c r="LBQ95" s="11"/>
      <c r="LBR95" s="11"/>
      <c r="LBS95" s="11"/>
      <c r="LBT95" s="11"/>
      <c r="LBU95" s="11"/>
      <c r="LBV95" s="11"/>
      <c r="LBW95" s="11"/>
      <c r="LBX95" s="11"/>
      <c r="LBY95" s="11"/>
      <c r="LBZ95" s="11"/>
      <c r="LCA95" s="11"/>
      <c r="LCB95" s="11"/>
      <c r="LCC95" s="11"/>
      <c r="LCD95" s="11"/>
      <c r="LCE95" s="11"/>
      <c r="LCF95" s="11"/>
      <c r="LCG95" s="11"/>
      <c r="LCH95" s="11"/>
      <c r="LCI95" s="11"/>
      <c r="LCJ95" s="11"/>
      <c r="LCK95" s="11"/>
      <c r="LCL95" s="11"/>
      <c r="LCM95" s="11"/>
      <c r="LCN95" s="11"/>
      <c r="LCO95" s="11"/>
      <c r="LCP95" s="11"/>
      <c r="LCQ95" s="11"/>
      <c r="LCR95" s="11"/>
      <c r="LCS95" s="11"/>
      <c r="LCT95" s="11"/>
      <c r="LCU95" s="11"/>
      <c r="LCV95" s="11"/>
      <c r="LCW95" s="11"/>
      <c r="LCX95" s="11"/>
      <c r="LCY95" s="11"/>
      <c r="LCZ95" s="11"/>
      <c r="LDA95" s="11"/>
      <c r="LDB95" s="11"/>
      <c r="LDC95" s="11"/>
      <c r="LDD95" s="11"/>
      <c r="LDE95" s="11"/>
      <c r="LDF95" s="11"/>
      <c r="LDG95" s="11"/>
      <c r="LDH95" s="11"/>
      <c r="LDI95" s="11"/>
      <c r="LDJ95" s="11"/>
      <c r="LDK95" s="11"/>
      <c r="LDL95" s="11"/>
      <c r="LDM95" s="11"/>
      <c r="LDN95" s="11"/>
      <c r="LDO95" s="11"/>
      <c r="LDP95" s="11"/>
      <c r="LDQ95" s="11"/>
      <c r="LDR95" s="11"/>
      <c r="LDS95" s="11"/>
      <c r="LDT95" s="11"/>
      <c r="LDU95" s="11"/>
      <c r="LDV95" s="11"/>
      <c r="LDW95" s="11"/>
      <c r="LDX95" s="11"/>
      <c r="LDY95" s="11"/>
      <c r="LDZ95" s="11"/>
      <c r="LEA95" s="11"/>
      <c r="LEB95" s="11"/>
      <c r="LEC95" s="11"/>
      <c r="LED95" s="11"/>
      <c r="LEE95" s="11"/>
      <c r="LEF95" s="11"/>
      <c r="LEG95" s="11"/>
      <c r="LEH95" s="11"/>
      <c r="LEI95" s="11"/>
      <c r="LEJ95" s="11"/>
      <c r="LEK95" s="11"/>
      <c r="LEL95" s="11"/>
      <c r="LEM95" s="11"/>
      <c r="LEN95" s="11"/>
      <c r="LEO95" s="11"/>
      <c r="LEP95" s="11"/>
      <c r="LEQ95" s="11"/>
      <c r="LER95" s="11"/>
      <c r="LES95" s="11"/>
      <c r="LET95" s="11"/>
      <c r="LEU95" s="11"/>
      <c r="LEV95" s="11"/>
      <c r="LEW95" s="11"/>
      <c r="LEX95" s="11"/>
      <c r="LEY95" s="11"/>
      <c r="LEZ95" s="11"/>
      <c r="LFA95" s="11"/>
      <c r="LFB95" s="11"/>
      <c r="LFC95" s="11"/>
      <c r="LFD95" s="11"/>
      <c r="LFE95" s="11"/>
      <c r="LFF95" s="11"/>
      <c r="LFG95" s="11"/>
      <c r="LFH95" s="11"/>
      <c r="LFI95" s="11"/>
      <c r="LFJ95" s="11"/>
      <c r="LFK95" s="11"/>
      <c r="LFL95" s="11"/>
      <c r="LFM95" s="11"/>
      <c r="LFN95" s="11"/>
      <c r="LFO95" s="11"/>
      <c r="LFP95" s="11"/>
      <c r="LFQ95" s="11"/>
      <c r="LFR95" s="11"/>
      <c r="LFS95" s="11"/>
      <c r="LFT95" s="11"/>
      <c r="LFU95" s="11"/>
      <c r="LFV95" s="11"/>
      <c r="LFW95" s="11"/>
      <c r="LFX95" s="11"/>
      <c r="LFY95" s="11"/>
      <c r="LFZ95" s="11"/>
      <c r="LGA95" s="11"/>
      <c r="LGB95" s="11"/>
      <c r="LGC95" s="11"/>
      <c r="LGD95" s="11"/>
      <c r="LGE95" s="11"/>
      <c r="LGF95" s="11"/>
      <c r="LGG95" s="11"/>
      <c r="LGH95" s="11"/>
      <c r="LGI95" s="11"/>
      <c r="LGJ95" s="11"/>
      <c r="LGK95" s="11"/>
      <c r="LGL95" s="11"/>
      <c r="LGM95" s="11"/>
      <c r="LGN95" s="11"/>
      <c r="LGO95" s="11"/>
      <c r="LGP95" s="11"/>
      <c r="LGQ95" s="11"/>
      <c r="LGR95" s="11"/>
      <c r="LGS95" s="11"/>
      <c r="LGT95" s="11"/>
      <c r="LGU95" s="11"/>
      <c r="LGV95" s="11"/>
      <c r="LGW95" s="11"/>
      <c r="LGX95" s="11"/>
      <c r="LGY95" s="11"/>
      <c r="LGZ95" s="11"/>
      <c r="LHA95" s="11"/>
      <c r="LHB95" s="11"/>
      <c r="LHC95" s="11"/>
      <c r="LHD95" s="11"/>
      <c r="LHE95" s="11"/>
      <c r="LHF95" s="11"/>
      <c r="LHG95" s="11"/>
      <c r="LHH95" s="11"/>
      <c r="LHI95" s="11"/>
      <c r="LHJ95" s="11"/>
      <c r="LHK95" s="11"/>
      <c r="LHL95" s="11"/>
      <c r="LHM95" s="11"/>
      <c r="LHN95" s="11"/>
      <c r="LHO95" s="11"/>
      <c r="LHP95" s="11"/>
      <c r="LHQ95" s="11"/>
      <c r="LHR95" s="11"/>
      <c r="LHS95" s="11"/>
      <c r="LHT95" s="11"/>
      <c r="LHU95" s="11"/>
      <c r="LHV95" s="11"/>
      <c r="LHW95" s="11"/>
      <c r="LHX95" s="11"/>
      <c r="LHY95" s="11"/>
      <c r="LHZ95" s="11"/>
      <c r="LIA95" s="11"/>
      <c r="LIB95" s="11"/>
      <c r="LIC95" s="11"/>
      <c r="LID95" s="11"/>
      <c r="LIE95" s="11"/>
      <c r="LIF95" s="11"/>
      <c r="LIG95" s="11"/>
      <c r="LIH95" s="11"/>
      <c r="LII95" s="11"/>
      <c r="LIJ95" s="11"/>
      <c r="LIK95" s="11"/>
      <c r="LIL95" s="11"/>
      <c r="LIM95" s="11"/>
      <c r="LIN95" s="11"/>
      <c r="LIO95" s="11"/>
      <c r="LIP95" s="11"/>
      <c r="LIQ95" s="11"/>
      <c r="LIR95" s="11"/>
      <c r="LIS95" s="11"/>
      <c r="LIT95" s="11"/>
      <c r="LIU95" s="11"/>
      <c r="LIV95" s="11"/>
      <c r="LIW95" s="11"/>
      <c r="LIX95" s="11"/>
      <c r="LIY95" s="11"/>
      <c r="LIZ95" s="11"/>
      <c r="LJA95" s="11"/>
      <c r="LJB95" s="11"/>
      <c r="LJC95" s="11"/>
      <c r="LJD95" s="11"/>
      <c r="LJE95" s="11"/>
      <c r="LJF95" s="11"/>
      <c r="LJG95" s="11"/>
      <c r="LJH95" s="11"/>
      <c r="LJI95" s="11"/>
      <c r="LJJ95" s="11"/>
      <c r="LJK95" s="11"/>
      <c r="LJL95" s="11"/>
      <c r="LJM95" s="11"/>
      <c r="LJN95" s="11"/>
      <c r="LJO95" s="11"/>
      <c r="LJP95" s="11"/>
      <c r="LJQ95" s="11"/>
      <c r="LJR95" s="11"/>
      <c r="LJS95" s="11"/>
      <c r="LJT95" s="11"/>
      <c r="LJU95" s="11"/>
      <c r="LJV95" s="11"/>
      <c r="LJW95" s="11"/>
      <c r="LJX95" s="11"/>
      <c r="LJY95" s="11"/>
      <c r="LJZ95" s="11"/>
      <c r="LKA95" s="11"/>
      <c r="LKB95" s="11"/>
      <c r="LKC95" s="11"/>
      <c r="LKD95" s="11"/>
      <c r="LKE95" s="11"/>
      <c r="LKF95" s="11"/>
      <c r="LKG95" s="11"/>
      <c r="LKH95" s="11"/>
      <c r="LKI95" s="11"/>
      <c r="LKJ95" s="11"/>
      <c r="LKK95" s="11"/>
      <c r="LKL95" s="11"/>
      <c r="LKM95" s="11"/>
      <c r="LKN95" s="11"/>
      <c r="LKO95" s="11"/>
      <c r="LKP95" s="11"/>
      <c r="LKQ95" s="11"/>
      <c r="LKR95" s="11"/>
      <c r="LKS95" s="11"/>
      <c r="LKT95" s="11"/>
      <c r="LKU95" s="11"/>
      <c r="LKV95" s="11"/>
      <c r="LKW95" s="11"/>
      <c r="LKX95" s="11"/>
      <c r="LKY95" s="11"/>
      <c r="LKZ95" s="11"/>
      <c r="LLA95" s="11"/>
      <c r="LLB95" s="11"/>
      <c r="LLC95" s="11"/>
      <c r="LLD95" s="11"/>
      <c r="LLE95" s="11"/>
      <c r="LLF95" s="11"/>
      <c r="LLG95" s="11"/>
      <c r="LLH95" s="11"/>
      <c r="LLI95" s="11"/>
      <c r="LLJ95" s="11"/>
      <c r="LLK95" s="11"/>
      <c r="LLL95" s="11"/>
      <c r="LLM95" s="11"/>
      <c r="LLN95" s="11"/>
      <c r="LLO95" s="11"/>
      <c r="LLP95" s="11"/>
      <c r="LLQ95" s="11"/>
      <c r="LLR95" s="11"/>
      <c r="LLS95" s="11"/>
      <c r="LLT95" s="11"/>
      <c r="LLU95" s="11"/>
      <c r="LLV95" s="11"/>
      <c r="LLW95" s="11"/>
      <c r="LLX95" s="11"/>
      <c r="LLY95" s="11"/>
      <c r="LLZ95" s="11"/>
      <c r="LMA95" s="11"/>
      <c r="LMB95" s="11"/>
      <c r="LMC95" s="11"/>
      <c r="LMD95" s="11"/>
      <c r="LME95" s="11"/>
      <c r="LMF95" s="11"/>
      <c r="LMG95" s="11"/>
      <c r="LMH95" s="11"/>
      <c r="LMI95" s="11"/>
      <c r="LMJ95" s="11"/>
      <c r="LMK95" s="11"/>
      <c r="LML95" s="11"/>
      <c r="LMM95" s="11"/>
      <c r="LMN95" s="11"/>
      <c r="LMO95" s="11"/>
      <c r="LMP95" s="11"/>
      <c r="LMQ95" s="11"/>
      <c r="LMR95" s="11"/>
      <c r="LMS95" s="11"/>
      <c r="LMT95" s="11"/>
      <c r="LMU95" s="11"/>
      <c r="LMV95" s="11"/>
      <c r="LMW95" s="11"/>
      <c r="LMX95" s="11"/>
      <c r="LMY95" s="11"/>
      <c r="LMZ95" s="11"/>
      <c r="LNA95" s="11"/>
      <c r="LNB95" s="11"/>
      <c r="LNC95" s="11"/>
      <c r="LND95" s="11"/>
      <c r="LNE95" s="11"/>
      <c r="LNF95" s="11"/>
      <c r="LNG95" s="11"/>
      <c r="LNH95" s="11"/>
      <c r="LNI95" s="11"/>
      <c r="LNJ95" s="11"/>
      <c r="LNK95" s="11"/>
      <c r="LNL95" s="11"/>
      <c r="LNM95" s="11"/>
      <c r="LNN95" s="11"/>
      <c r="LNO95" s="11"/>
      <c r="LNP95" s="11"/>
      <c r="LNQ95" s="11"/>
      <c r="LNR95" s="11"/>
      <c r="LNS95" s="11"/>
      <c r="LNT95" s="11"/>
      <c r="LNU95" s="11"/>
      <c r="LNV95" s="11"/>
      <c r="LNW95" s="11"/>
      <c r="LNX95" s="11"/>
      <c r="LNY95" s="11"/>
      <c r="LNZ95" s="11"/>
      <c r="LOA95" s="11"/>
      <c r="LOB95" s="11"/>
      <c r="LOC95" s="11"/>
      <c r="LOD95" s="11"/>
      <c r="LOE95" s="11"/>
      <c r="LOF95" s="11"/>
      <c r="LOG95" s="11"/>
      <c r="LOH95" s="11"/>
      <c r="LOI95" s="11"/>
      <c r="LOJ95" s="11"/>
      <c r="LOK95" s="11"/>
      <c r="LOL95" s="11"/>
      <c r="LOM95" s="11"/>
      <c r="LON95" s="11"/>
      <c r="LOO95" s="11"/>
      <c r="LOP95" s="11"/>
      <c r="LOQ95" s="11"/>
      <c r="LOR95" s="11"/>
      <c r="LOS95" s="11"/>
      <c r="LOT95" s="11"/>
      <c r="LOU95" s="11"/>
      <c r="LOV95" s="11"/>
      <c r="LOW95" s="11"/>
      <c r="LOX95" s="11"/>
      <c r="LOY95" s="11"/>
      <c r="LOZ95" s="11"/>
      <c r="LPA95" s="11"/>
      <c r="LPB95" s="11"/>
      <c r="LPC95" s="11"/>
      <c r="LPD95" s="11"/>
      <c r="LPE95" s="11"/>
      <c r="LPF95" s="11"/>
      <c r="LPG95" s="11"/>
      <c r="LPH95" s="11"/>
      <c r="LPI95" s="11"/>
      <c r="LPJ95" s="11"/>
      <c r="LPK95" s="11"/>
      <c r="LPL95" s="11"/>
      <c r="LPM95" s="11"/>
      <c r="LPN95" s="11"/>
      <c r="LPO95" s="11"/>
      <c r="LPP95" s="11"/>
      <c r="LPQ95" s="11"/>
      <c r="LPR95" s="11"/>
      <c r="LPS95" s="11"/>
      <c r="LPT95" s="11"/>
      <c r="LPU95" s="11"/>
      <c r="LPV95" s="11"/>
      <c r="LPW95" s="11"/>
      <c r="LPX95" s="11"/>
      <c r="LPY95" s="11"/>
      <c r="LPZ95" s="11"/>
      <c r="LQA95" s="11"/>
      <c r="LQB95" s="11"/>
      <c r="LQC95" s="11"/>
      <c r="LQD95" s="11"/>
      <c r="LQE95" s="11"/>
      <c r="LQF95" s="11"/>
      <c r="LQG95" s="11"/>
      <c r="LQH95" s="11"/>
      <c r="LQI95" s="11"/>
      <c r="LQJ95" s="11"/>
      <c r="LQK95" s="11"/>
      <c r="LQL95" s="11"/>
      <c r="LQM95" s="11"/>
      <c r="LQN95" s="11"/>
      <c r="LQO95" s="11"/>
      <c r="LQP95" s="11"/>
      <c r="LQQ95" s="11"/>
      <c r="LQR95" s="11"/>
      <c r="LQS95" s="11"/>
      <c r="LQT95" s="11"/>
      <c r="LQU95" s="11"/>
      <c r="LQV95" s="11"/>
      <c r="LQW95" s="11"/>
      <c r="LQX95" s="11"/>
      <c r="LQY95" s="11"/>
      <c r="LQZ95" s="11"/>
      <c r="LRA95" s="11"/>
      <c r="LRB95" s="11"/>
      <c r="LRC95" s="11"/>
      <c r="LRD95" s="11"/>
      <c r="LRE95" s="11"/>
      <c r="LRF95" s="11"/>
      <c r="LRG95" s="11"/>
      <c r="LRH95" s="11"/>
      <c r="LRI95" s="11"/>
      <c r="LRJ95" s="11"/>
      <c r="LRK95" s="11"/>
      <c r="LRL95" s="11"/>
      <c r="LRM95" s="11"/>
      <c r="LRN95" s="11"/>
      <c r="LRO95" s="11"/>
      <c r="LRP95" s="11"/>
      <c r="LRQ95" s="11"/>
      <c r="LRR95" s="11"/>
      <c r="LRS95" s="11"/>
      <c r="LRT95" s="11"/>
      <c r="LRU95" s="11"/>
      <c r="LRV95" s="11"/>
      <c r="LRW95" s="11"/>
      <c r="LRX95" s="11"/>
      <c r="LRY95" s="11"/>
      <c r="LRZ95" s="11"/>
      <c r="LSA95" s="11"/>
      <c r="LSB95" s="11"/>
      <c r="LSC95" s="11"/>
      <c r="LSD95" s="11"/>
      <c r="LSE95" s="11"/>
      <c r="LSF95" s="11"/>
      <c r="LSG95" s="11"/>
      <c r="LSH95" s="11"/>
      <c r="LSI95" s="11"/>
      <c r="LSJ95" s="11"/>
      <c r="LSK95" s="11"/>
      <c r="LSL95" s="11"/>
      <c r="LSM95" s="11"/>
      <c r="LSN95" s="11"/>
      <c r="LSO95" s="11"/>
      <c r="LSP95" s="11"/>
      <c r="LSQ95" s="11"/>
      <c r="LSR95" s="11"/>
      <c r="LSS95" s="11"/>
      <c r="LST95" s="11"/>
      <c r="LSU95" s="11"/>
      <c r="LSV95" s="11"/>
      <c r="LSW95" s="11"/>
      <c r="LSX95" s="11"/>
      <c r="LSY95" s="11"/>
      <c r="LSZ95" s="11"/>
      <c r="LTA95" s="11"/>
      <c r="LTB95" s="11"/>
      <c r="LTC95" s="11"/>
      <c r="LTD95" s="11"/>
      <c r="LTE95" s="11"/>
      <c r="LTF95" s="11"/>
      <c r="LTG95" s="11"/>
      <c r="LTH95" s="11"/>
      <c r="LTI95" s="11"/>
      <c r="LTJ95" s="11"/>
      <c r="LTK95" s="11"/>
      <c r="LTL95" s="11"/>
      <c r="LTM95" s="11"/>
      <c r="LTN95" s="11"/>
      <c r="LTO95" s="11"/>
      <c r="LTP95" s="11"/>
      <c r="LTQ95" s="11"/>
      <c r="LTR95" s="11"/>
      <c r="LTS95" s="11"/>
      <c r="LTT95" s="11"/>
      <c r="LTU95" s="11"/>
      <c r="LTV95" s="11"/>
      <c r="LTW95" s="11"/>
      <c r="LTX95" s="11"/>
      <c r="LTY95" s="11"/>
      <c r="LTZ95" s="11"/>
      <c r="LUA95" s="11"/>
      <c r="LUB95" s="11"/>
      <c r="LUC95" s="11"/>
      <c r="LUD95" s="11"/>
      <c r="LUE95" s="11"/>
      <c r="LUF95" s="11"/>
      <c r="LUG95" s="11"/>
      <c r="LUH95" s="11"/>
      <c r="LUI95" s="11"/>
      <c r="LUJ95" s="11"/>
      <c r="LUK95" s="11"/>
      <c r="LUL95" s="11"/>
      <c r="LUM95" s="11"/>
      <c r="LUN95" s="11"/>
      <c r="LUO95" s="11"/>
      <c r="LUP95" s="11"/>
      <c r="LUQ95" s="11"/>
      <c r="LUR95" s="11"/>
      <c r="LUS95" s="11"/>
      <c r="LUT95" s="11"/>
      <c r="LUU95" s="11"/>
      <c r="LUV95" s="11"/>
      <c r="LUW95" s="11"/>
      <c r="LUX95" s="11"/>
      <c r="LUY95" s="11"/>
      <c r="LUZ95" s="11"/>
      <c r="LVA95" s="11"/>
      <c r="LVB95" s="11"/>
      <c r="LVC95" s="11"/>
      <c r="LVD95" s="11"/>
      <c r="LVE95" s="11"/>
      <c r="LVF95" s="11"/>
      <c r="LVG95" s="11"/>
      <c r="LVH95" s="11"/>
      <c r="LVI95" s="11"/>
      <c r="LVJ95" s="11"/>
      <c r="LVK95" s="11"/>
      <c r="LVL95" s="11"/>
      <c r="LVM95" s="11"/>
      <c r="LVN95" s="11"/>
      <c r="LVO95" s="11"/>
      <c r="LVP95" s="11"/>
      <c r="LVQ95" s="11"/>
      <c r="LVR95" s="11"/>
      <c r="LVS95" s="11"/>
      <c r="LVT95" s="11"/>
      <c r="LVU95" s="11"/>
      <c r="LVV95" s="11"/>
      <c r="LVW95" s="11"/>
      <c r="LVX95" s="11"/>
      <c r="LVY95" s="11"/>
      <c r="LVZ95" s="11"/>
      <c r="LWA95" s="11"/>
      <c r="LWB95" s="11"/>
      <c r="LWC95" s="11"/>
      <c r="LWD95" s="11"/>
      <c r="LWE95" s="11"/>
      <c r="LWF95" s="11"/>
      <c r="LWG95" s="11"/>
      <c r="LWH95" s="11"/>
      <c r="LWI95" s="11"/>
      <c r="LWJ95" s="11"/>
      <c r="LWK95" s="11"/>
      <c r="LWL95" s="11"/>
      <c r="LWM95" s="11"/>
      <c r="LWN95" s="11"/>
      <c r="LWO95" s="11"/>
      <c r="LWP95" s="11"/>
      <c r="LWQ95" s="11"/>
      <c r="LWR95" s="11"/>
      <c r="LWS95" s="11"/>
      <c r="LWT95" s="11"/>
      <c r="LWU95" s="11"/>
      <c r="LWV95" s="11"/>
      <c r="LWW95" s="11"/>
      <c r="LWX95" s="11"/>
      <c r="LWY95" s="11"/>
      <c r="LWZ95" s="11"/>
      <c r="LXA95" s="11"/>
      <c r="LXB95" s="11"/>
      <c r="LXC95" s="11"/>
      <c r="LXD95" s="11"/>
      <c r="LXE95" s="11"/>
      <c r="LXF95" s="11"/>
      <c r="LXG95" s="11"/>
      <c r="LXH95" s="11"/>
      <c r="LXI95" s="11"/>
      <c r="LXJ95" s="11"/>
      <c r="LXK95" s="11"/>
      <c r="LXL95" s="11"/>
      <c r="LXM95" s="11"/>
      <c r="LXN95" s="11"/>
      <c r="LXO95" s="11"/>
      <c r="LXP95" s="11"/>
      <c r="LXQ95" s="11"/>
      <c r="LXR95" s="11"/>
      <c r="LXS95" s="11"/>
      <c r="LXT95" s="11"/>
      <c r="LXU95" s="11"/>
      <c r="LXV95" s="11"/>
      <c r="LXW95" s="11"/>
      <c r="LXX95" s="11"/>
      <c r="LXY95" s="11"/>
      <c r="LXZ95" s="11"/>
      <c r="LYA95" s="11"/>
      <c r="LYB95" s="11"/>
      <c r="LYC95" s="11"/>
      <c r="LYD95" s="11"/>
      <c r="LYE95" s="11"/>
      <c r="LYF95" s="11"/>
      <c r="LYG95" s="11"/>
      <c r="LYH95" s="11"/>
      <c r="LYI95" s="11"/>
      <c r="LYJ95" s="11"/>
      <c r="LYK95" s="11"/>
      <c r="LYL95" s="11"/>
      <c r="LYM95" s="11"/>
      <c r="LYN95" s="11"/>
      <c r="LYO95" s="11"/>
      <c r="LYP95" s="11"/>
      <c r="LYQ95" s="11"/>
      <c r="LYR95" s="11"/>
      <c r="LYS95" s="11"/>
      <c r="LYT95" s="11"/>
      <c r="LYU95" s="11"/>
      <c r="LYV95" s="11"/>
      <c r="LYW95" s="11"/>
      <c r="LYX95" s="11"/>
      <c r="LYY95" s="11"/>
      <c r="LYZ95" s="11"/>
      <c r="LZA95" s="11"/>
      <c r="LZB95" s="11"/>
      <c r="LZC95" s="11"/>
      <c r="LZD95" s="11"/>
      <c r="LZE95" s="11"/>
      <c r="LZF95" s="11"/>
      <c r="LZG95" s="11"/>
      <c r="LZH95" s="11"/>
      <c r="LZI95" s="11"/>
      <c r="LZJ95" s="11"/>
      <c r="LZK95" s="11"/>
      <c r="LZL95" s="11"/>
      <c r="LZM95" s="11"/>
      <c r="LZN95" s="11"/>
      <c r="LZO95" s="11"/>
      <c r="LZP95" s="11"/>
      <c r="LZQ95" s="11"/>
      <c r="LZR95" s="11"/>
      <c r="LZS95" s="11"/>
      <c r="LZT95" s="11"/>
      <c r="LZU95" s="11"/>
      <c r="LZV95" s="11"/>
      <c r="LZW95" s="11"/>
      <c r="LZX95" s="11"/>
      <c r="LZY95" s="11"/>
      <c r="LZZ95" s="11"/>
      <c r="MAA95" s="11"/>
      <c r="MAB95" s="11"/>
      <c r="MAC95" s="11"/>
      <c r="MAD95" s="11"/>
      <c r="MAE95" s="11"/>
      <c r="MAF95" s="11"/>
      <c r="MAG95" s="11"/>
      <c r="MAH95" s="11"/>
      <c r="MAI95" s="11"/>
      <c r="MAJ95" s="11"/>
      <c r="MAK95" s="11"/>
      <c r="MAL95" s="11"/>
      <c r="MAM95" s="11"/>
      <c r="MAN95" s="11"/>
      <c r="MAO95" s="11"/>
      <c r="MAP95" s="11"/>
      <c r="MAQ95" s="11"/>
      <c r="MAR95" s="11"/>
      <c r="MAS95" s="11"/>
      <c r="MAT95" s="11"/>
      <c r="MAU95" s="11"/>
      <c r="MAV95" s="11"/>
      <c r="MAW95" s="11"/>
      <c r="MAX95" s="11"/>
      <c r="MAY95" s="11"/>
      <c r="MAZ95" s="11"/>
      <c r="MBA95" s="11"/>
      <c r="MBB95" s="11"/>
      <c r="MBC95" s="11"/>
      <c r="MBD95" s="11"/>
      <c r="MBE95" s="11"/>
      <c r="MBF95" s="11"/>
      <c r="MBG95" s="11"/>
      <c r="MBH95" s="11"/>
      <c r="MBI95" s="11"/>
      <c r="MBJ95" s="11"/>
      <c r="MBK95" s="11"/>
      <c r="MBL95" s="11"/>
      <c r="MBM95" s="11"/>
      <c r="MBN95" s="11"/>
      <c r="MBO95" s="11"/>
      <c r="MBP95" s="11"/>
      <c r="MBQ95" s="11"/>
      <c r="MBR95" s="11"/>
      <c r="MBS95" s="11"/>
      <c r="MBT95" s="11"/>
      <c r="MBU95" s="11"/>
      <c r="MBV95" s="11"/>
      <c r="MBW95" s="11"/>
      <c r="MBX95" s="11"/>
      <c r="MBY95" s="11"/>
      <c r="MBZ95" s="11"/>
      <c r="MCA95" s="11"/>
      <c r="MCB95" s="11"/>
      <c r="MCC95" s="11"/>
      <c r="MCD95" s="11"/>
      <c r="MCE95" s="11"/>
      <c r="MCF95" s="11"/>
      <c r="MCG95" s="11"/>
      <c r="MCH95" s="11"/>
      <c r="MCI95" s="11"/>
      <c r="MCJ95" s="11"/>
      <c r="MCK95" s="11"/>
      <c r="MCL95" s="11"/>
      <c r="MCM95" s="11"/>
      <c r="MCN95" s="11"/>
      <c r="MCO95" s="11"/>
      <c r="MCP95" s="11"/>
      <c r="MCQ95" s="11"/>
      <c r="MCR95" s="11"/>
      <c r="MCS95" s="11"/>
      <c r="MCT95" s="11"/>
      <c r="MCU95" s="11"/>
      <c r="MCV95" s="11"/>
      <c r="MCW95" s="11"/>
      <c r="MCX95" s="11"/>
      <c r="MCY95" s="11"/>
      <c r="MCZ95" s="11"/>
      <c r="MDA95" s="11"/>
      <c r="MDB95" s="11"/>
      <c r="MDC95" s="11"/>
      <c r="MDD95" s="11"/>
      <c r="MDE95" s="11"/>
      <c r="MDF95" s="11"/>
      <c r="MDG95" s="11"/>
      <c r="MDH95" s="11"/>
      <c r="MDI95" s="11"/>
      <c r="MDJ95" s="11"/>
      <c r="MDK95" s="11"/>
      <c r="MDL95" s="11"/>
      <c r="MDM95" s="11"/>
      <c r="MDN95" s="11"/>
      <c r="MDO95" s="11"/>
      <c r="MDP95" s="11"/>
      <c r="MDQ95" s="11"/>
      <c r="MDR95" s="11"/>
      <c r="MDS95" s="11"/>
      <c r="MDT95" s="11"/>
      <c r="MDU95" s="11"/>
      <c r="MDV95" s="11"/>
      <c r="MDW95" s="11"/>
      <c r="MDX95" s="11"/>
      <c r="MDY95" s="11"/>
      <c r="MDZ95" s="11"/>
      <c r="MEA95" s="11"/>
      <c r="MEB95" s="11"/>
      <c r="MEC95" s="11"/>
      <c r="MED95" s="11"/>
      <c r="MEE95" s="11"/>
      <c r="MEF95" s="11"/>
      <c r="MEG95" s="11"/>
      <c r="MEH95" s="11"/>
      <c r="MEI95" s="11"/>
      <c r="MEJ95" s="11"/>
      <c r="MEK95" s="11"/>
      <c r="MEL95" s="11"/>
      <c r="MEM95" s="11"/>
      <c r="MEN95" s="11"/>
      <c r="MEO95" s="11"/>
      <c r="MEP95" s="11"/>
      <c r="MEQ95" s="11"/>
      <c r="MER95" s="11"/>
      <c r="MES95" s="11"/>
      <c r="MET95" s="11"/>
      <c r="MEU95" s="11"/>
      <c r="MEV95" s="11"/>
      <c r="MEW95" s="11"/>
      <c r="MEX95" s="11"/>
      <c r="MEY95" s="11"/>
      <c r="MEZ95" s="11"/>
      <c r="MFA95" s="11"/>
      <c r="MFB95" s="11"/>
      <c r="MFC95" s="11"/>
      <c r="MFD95" s="11"/>
      <c r="MFE95" s="11"/>
      <c r="MFF95" s="11"/>
      <c r="MFG95" s="11"/>
      <c r="MFH95" s="11"/>
      <c r="MFI95" s="11"/>
      <c r="MFJ95" s="11"/>
      <c r="MFK95" s="11"/>
      <c r="MFL95" s="11"/>
      <c r="MFM95" s="11"/>
      <c r="MFN95" s="11"/>
      <c r="MFO95" s="11"/>
      <c r="MFP95" s="11"/>
      <c r="MFQ95" s="11"/>
      <c r="MFR95" s="11"/>
      <c r="MFS95" s="11"/>
      <c r="MFT95" s="11"/>
      <c r="MFU95" s="11"/>
      <c r="MFV95" s="11"/>
      <c r="MFW95" s="11"/>
      <c r="MFX95" s="11"/>
      <c r="MFY95" s="11"/>
      <c r="MFZ95" s="11"/>
      <c r="MGA95" s="11"/>
      <c r="MGB95" s="11"/>
      <c r="MGC95" s="11"/>
      <c r="MGD95" s="11"/>
      <c r="MGE95" s="11"/>
      <c r="MGF95" s="11"/>
      <c r="MGG95" s="11"/>
      <c r="MGH95" s="11"/>
      <c r="MGI95" s="11"/>
      <c r="MGJ95" s="11"/>
      <c r="MGK95" s="11"/>
      <c r="MGL95" s="11"/>
      <c r="MGM95" s="11"/>
      <c r="MGN95" s="11"/>
      <c r="MGO95" s="11"/>
      <c r="MGP95" s="11"/>
      <c r="MGQ95" s="11"/>
      <c r="MGR95" s="11"/>
      <c r="MGS95" s="11"/>
      <c r="MGT95" s="11"/>
      <c r="MGU95" s="11"/>
      <c r="MGV95" s="11"/>
      <c r="MGW95" s="11"/>
      <c r="MGX95" s="11"/>
      <c r="MGY95" s="11"/>
      <c r="MGZ95" s="11"/>
      <c r="MHA95" s="11"/>
      <c r="MHB95" s="11"/>
      <c r="MHC95" s="11"/>
      <c r="MHD95" s="11"/>
      <c r="MHE95" s="11"/>
      <c r="MHF95" s="11"/>
      <c r="MHG95" s="11"/>
      <c r="MHH95" s="11"/>
      <c r="MHI95" s="11"/>
      <c r="MHJ95" s="11"/>
      <c r="MHK95" s="11"/>
      <c r="MHL95" s="11"/>
      <c r="MHM95" s="11"/>
      <c r="MHN95" s="11"/>
      <c r="MHO95" s="11"/>
      <c r="MHP95" s="11"/>
      <c r="MHQ95" s="11"/>
      <c r="MHR95" s="11"/>
      <c r="MHS95" s="11"/>
      <c r="MHT95" s="11"/>
      <c r="MHU95" s="11"/>
      <c r="MHV95" s="11"/>
      <c r="MHW95" s="11"/>
      <c r="MHX95" s="11"/>
      <c r="MHY95" s="11"/>
      <c r="MHZ95" s="11"/>
      <c r="MIA95" s="11"/>
      <c r="MIB95" s="11"/>
      <c r="MIC95" s="11"/>
      <c r="MID95" s="11"/>
      <c r="MIE95" s="11"/>
      <c r="MIF95" s="11"/>
      <c r="MIG95" s="11"/>
      <c r="MIH95" s="11"/>
      <c r="MII95" s="11"/>
      <c r="MIJ95" s="11"/>
      <c r="MIK95" s="11"/>
      <c r="MIL95" s="11"/>
      <c r="MIM95" s="11"/>
      <c r="MIN95" s="11"/>
      <c r="MIO95" s="11"/>
      <c r="MIP95" s="11"/>
      <c r="MIQ95" s="11"/>
      <c r="MIR95" s="11"/>
      <c r="MIS95" s="11"/>
      <c r="MIT95" s="11"/>
      <c r="MIU95" s="11"/>
      <c r="MIV95" s="11"/>
      <c r="MIW95" s="11"/>
      <c r="MIX95" s="11"/>
      <c r="MIY95" s="11"/>
      <c r="MIZ95" s="11"/>
      <c r="MJA95" s="11"/>
      <c r="MJB95" s="11"/>
      <c r="MJC95" s="11"/>
      <c r="MJD95" s="11"/>
      <c r="MJE95" s="11"/>
      <c r="MJF95" s="11"/>
      <c r="MJG95" s="11"/>
      <c r="MJH95" s="11"/>
      <c r="MJI95" s="11"/>
      <c r="MJJ95" s="11"/>
      <c r="MJK95" s="11"/>
      <c r="MJL95" s="11"/>
      <c r="MJM95" s="11"/>
      <c r="MJN95" s="11"/>
      <c r="MJO95" s="11"/>
      <c r="MJP95" s="11"/>
      <c r="MJQ95" s="11"/>
      <c r="MJR95" s="11"/>
      <c r="MJS95" s="11"/>
      <c r="MJT95" s="11"/>
      <c r="MJU95" s="11"/>
      <c r="MJV95" s="11"/>
      <c r="MJW95" s="11"/>
      <c r="MJX95" s="11"/>
      <c r="MJY95" s="11"/>
      <c r="MJZ95" s="11"/>
      <c r="MKA95" s="11"/>
      <c r="MKB95" s="11"/>
      <c r="MKC95" s="11"/>
      <c r="MKD95" s="11"/>
      <c r="MKE95" s="11"/>
      <c r="MKF95" s="11"/>
      <c r="MKG95" s="11"/>
      <c r="MKH95" s="11"/>
      <c r="MKI95" s="11"/>
      <c r="MKJ95" s="11"/>
      <c r="MKK95" s="11"/>
      <c r="MKL95" s="11"/>
      <c r="MKM95" s="11"/>
      <c r="MKN95" s="11"/>
      <c r="MKO95" s="11"/>
      <c r="MKP95" s="11"/>
      <c r="MKQ95" s="11"/>
      <c r="MKR95" s="11"/>
      <c r="MKS95" s="11"/>
      <c r="MKT95" s="11"/>
      <c r="MKU95" s="11"/>
      <c r="MKV95" s="11"/>
      <c r="MKW95" s="11"/>
      <c r="MKX95" s="11"/>
      <c r="MKY95" s="11"/>
      <c r="MKZ95" s="11"/>
      <c r="MLA95" s="11"/>
      <c r="MLB95" s="11"/>
      <c r="MLC95" s="11"/>
      <c r="MLD95" s="11"/>
      <c r="MLE95" s="11"/>
      <c r="MLF95" s="11"/>
      <c r="MLG95" s="11"/>
      <c r="MLH95" s="11"/>
      <c r="MLI95" s="11"/>
      <c r="MLJ95" s="11"/>
      <c r="MLK95" s="11"/>
      <c r="MLL95" s="11"/>
      <c r="MLM95" s="11"/>
      <c r="MLN95" s="11"/>
      <c r="MLO95" s="11"/>
      <c r="MLP95" s="11"/>
      <c r="MLQ95" s="11"/>
      <c r="MLR95" s="11"/>
      <c r="MLS95" s="11"/>
      <c r="MLT95" s="11"/>
      <c r="MLU95" s="11"/>
      <c r="MLV95" s="11"/>
      <c r="MLW95" s="11"/>
      <c r="MLX95" s="11"/>
      <c r="MLY95" s="11"/>
      <c r="MLZ95" s="11"/>
      <c r="MMA95" s="11"/>
      <c r="MMB95" s="11"/>
      <c r="MMC95" s="11"/>
      <c r="MMD95" s="11"/>
      <c r="MME95" s="11"/>
      <c r="MMF95" s="11"/>
      <c r="MMG95" s="11"/>
      <c r="MMH95" s="11"/>
      <c r="MMI95" s="11"/>
      <c r="MMJ95" s="11"/>
      <c r="MMK95" s="11"/>
      <c r="MML95" s="11"/>
      <c r="MMM95" s="11"/>
      <c r="MMN95" s="11"/>
      <c r="MMO95" s="11"/>
      <c r="MMP95" s="11"/>
      <c r="MMQ95" s="11"/>
      <c r="MMR95" s="11"/>
      <c r="MMS95" s="11"/>
      <c r="MMT95" s="11"/>
      <c r="MMU95" s="11"/>
      <c r="MMV95" s="11"/>
      <c r="MMW95" s="11"/>
      <c r="MMX95" s="11"/>
      <c r="MMY95" s="11"/>
      <c r="MMZ95" s="11"/>
      <c r="MNA95" s="11"/>
      <c r="MNB95" s="11"/>
      <c r="MNC95" s="11"/>
      <c r="MND95" s="11"/>
      <c r="MNE95" s="11"/>
      <c r="MNF95" s="11"/>
      <c r="MNG95" s="11"/>
      <c r="MNH95" s="11"/>
      <c r="MNI95" s="11"/>
      <c r="MNJ95" s="11"/>
      <c r="MNK95" s="11"/>
      <c r="MNL95" s="11"/>
      <c r="MNM95" s="11"/>
      <c r="MNN95" s="11"/>
      <c r="MNO95" s="11"/>
      <c r="MNP95" s="11"/>
      <c r="MNQ95" s="11"/>
      <c r="MNR95" s="11"/>
      <c r="MNS95" s="11"/>
      <c r="MNT95" s="11"/>
      <c r="MNU95" s="11"/>
      <c r="MNV95" s="11"/>
      <c r="MNW95" s="11"/>
      <c r="MNX95" s="11"/>
      <c r="MNY95" s="11"/>
      <c r="MNZ95" s="11"/>
      <c r="MOA95" s="11"/>
      <c r="MOB95" s="11"/>
      <c r="MOC95" s="11"/>
      <c r="MOD95" s="11"/>
      <c r="MOE95" s="11"/>
      <c r="MOF95" s="11"/>
      <c r="MOG95" s="11"/>
      <c r="MOH95" s="11"/>
      <c r="MOI95" s="11"/>
      <c r="MOJ95" s="11"/>
      <c r="MOK95" s="11"/>
      <c r="MOL95" s="11"/>
      <c r="MOM95" s="11"/>
      <c r="MON95" s="11"/>
      <c r="MOO95" s="11"/>
      <c r="MOP95" s="11"/>
      <c r="MOQ95" s="11"/>
      <c r="MOR95" s="11"/>
      <c r="MOS95" s="11"/>
      <c r="MOT95" s="11"/>
      <c r="MOU95" s="11"/>
      <c r="MOV95" s="11"/>
      <c r="MOW95" s="11"/>
      <c r="MOX95" s="11"/>
      <c r="MOY95" s="11"/>
      <c r="MOZ95" s="11"/>
      <c r="MPA95" s="11"/>
      <c r="MPB95" s="11"/>
      <c r="MPC95" s="11"/>
      <c r="MPD95" s="11"/>
      <c r="MPE95" s="11"/>
      <c r="MPF95" s="11"/>
      <c r="MPG95" s="11"/>
      <c r="MPH95" s="11"/>
      <c r="MPI95" s="11"/>
      <c r="MPJ95" s="11"/>
      <c r="MPK95" s="11"/>
      <c r="MPL95" s="11"/>
      <c r="MPM95" s="11"/>
      <c r="MPN95" s="11"/>
      <c r="MPO95" s="11"/>
      <c r="MPP95" s="11"/>
      <c r="MPQ95" s="11"/>
      <c r="MPR95" s="11"/>
      <c r="MPS95" s="11"/>
      <c r="MPT95" s="11"/>
      <c r="MPU95" s="11"/>
      <c r="MPV95" s="11"/>
      <c r="MPW95" s="11"/>
      <c r="MPX95" s="11"/>
      <c r="MPY95" s="11"/>
      <c r="MPZ95" s="11"/>
      <c r="MQA95" s="11"/>
      <c r="MQB95" s="11"/>
      <c r="MQC95" s="11"/>
      <c r="MQD95" s="11"/>
      <c r="MQE95" s="11"/>
      <c r="MQF95" s="11"/>
      <c r="MQG95" s="11"/>
      <c r="MQH95" s="11"/>
      <c r="MQI95" s="11"/>
      <c r="MQJ95" s="11"/>
      <c r="MQK95" s="11"/>
      <c r="MQL95" s="11"/>
      <c r="MQM95" s="11"/>
      <c r="MQN95" s="11"/>
      <c r="MQO95" s="11"/>
      <c r="MQP95" s="11"/>
      <c r="MQQ95" s="11"/>
      <c r="MQR95" s="11"/>
      <c r="MQS95" s="11"/>
      <c r="MQT95" s="11"/>
      <c r="MQU95" s="11"/>
      <c r="MQV95" s="11"/>
      <c r="MQW95" s="11"/>
      <c r="MQX95" s="11"/>
      <c r="MQY95" s="11"/>
      <c r="MQZ95" s="11"/>
      <c r="MRA95" s="11"/>
      <c r="MRB95" s="11"/>
      <c r="MRC95" s="11"/>
      <c r="MRD95" s="11"/>
      <c r="MRE95" s="11"/>
      <c r="MRF95" s="11"/>
      <c r="MRG95" s="11"/>
      <c r="MRH95" s="11"/>
      <c r="MRI95" s="11"/>
      <c r="MRJ95" s="11"/>
      <c r="MRK95" s="11"/>
      <c r="MRL95" s="11"/>
      <c r="MRM95" s="11"/>
      <c r="MRN95" s="11"/>
      <c r="MRO95" s="11"/>
      <c r="MRP95" s="11"/>
      <c r="MRQ95" s="11"/>
      <c r="MRR95" s="11"/>
      <c r="MRS95" s="11"/>
      <c r="MRT95" s="11"/>
      <c r="MRU95" s="11"/>
      <c r="MRV95" s="11"/>
      <c r="MRW95" s="11"/>
      <c r="MRX95" s="11"/>
      <c r="MRY95" s="11"/>
      <c r="MRZ95" s="11"/>
      <c r="MSA95" s="11"/>
      <c r="MSB95" s="11"/>
      <c r="MSC95" s="11"/>
      <c r="MSD95" s="11"/>
      <c r="MSE95" s="11"/>
      <c r="MSF95" s="11"/>
      <c r="MSG95" s="11"/>
      <c r="MSH95" s="11"/>
      <c r="MSI95" s="11"/>
      <c r="MSJ95" s="11"/>
      <c r="MSK95" s="11"/>
      <c r="MSL95" s="11"/>
      <c r="MSM95" s="11"/>
      <c r="MSN95" s="11"/>
      <c r="MSO95" s="11"/>
      <c r="MSP95" s="11"/>
      <c r="MSQ95" s="11"/>
      <c r="MSR95" s="11"/>
      <c r="MSS95" s="11"/>
      <c r="MST95" s="11"/>
      <c r="MSU95" s="11"/>
      <c r="MSV95" s="11"/>
      <c r="MSW95" s="11"/>
      <c r="MSX95" s="11"/>
      <c r="MSY95" s="11"/>
      <c r="MSZ95" s="11"/>
      <c r="MTA95" s="11"/>
      <c r="MTB95" s="11"/>
      <c r="MTC95" s="11"/>
      <c r="MTD95" s="11"/>
      <c r="MTE95" s="11"/>
      <c r="MTF95" s="11"/>
      <c r="MTG95" s="11"/>
      <c r="MTH95" s="11"/>
      <c r="MTI95" s="11"/>
      <c r="MTJ95" s="11"/>
      <c r="MTK95" s="11"/>
      <c r="MTL95" s="11"/>
      <c r="MTM95" s="11"/>
      <c r="MTN95" s="11"/>
      <c r="MTO95" s="11"/>
      <c r="MTP95" s="11"/>
      <c r="MTQ95" s="11"/>
      <c r="MTR95" s="11"/>
      <c r="MTS95" s="11"/>
      <c r="MTT95" s="11"/>
      <c r="MTU95" s="11"/>
      <c r="MTV95" s="11"/>
      <c r="MTW95" s="11"/>
      <c r="MTX95" s="11"/>
      <c r="MTY95" s="11"/>
      <c r="MTZ95" s="11"/>
      <c r="MUA95" s="11"/>
      <c r="MUB95" s="11"/>
      <c r="MUC95" s="11"/>
      <c r="MUD95" s="11"/>
      <c r="MUE95" s="11"/>
      <c r="MUF95" s="11"/>
      <c r="MUG95" s="11"/>
      <c r="MUH95" s="11"/>
      <c r="MUI95" s="11"/>
      <c r="MUJ95" s="11"/>
      <c r="MUK95" s="11"/>
      <c r="MUL95" s="11"/>
      <c r="MUM95" s="11"/>
      <c r="MUN95" s="11"/>
      <c r="MUO95" s="11"/>
      <c r="MUP95" s="11"/>
      <c r="MUQ95" s="11"/>
      <c r="MUR95" s="11"/>
      <c r="MUS95" s="11"/>
      <c r="MUT95" s="11"/>
      <c r="MUU95" s="11"/>
      <c r="MUV95" s="11"/>
      <c r="MUW95" s="11"/>
      <c r="MUX95" s="11"/>
      <c r="MUY95" s="11"/>
      <c r="MUZ95" s="11"/>
      <c r="MVA95" s="11"/>
      <c r="MVB95" s="11"/>
      <c r="MVC95" s="11"/>
      <c r="MVD95" s="11"/>
      <c r="MVE95" s="11"/>
      <c r="MVF95" s="11"/>
      <c r="MVG95" s="11"/>
      <c r="MVH95" s="11"/>
      <c r="MVI95" s="11"/>
      <c r="MVJ95" s="11"/>
      <c r="MVK95" s="11"/>
      <c r="MVL95" s="11"/>
      <c r="MVM95" s="11"/>
      <c r="MVN95" s="11"/>
      <c r="MVO95" s="11"/>
      <c r="MVP95" s="11"/>
      <c r="MVQ95" s="11"/>
      <c r="MVR95" s="11"/>
      <c r="MVS95" s="11"/>
      <c r="MVT95" s="11"/>
      <c r="MVU95" s="11"/>
      <c r="MVV95" s="11"/>
      <c r="MVW95" s="11"/>
      <c r="MVX95" s="11"/>
      <c r="MVY95" s="11"/>
      <c r="MVZ95" s="11"/>
      <c r="MWA95" s="11"/>
      <c r="MWB95" s="11"/>
      <c r="MWC95" s="11"/>
      <c r="MWD95" s="11"/>
      <c r="MWE95" s="11"/>
      <c r="MWF95" s="11"/>
      <c r="MWG95" s="11"/>
      <c r="MWH95" s="11"/>
      <c r="MWI95" s="11"/>
      <c r="MWJ95" s="11"/>
      <c r="MWK95" s="11"/>
      <c r="MWL95" s="11"/>
      <c r="MWM95" s="11"/>
      <c r="MWN95" s="11"/>
      <c r="MWO95" s="11"/>
      <c r="MWP95" s="11"/>
      <c r="MWQ95" s="11"/>
      <c r="MWR95" s="11"/>
      <c r="MWS95" s="11"/>
      <c r="MWT95" s="11"/>
      <c r="MWU95" s="11"/>
      <c r="MWV95" s="11"/>
      <c r="MWW95" s="11"/>
      <c r="MWX95" s="11"/>
      <c r="MWY95" s="11"/>
      <c r="MWZ95" s="11"/>
      <c r="MXA95" s="11"/>
      <c r="MXB95" s="11"/>
      <c r="MXC95" s="11"/>
      <c r="MXD95" s="11"/>
      <c r="MXE95" s="11"/>
      <c r="MXF95" s="11"/>
      <c r="MXG95" s="11"/>
      <c r="MXH95" s="11"/>
      <c r="MXI95" s="11"/>
      <c r="MXJ95" s="11"/>
      <c r="MXK95" s="11"/>
      <c r="MXL95" s="11"/>
      <c r="MXM95" s="11"/>
      <c r="MXN95" s="11"/>
      <c r="MXO95" s="11"/>
      <c r="MXP95" s="11"/>
      <c r="MXQ95" s="11"/>
      <c r="MXR95" s="11"/>
      <c r="MXS95" s="11"/>
      <c r="MXT95" s="11"/>
      <c r="MXU95" s="11"/>
      <c r="MXV95" s="11"/>
      <c r="MXW95" s="11"/>
      <c r="MXX95" s="11"/>
      <c r="MXY95" s="11"/>
      <c r="MXZ95" s="11"/>
      <c r="MYA95" s="11"/>
      <c r="MYB95" s="11"/>
      <c r="MYC95" s="11"/>
      <c r="MYD95" s="11"/>
      <c r="MYE95" s="11"/>
      <c r="MYF95" s="11"/>
      <c r="MYG95" s="11"/>
      <c r="MYH95" s="11"/>
      <c r="MYI95" s="11"/>
      <c r="MYJ95" s="11"/>
      <c r="MYK95" s="11"/>
      <c r="MYL95" s="11"/>
      <c r="MYM95" s="11"/>
      <c r="MYN95" s="11"/>
      <c r="MYO95" s="11"/>
      <c r="MYP95" s="11"/>
      <c r="MYQ95" s="11"/>
      <c r="MYR95" s="11"/>
      <c r="MYS95" s="11"/>
      <c r="MYT95" s="11"/>
      <c r="MYU95" s="11"/>
      <c r="MYV95" s="11"/>
      <c r="MYW95" s="11"/>
      <c r="MYX95" s="11"/>
      <c r="MYY95" s="11"/>
      <c r="MYZ95" s="11"/>
      <c r="MZA95" s="11"/>
      <c r="MZB95" s="11"/>
      <c r="MZC95" s="11"/>
      <c r="MZD95" s="11"/>
      <c r="MZE95" s="11"/>
      <c r="MZF95" s="11"/>
      <c r="MZG95" s="11"/>
      <c r="MZH95" s="11"/>
      <c r="MZI95" s="11"/>
      <c r="MZJ95" s="11"/>
      <c r="MZK95" s="11"/>
      <c r="MZL95" s="11"/>
      <c r="MZM95" s="11"/>
      <c r="MZN95" s="11"/>
      <c r="MZO95" s="11"/>
      <c r="MZP95" s="11"/>
      <c r="MZQ95" s="11"/>
      <c r="MZR95" s="11"/>
      <c r="MZS95" s="11"/>
      <c r="MZT95" s="11"/>
      <c r="MZU95" s="11"/>
      <c r="MZV95" s="11"/>
      <c r="MZW95" s="11"/>
      <c r="MZX95" s="11"/>
      <c r="MZY95" s="11"/>
      <c r="MZZ95" s="11"/>
      <c r="NAA95" s="11"/>
      <c r="NAB95" s="11"/>
      <c r="NAC95" s="11"/>
      <c r="NAD95" s="11"/>
      <c r="NAE95" s="11"/>
      <c r="NAF95" s="11"/>
      <c r="NAG95" s="11"/>
      <c r="NAH95" s="11"/>
      <c r="NAI95" s="11"/>
      <c r="NAJ95" s="11"/>
      <c r="NAK95" s="11"/>
      <c r="NAL95" s="11"/>
      <c r="NAM95" s="11"/>
      <c r="NAN95" s="11"/>
      <c r="NAO95" s="11"/>
      <c r="NAP95" s="11"/>
      <c r="NAQ95" s="11"/>
      <c r="NAR95" s="11"/>
      <c r="NAS95" s="11"/>
      <c r="NAT95" s="11"/>
      <c r="NAU95" s="11"/>
      <c r="NAV95" s="11"/>
      <c r="NAW95" s="11"/>
      <c r="NAX95" s="11"/>
      <c r="NAY95" s="11"/>
      <c r="NAZ95" s="11"/>
      <c r="NBA95" s="11"/>
      <c r="NBB95" s="11"/>
      <c r="NBC95" s="11"/>
      <c r="NBD95" s="11"/>
      <c r="NBE95" s="11"/>
      <c r="NBF95" s="11"/>
      <c r="NBG95" s="11"/>
      <c r="NBH95" s="11"/>
      <c r="NBI95" s="11"/>
      <c r="NBJ95" s="11"/>
      <c r="NBK95" s="11"/>
      <c r="NBL95" s="11"/>
      <c r="NBM95" s="11"/>
      <c r="NBN95" s="11"/>
      <c r="NBO95" s="11"/>
      <c r="NBP95" s="11"/>
      <c r="NBQ95" s="11"/>
      <c r="NBR95" s="11"/>
      <c r="NBS95" s="11"/>
      <c r="NBT95" s="11"/>
      <c r="NBU95" s="11"/>
      <c r="NBV95" s="11"/>
      <c r="NBW95" s="11"/>
      <c r="NBX95" s="11"/>
      <c r="NBY95" s="11"/>
      <c r="NBZ95" s="11"/>
      <c r="NCA95" s="11"/>
      <c r="NCB95" s="11"/>
      <c r="NCC95" s="11"/>
      <c r="NCD95" s="11"/>
      <c r="NCE95" s="11"/>
      <c r="NCF95" s="11"/>
      <c r="NCG95" s="11"/>
      <c r="NCH95" s="11"/>
      <c r="NCI95" s="11"/>
      <c r="NCJ95" s="11"/>
      <c r="NCK95" s="11"/>
      <c r="NCL95" s="11"/>
      <c r="NCM95" s="11"/>
      <c r="NCN95" s="11"/>
      <c r="NCO95" s="11"/>
      <c r="NCP95" s="11"/>
      <c r="NCQ95" s="11"/>
      <c r="NCR95" s="11"/>
      <c r="NCS95" s="11"/>
      <c r="NCT95" s="11"/>
      <c r="NCU95" s="11"/>
      <c r="NCV95" s="11"/>
      <c r="NCW95" s="11"/>
      <c r="NCX95" s="11"/>
      <c r="NCY95" s="11"/>
      <c r="NCZ95" s="11"/>
      <c r="NDA95" s="11"/>
      <c r="NDB95" s="11"/>
      <c r="NDC95" s="11"/>
      <c r="NDD95" s="11"/>
      <c r="NDE95" s="11"/>
      <c r="NDF95" s="11"/>
      <c r="NDG95" s="11"/>
      <c r="NDH95" s="11"/>
      <c r="NDI95" s="11"/>
      <c r="NDJ95" s="11"/>
      <c r="NDK95" s="11"/>
      <c r="NDL95" s="11"/>
      <c r="NDM95" s="11"/>
      <c r="NDN95" s="11"/>
      <c r="NDO95" s="11"/>
      <c r="NDP95" s="11"/>
      <c r="NDQ95" s="11"/>
      <c r="NDR95" s="11"/>
      <c r="NDS95" s="11"/>
      <c r="NDT95" s="11"/>
      <c r="NDU95" s="11"/>
      <c r="NDV95" s="11"/>
      <c r="NDW95" s="11"/>
      <c r="NDX95" s="11"/>
      <c r="NDY95" s="11"/>
      <c r="NDZ95" s="11"/>
      <c r="NEA95" s="11"/>
      <c r="NEB95" s="11"/>
      <c r="NEC95" s="11"/>
      <c r="NED95" s="11"/>
      <c r="NEE95" s="11"/>
      <c r="NEF95" s="11"/>
      <c r="NEG95" s="11"/>
      <c r="NEH95" s="11"/>
      <c r="NEI95" s="11"/>
      <c r="NEJ95" s="11"/>
      <c r="NEK95" s="11"/>
      <c r="NEL95" s="11"/>
      <c r="NEM95" s="11"/>
      <c r="NEN95" s="11"/>
      <c r="NEO95" s="11"/>
      <c r="NEP95" s="11"/>
      <c r="NEQ95" s="11"/>
      <c r="NER95" s="11"/>
      <c r="NES95" s="11"/>
      <c r="NET95" s="11"/>
      <c r="NEU95" s="11"/>
      <c r="NEV95" s="11"/>
      <c r="NEW95" s="11"/>
      <c r="NEX95" s="11"/>
      <c r="NEY95" s="11"/>
      <c r="NEZ95" s="11"/>
      <c r="NFA95" s="11"/>
      <c r="NFB95" s="11"/>
      <c r="NFC95" s="11"/>
      <c r="NFD95" s="11"/>
      <c r="NFE95" s="11"/>
      <c r="NFF95" s="11"/>
      <c r="NFG95" s="11"/>
      <c r="NFH95" s="11"/>
      <c r="NFI95" s="11"/>
      <c r="NFJ95" s="11"/>
      <c r="NFK95" s="11"/>
      <c r="NFL95" s="11"/>
      <c r="NFM95" s="11"/>
      <c r="NFN95" s="11"/>
      <c r="NFO95" s="11"/>
      <c r="NFP95" s="11"/>
      <c r="NFQ95" s="11"/>
      <c r="NFR95" s="11"/>
      <c r="NFS95" s="11"/>
      <c r="NFT95" s="11"/>
      <c r="NFU95" s="11"/>
      <c r="NFV95" s="11"/>
      <c r="NFW95" s="11"/>
      <c r="NFX95" s="11"/>
      <c r="NFY95" s="11"/>
      <c r="NFZ95" s="11"/>
      <c r="NGA95" s="11"/>
      <c r="NGB95" s="11"/>
      <c r="NGC95" s="11"/>
      <c r="NGD95" s="11"/>
      <c r="NGE95" s="11"/>
      <c r="NGF95" s="11"/>
      <c r="NGG95" s="11"/>
      <c r="NGH95" s="11"/>
      <c r="NGI95" s="11"/>
      <c r="NGJ95" s="11"/>
      <c r="NGK95" s="11"/>
      <c r="NGL95" s="11"/>
      <c r="NGM95" s="11"/>
      <c r="NGN95" s="11"/>
      <c r="NGO95" s="11"/>
      <c r="NGP95" s="11"/>
      <c r="NGQ95" s="11"/>
      <c r="NGR95" s="11"/>
      <c r="NGS95" s="11"/>
      <c r="NGT95" s="11"/>
      <c r="NGU95" s="11"/>
      <c r="NGV95" s="11"/>
      <c r="NGW95" s="11"/>
      <c r="NGX95" s="11"/>
      <c r="NGY95" s="11"/>
      <c r="NGZ95" s="11"/>
      <c r="NHA95" s="11"/>
      <c r="NHB95" s="11"/>
      <c r="NHC95" s="11"/>
      <c r="NHD95" s="11"/>
      <c r="NHE95" s="11"/>
      <c r="NHF95" s="11"/>
      <c r="NHG95" s="11"/>
      <c r="NHH95" s="11"/>
      <c r="NHI95" s="11"/>
      <c r="NHJ95" s="11"/>
      <c r="NHK95" s="11"/>
      <c r="NHL95" s="11"/>
      <c r="NHM95" s="11"/>
      <c r="NHN95" s="11"/>
      <c r="NHO95" s="11"/>
      <c r="NHP95" s="11"/>
      <c r="NHQ95" s="11"/>
      <c r="NHR95" s="11"/>
      <c r="NHS95" s="11"/>
      <c r="NHT95" s="11"/>
      <c r="NHU95" s="11"/>
      <c r="NHV95" s="11"/>
      <c r="NHW95" s="11"/>
      <c r="NHX95" s="11"/>
      <c r="NHY95" s="11"/>
      <c r="NHZ95" s="11"/>
      <c r="NIA95" s="11"/>
      <c r="NIB95" s="11"/>
      <c r="NIC95" s="11"/>
      <c r="NID95" s="11"/>
      <c r="NIE95" s="11"/>
      <c r="NIF95" s="11"/>
      <c r="NIG95" s="11"/>
      <c r="NIH95" s="11"/>
      <c r="NII95" s="11"/>
      <c r="NIJ95" s="11"/>
      <c r="NIK95" s="11"/>
      <c r="NIL95" s="11"/>
      <c r="NIM95" s="11"/>
      <c r="NIN95" s="11"/>
      <c r="NIO95" s="11"/>
      <c r="NIP95" s="11"/>
      <c r="NIQ95" s="11"/>
      <c r="NIR95" s="11"/>
      <c r="NIS95" s="11"/>
      <c r="NIT95" s="11"/>
      <c r="NIU95" s="11"/>
      <c r="NIV95" s="11"/>
      <c r="NIW95" s="11"/>
      <c r="NIX95" s="11"/>
      <c r="NIY95" s="11"/>
      <c r="NIZ95" s="11"/>
      <c r="NJA95" s="11"/>
      <c r="NJB95" s="11"/>
      <c r="NJC95" s="11"/>
      <c r="NJD95" s="11"/>
      <c r="NJE95" s="11"/>
      <c r="NJF95" s="11"/>
      <c r="NJG95" s="11"/>
      <c r="NJH95" s="11"/>
      <c r="NJI95" s="11"/>
      <c r="NJJ95" s="11"/>
      <c r="NJK95" s="11"/>
      <c r="NJL95" s="11"/>
      <c r="NJM95" s="11"/>
      <c r="NJN95" s="11"/>
      <c r="NJO95" s="11"/>
      <c r="NJP95" s="11"/>
      <c r="NJQ95" s="11"/>
      <c r="NJR95" s="11"/>
      <c r="NJS95" s="11"/>
      <c r="NJT95" s="11"/>
      <c r="NJU95" s="11"/>
      <c r="NJV95" s="11"/>
      <c r="NJW95" s="11"/>
      <c r="NJX95" s="11"/>
      <c r="NJY95" s="11"/>
      <c r="NJZ95" s="11"/>
      <c r="NKA95" s="11"/>
      <c r="NKB95" s="11"/>
      <c r="NKC95" s="11"/>
      <c r="NKD95" s="11"/>
      <c r="NKE95" s="11"/>
      <c r="NKF95" s="11"/>
      <c r="NKG95" s="11"/>
      <c r="NKH95" s="11"/>
      <c r="NKI95" s="11"/>
      <c r="NKJ95" s="11"/>
      <c r="NKK95" s="11"/>
      <c r="NKL95" s="11"/>
      <c r="NKM95" s="11"/>
      <c r="NKN95" s="11"/>
      <c r="NKO95" s="11"/>
      <c r="NKP95" s="11"/>
      <c r="NKQ95" s="11"/>
      <c r="NKR95" s="11"/>
      <c r="NKS95" s="11"/>
      <c r="NKT95" s="11"/>
      <c r="NKU95" s="11"/>
      <c r="NKV95" s="11"/>
      <c r="NKW95" s="11"/>
      <c r="NKX95" s="11"/>
      <c r="NKY95" s="11"/>
      <c r="NKZ95" s="11"/>
      <c r="NLA95" s="11"/>
      <c r="NLB95" s="11"/>
      <c r="NLC95" s="11"/>
      <c r="NLD95" s="11"/>
      <c r="NLE95" s="11"/>
      <c r="NLF95" s="11"/>
      <c r="NLG95" s="11"/>
      <c r="NLH95" s="11"/>
      <c r="NLI95" s="11"/>
      <c r="NLJ95" s="11"/>
      <c r="NLK95" s="11"/>
      <c r="NLL95" s="11"/>
      <c r="NLM95" s="11"/>
      <c r="NLN95" s="11"/>
      <c r="NLO95" s="11"/>
      <c r="NLP95" s="11"/>
      <c r="NLQ95" s="11"/>
      <c r="NLR95" s="11"/>
      <c r="NLS95" s="11"/>
      <c r="NLT95" s="11"/>
      <c r="NLU95" s="11"/>
      <c r="NLV95" s="11"/>
      <c r="NLW95" s="11"/>
      <c r="NLX95" s="11"/>
      <c r="NLY95" s="11"/>
      <c r="NLZ95" s="11"/>
      <c r="NMA95" s="11"/>
      <c r="NMB95" s="11"/>
      <c r="NMC95" s="11"/>
      <c r="NMD95" s="11"/>
      <c r="NME95" s="11"/>
      <c r="NMF95" s="11"/>
      <c r="NMG95" s="11"/>
      <c r="NMH95" s="11"/>
      <c r="NMI95" s="11"/>
      <c r="NMJ95" s="11"/>
      <c r="NMK95" s="11"/>
      <c r="NML95" s="11"/>
      <c r="NMM95" s="11"/>
      <c r="NMN95" s="11"/>
      <c r="NMO95" s="11"/>
      <c r="NMP95" s="11"/>
      <c r="NMQ95" s="11"/>
      <c r="NMR95" s="11"/>
      <c r="NMS95" s="11"/>
      <c r="NMT95" s="11"/>
      <c r="NMU95" s="11"/>
      <c r="NMV95" s="11"/>
      <c r="NMW95" s="11"/>
      <c r="NMX95" s="11"/>
      <c r="NMY95" s="11"/>
      <c r="NMZ95" s="11"/>
      <c r="NNA95" s="11"/>
      <c r="NNB95" s="11"/>
      <c r="NNC95" s="11"/>
      <c r="NND95" s="11"/>
      <c r="NNE95" s="11"/>
      <c r="NNF95" s="11"/>
      <c r="NNG95" s="11"/>
      <c r="NNH95" s="11"/>
      <c r="NNI95" s="11"/>
      <c r="NNJ95" s="11"/>
      <c r="NNK95" s="11"/>
      <c r="NNL95" s="11"/>
      <c r="NNM95" s="11"/>
      <c r="NNN95" s="11"/>
      <c r="NNO95" s="11"/>
      <c r="NNP95" s="11"/>
      <c r="NNQ95" s="11"/>
      <c r="NNR95" s="11"/>
      <c r="NNS95" s="11"/>
      <c r="NNT95" s="11"/>
      <c r="NNU95" s="11"/>
      <c r="NNV95" s="11"/>
      <c r="NNW95" s="11"/>
      <c r="NNX95" s="11"/>
      <c r="NNY95" s="11"/>
      <c r="NNZ95" s="11"/>
      <c r="NOA95" s="11"/>
      <c r="NOB95" s="11"/>
      <c r="NOC95" s="11"/>
      <c r="NOD95" s="11"/>
      <c r="NOE95" s="11"/>
      <c r="NOF95" s="11"/>
      <c r="NOG95" s="11"/>
      <c r="NOH95" s="11"/>
      <c r="NOI95" s="11"/>
      <c r="NOJ95" s="11"/>
      <c r="NOK95" s="11"/>
      <c r="NOL95" s="11"/>
      <c r="NOM95" s="11"/>
      <c r="NON95" s="11"/>
      <c r="NOO95" s="11"/>
      <c r="NOP95" s="11"/>
      <c r="NOQ95" s="11"/>
      <c r="NOR95" s="11"/>
      <c r="NOS95" s="11"/>
      <c r="NOT95" s="11"/>
      <c r="NOU95" s="11"/>
      <c r="NOV95" s="11"/>
      <c r="NOW95" s="11"/>
      <c r="NOX95" s="11"/>
      <c r="NOY95" s="11"/>
      <c r="NOZ95" s="11"/>
      <c r="NPA95" s="11"/>
      <c r="NPB95" s="11"/>
      <c r="NPC95" s="11"/>
      <c r="NPD95" s="11"/>
      <c r="NPE95" s="11"/>
      <c r="NPF95" s="11"/>
      <c r="NPG95" s="11"/>
      <c r="NPH95" s="11"/>
      <c r="NPI95" s="11"/>
      <c r="NPJ95" s="11"/>
      <c r="NPK95" s="11"/>
      <c r="NPL95" s="11"/>
      <c r="NPM95" s="11"/>
      <c r="NPN95" s="11"/>
      <c r="NPO95" s="11"/>
      <c r="NPP95" s="11"/>
      <c r="NPQ95" s="11"/>
      <c r="NPR95" s="11"/>
      <c r="NPS95" s="11"/>
      <c r="NPT95" s="11"/>
      <c r="NPU95" s="11"/>
      <c r="NPV95" s="11"/>
      <c r="NPW95" s="11"/>
      <c r="NPX95" s="11"/>
      <c r="NPY95" s="11"/>
      <c r="NPZ95" s="11"/>
      <c r="NQA95" s="11"/>
      <c r="NQB95" s="11"/>
      <c r="NQC95" s="11"/>
      <c r="NQD95" s="11"/>
      <c r="NQE95" s="11"/>
      <c r="NQF95" s="11"/>
      <c r="NQG95" s="11"/>
      <c r="NQH95" s="11"/>
      <c r="NQI95" s="11"/>
      <c r="NQJ95" s="11"/>
      <c r="NQK95" s="11"/>
      <c r="NQL95" s="11"/>
      <c r="NQM95" s="11"/>
      <c r="NQN95" s="11"/>
      <c r="NQO95" s="11"/>
      <c r="NQP95" s="11"/>
      <c r="NQQ95" s="11"/>
      <c r="NQR95" s="11"/>
      <c r="NQS95" s="11"/>
      <c r="NQT95" s="11"/>
      <c r="NQU95" s="11"/>
      <c r="NQV95" s="11"/>
      <c r="NQW95" s="11"/>
      <c r="NQX95" s="11"/>
      <c r="NQY95" s="11"/>
      <c r="NQZ95" s="11"/>
      <c r="NRA95" s="11"/>
      <c r="NRB95" s="11"/>
      <c r="NRC95" s="11"/>
      <c r="NRD95" s="11"/>
      <c r="NRE95" s="11"/>
      <c r="NRF95" s="11"/>
      <c r="NRG95" s="11"/>
      <c r="NRH95" s="11"/>
      <c r="NRI95" s="11"/>
      <c r="NRJ95" s="11"/>
      <c r="NRK95" s="11"/>
      <c r="NRL95" s="11"/>
      <c r="NRM95" s="11"/>
      <c r="NRN95" s="11"/>
      <c r="NRO95" s="11"/>
      <c r="NRP95" s="11"/>
      <c r="NRQ95" s="11"/>
      <c r="NRR95" s="11"/>
      <c r="NRS95" s="11"/>
      <c r="NRT95" s="11"/>
      <c r="NRU95" s="11"/>
      <c r="NRV95" s="11"/>
      <c r="NRW95" s="11"/>
      <c r="NRX95" s="11"/>
      <c r="NRY95" s="11"/>
      <c r="NRZ95" s="11"/>
      <c r="NSA95" s="11"/>
      <c r="NSB95" s="11"/>
      <c r="NSC95" s="11"/>
      <c r="NSD95" s="11"/>
      <c r="NSE95" s="11"/>
      <c r="NSF95" s="11"/>
      <c r="NSG95" s="11"/>
      <c r="NSH95" s="11"/>
      <c r="NSI95" s="11"/>
      <c r="NSJ95" s="11"/>
      <c r="NSK95" s="11"/>
      <c r="NSL95" s="11"/>
      <c r="NSM95" s="11"/>
      <c r="NSN95" s="11"/>
      <c r="NSO95" s="11"/>
      <c r="NSP95" s="11"/>
      <c r="NSQ95" s="11"/>
      <c r="NSR95" s="11"/>
      <c r="NSS95" s="11"/>
      <c r="NST95" s="11"/>
      <c r="NSU95" s="11"/>
      <c r="NSV95" s="11"/>
      <c r="NSW95" s="11"/>
      <c r="NSX95" s="11"/>
      <c r="NSY95" s="11"/>
      <c r="NSZ95" s="11"/>
      <c r="NTA95" s="11"/>
      <c r="NTB95" s="11"/>
      <c r="NTC95" s="11"/>
      <c r="NTD95" s="11"/>
      <c r="NTE95" s="11"/>
      <c r="NTF95" s="11"/>
      <c r="NTG95" s="11"/>
      <c r="NTH95" s="11"/>
      <c r="NTI95" s="11"/>
      <c r="NTJ95" s="11"/>
      <c r="NTK95" s="11"/>
      <c r="NTL95" s="11"/>
      <c r="NTM95" s="11"/>
      <c r="NTN95" s="11"/>
      <c r="NTO95" s="11"/>
      <c r="NTP95" s="11"/>
      <c r="NTQ95" s="11"/>
      <c r="NTR95" s="11"/>
      <c r="NTS95" s="11"/>
      <c r="NTT95" s="11"/>
      <c r="NTU95" s="11"/>
      <c r="NTV95" s="11"/>
      <c r="NTW95" s="11"/>
      <c r="NTX95" s="11"/>
      <c r="NTY95" s="11"/>
      <c r="NTZ95" s="11"/>
      <c r="NUA95" s="11"/>
      <c r="NUB95" s="11"/>
      <c r="NUC95" s="11"/>
      <c r="NUD95" s="11"/>
      <c r="NUE95" s="11"/>
      <c r="NUF95" s="11"/>
      <c r="NUG95" s="11"/>
      <c r="NUH95" s="11"/>
      <c r="NUI95" s="11"/>
      <c r="NUJ95" s="11"/>
      <c r="NUK95" s="11"/>
      <c r="NUL95" s="11"/>
      <c r="NUM95" s="11"/>
      <c r="NUN95" s="11"/>
      <c r="NUO95" s="11"/>
      <c r="NUP95" s="11"/>
      <c r="NUQ95" s="11"/>
      <c r="NUR95" s="11"/>
      <c r="NUS95" s="11"/>
      <c r="NUT95" s="11"/>
      <c r="NUU95" s="11"/>
      <c r="NUV95" s="11"/>
      <c r="NUW95" s="11"/>
      <c r="NUX95" s="11"/>
      <c r="NUY95" s="11"/>
      <c r="NUZ95" s="11"/>
      <c r="NVA95" s="11"/>
      <c r="NVB95" s="11"/>
      <c r="NVC95" s="11"/>
      <c r="NVD95" s="11"/>
      <c r="NVE95" s="11"/>
      <c r="NVF95" s="11"/>
      <c r="NVG95" s="11"/>
      <c r="NVH95" s="11"/>
      <c r="NVI95" s="11"/>
      <c r="NVJ95" s="11"/>
      <c r="NVK95" s="11"/>
      <c r="NVL95" s="11"/>
      <c r="NVM95" s="11"/>
      <c r="NVN95" s="11"/>
      <c r="NVO95" s="11"/>
      <c r="NVP95" s="11"/>
      <c r="NVQ95" s="11"/>
      <c r="NVR95" s="11"/>
      <c r="NVS95" s="11"/>
      <c r="NVT95" s="11"/>
      <c r="NVU95" s="11"/>
      <c r="NVV95" s="11"/>
      <c r="NVW95" s="11"/>
      <c r="NVX95" s="11"/>
      <c r="NVY95" s="11"/>
      <c r="NVZ95" s="11"/>
      <c r="NWA95" s="11"/>
      <c r="NWB95" s="11"/>
      <c r="NWC95" s="11"/>
      <c r="NWD95" s="11"/>
      <c r="NWE95" s="11"/>
      <c r="NWF95" s="11"/>
      <c r="NWG95" s="11"/>
      <c r="NWH95" s="11"/>
      <c r="NWI95" s="11"/>
      <c r="NWJ95" s="11"/>
      <c r="NWK95" s="11"/>
      <c r="NWL95" s="11"/>
      <c r="NWM95" s="11"/>
      <c r="NWN95" s="11"/>
      <c r="NWO95" s="11"/>
      <c r="NWP95" s="11"/>
      <c r="NWQ95" s="11"/>
      <c r="NWR95" s="11"/>
      <c r="NWS95" s="11"/>
      <c r="NWT95" s="11"/>
      <c r="NWU95" s="11"/>
      <c r="NWV95" s="11"/>
      <c r="NWW95" s="11"/>
      <c r="NWX95" s="11"/>
      <c r="NWY95" s="11"/>
      <c r="NWZ95" s="11"/>
      <c r="NXA95" s="11"/>
      <c r="NXB95" s="11"/>
      <c r="NXC95" s="11"/>
      <c r="NXD95" s="11"/>
      <c r="NXE95" s="11"/>
      <c r="NXF95" s="11"/>
      <c r="NXG95" s="11"/>
      <c r="NXH95" s="11"/>
      <c r="NXI95" s="11"/>
      <c r="NXJ95" s="11"/>
      <c r="NXK95" s="11"/>
      <c r="NXL95" s="11"/>
      <c r="NXM95" s="11"/>
      <c r="NXN95" s="11"/>
      <c r="NXO95" s="11"/>
      <c r="NXP95" s="11"/>
      <c r="NXQ95" s="11"/>
      <c r="NXR95" s="11"/>
      <c r="NXS95" s="11"/>
      <c r="NXT95" s="11"/>
      <c r="NXU95" s="11"/>
      <c r="NXV95" s="11"/>
      <c r="NXW95" s="11"/>
      <c r="NXX95" s="11"/>
      <c r="NXY95" s="11"/>
      <c r="NXZ95" s="11"/>
      <c r="NYA95" s="11"/>
      <c r="NYB95" s="11"/>
      <c r="NYC95" s="11"/>
      <c r="NYD95" s="11"/>
      <c r="NYE95" s="11"/>
      <c r="NYF95" s="11"/>
      <c r="NYG95" s="11"/>
      <c r="NYH95" s="11"/>
      <c r="NYI95" s="11"/>
      <c r="NYJ95" s="11"/>
      <c r="NYK95" s="11"/>
      <c r="NYL95" s="11"/>
      <c r="NYM95" s="11"/>
      <c r="NYN95" s="11"/>
      <c r="NYO95" s="11"/>
      <c r="NYP95" s="11"/>
      <c r="NYQ95" s="11"/>
      <c r="NYR95" s="11"/>
      <c r="NYS95" s="11"/>
      <c r="NYT95" s="11"/>
      <c r="NYU95" s="11"/>
      <c r="NYV95" s="11"/>
      <c r="NYW95" s="11"/>
      <c r="NYX95" s="11"/>
      <c r="NYY95" s="11"/>
      <c r="NYZ95" s="11"/>
      <c r="NZA95" s="11"/>
      <c r="NZB95" s="11"/>
      <c r="NZC95" s="11"/>
      <c r="NZD95" s="11"/>
      <c r="NZE95" s="11"/>
      <c r="NZF95" s="11"/>
      <c r="NZG95" s="11"/>
      <c r="NZH95" s="11"/>
      <c r="NZI95" s="11"/>
      <c r="NZJ95" s="11"/>
      <c r="NZK95" s="11"/>
      <c r="NZL95" s="11"/>
      <c r="NZM95" s="11"/>
      <c r="NZN95" s="11"/>
      <c r="NZO95" s="11"/>
      <c r="NZP95" s="11"/>
      <c r="NZQ95" s="11"/>
      <c r="NZR95" s="11"/>
      <c r="NZS95" s="11"/>
      <c r="NZT95" s="11"/>
      <c r="NZU95" s="11"/>
      <c r="NZV95" s="11"/>
      <c r="NZW95" s="11"/>
      <c r="NZX95" s="11"/>
      <c r="NZY95" s="11"/>
      <c r="NZZ95" s="11"/>
      <c r="OAA95" s="11"/>
      <c r="OAB95" s="11"/>
      <c r="OAC95" s="11"/>
      <c r="OAD95" s="11"/>
      <c r="OAE95" s="11"/>
      <c r="OAF95" s="11"/>
      <c r="OAG95" s="11"/>
      <c r="OAH95" s="11"/>
      <c r="OAI95" s="11"/>
      <c r="OAJ95" s="11"/>
      <c r="OAK95" s="11"/>
      <c r="OAL95" s="11"/>
      <c r="OAM95" s="11"/>
      <c r="OAN95" s="11"/>
      <c r="OAO95" s="11"/>
      <c r="OAP95" s="11"/>
      <c r="OAQ95" s="11"/>
      <c r="OAR95" s="11"/>
      <c r="OAS95" s="11"/>
      <c r="OAT95" s="11"/>
      <c r="OAU95" s="11"/>
      <c r="OAV95" s="11"/>
      <c r="OAW95" s="11"/>
      <c r="OAX95" s="11"/>
      <c r="OAY95" s="11"/>
      <c r="OAZ95" s="11"/>
      <c r="OBA95" s="11"/>
      <c r="OBB95" s="11"/>
      <c r="OBC95" s="11"/>
      <c r="OBD95" s="11"/>
      <c r="OBE95" s="11"/>
      <c r="OBF95" s="11"/>
      <c r="OBG95" s="11"/>
      <c r="OBH95" s="11"/>
      <c r="OBI95" s="11"/>
      <c r="OBJ95" s="11"/>
      <c r="OBK95" s="11"/>
      <c r="OBL95" s="11"/>
      <c r="OBM95" s="11"/>
      <c r="OBN95" s="11"/>
      <c r="OBO95" s="11"/>
      <c r="OBP95" s="11"/>
      <c r="OBQ95" s="11"/>
      <c r="OBR95" s="11"/>
      <c r="OBS95" s="11"/>
      <c r="OBT95" s="11"/>
      <c r="OBU95" s="11"/>
      <c r="OBV95" s="11"/>
      <c r="OBW95" s="11"/>
      <c r="OBX95" s="11"/>
      <c r="OBY95" s="11"/>
      <c r="OBZ95" s="11"/>
      <c r="OCA95" s="11"/>
      <c r="OCB95" s="11"/>
      <c r="OCC95" s="11"/>
      <c r="OCD95" s="11"/>
      <c r="OCE95" s="11"/>
      <c r="OCF95" s="11"/>
      <c r="OCG95" s="11"/>
      <c r="OCH95" s="11"/>
      <c r="OCI95" s="11"/>
      <c r="OCJ95" s="11"/>
      <c r="OCK95" s="11"/>
      <c r="OCL95" s="11"/>
      <c r="OCM95" s="11"/>
      <c r="OCN95" s="11"/>
      <c r="OCO95" s="11"/>
      <c r="OCP95" s="11"/>
      <c r="OCQ95" s="11"/>
      <c r="OCR95" s="11"/>
      <c r="OCS95" s="11"/>
      <c r="OCT95" s="11"/>
      <c r="OCU95" s="11"/>
      <c r="OCV95" s="11"/>
      <c r="OCW95" s="11"/>
      <c r="OCX95" s="11"/>
      <c r="OCY95" s="11"/>
      <c r="OCZ95" s="11"/>
      <c r="ODA95" s="11"/>
      <c r="ODB95" s="11"/>
      <c r="ODC95" s="11"/>
      <c r="ODD95" s="11"/>
      <c r="ODE95" s="11"/>
      <c r="ODF95" s="11"/>
      <c r="ODG95" s="11"/>
      <c r="ODH95" s="11"/>
      <c r="ODI95" s="11"/>
      <c r="ODJ95" s="11"/>
      <c r="ODK95" s="11"/>
      <c r="ODL95" s="11"/>
      <c r="ODM95" s="11"/>
      <c r="ODN95" s="11"/>
      <c r="ODO95" s="11"/>
      <c r="ODP95" s="11"/>
      <c r="ODQ95" s="11"/>
      <c r="ODR95" s="11"/>
      <c r="ODS95" s="11"/>
      <c r="ODT95" s="11"/>
      <c r="ODU95" s="11"/>
      <c r="ODV95" s="11"/>
      <c r="ODW95" s="11"/>
      <c r="ODX95" s="11"/>
      <c r="ODY95" s="11"/>
      <c r="ODZ95" s="11"/>
      <c r="OEA95" s="11"/>
      <c r="OEB95" s="11"/>
      <c r="OEC95" s="11"/>
      <c r="OED95" s="11"/>
      <c r="OEE95" s="11"/>
      <c r="OEF95" s="11"/>
      <c r="OEG95" s="11"/>
      <c r="OEH95" s="11"/>
      <c r="OEI95" s="11"/>
      <c r="OEJ95" s="11"/>
      <c r="OEK95" s="11"/>
      <c r="OEL95" s="11"/>
      <c r="OEM95" s="11"/>
      <c r="OEN95" s="11"/>
      <c r="OEO95" s="11"/>
      <c r="OEP95" s="11"/>
      <c r="OEQ95" s="11"/>
      <c r="OER95" s="11"/>
      <c r="OES95" s="11"/>
      <c r="OET95" s="11"/>
      <c r="OEU95" s="11"/>
      <c r="OEV95" s="11"/>
      <c r="OEW95" s="11"/>
      <c r="OEX95" s="11"/>
      <c r="OEY95" s="11"/>
      <c r="OEZ95" s="11"/>
      <c r="OFA95" s="11"/>
      <c r="OFB95" s="11"/>
      <c r="OFC95" s="11"/>
      <c r="OFD95" s="11"/>
      <c r="OFE95" s="11"/>
      <c r="OFF95" s="11"/>
      <c r="OFG95" s="11"/>
      <c r="OFH95" s="11"/>
      <c r="OFI95" s="11"/>
      <c r="OFJ95" s="11"/>
      <c r="OFK95" s="11"/>
      <c r="OFL95" s="11"/>
      <c r="OFM95" s="11"/>
      <c r="OFN95" s="11"/>
      <c r="OFO95" s="11"/>
      <c r="OFP95" s="11"/>
      <c r="OFQ95" s="11"/>
      <c r="OFR95" s="11"/>
      <c r="OFS95" s="11"/>
      <c r="OFT95" s="11"/>
      <c r="OFU95" s="11"/>
      <c r="OFV95" s="11"/>
      <c r="OFW95" s="11"/>
      <c r="OFX95" s="11"/>
      <c r="OFY95" s="11"/>
      <c r="OFZ95" s="11"/>
      <c r="OGA95" s="11"/>
      <c r="OGB95" s="11"/>
      <c r="OGC95" s="11"/>
      <c r="OGD95" s="11"/>
      <c r="OGE95" s="11"/>
      <c r="OGF95" s="11"/>
      <c r="OGG95" s="11"/>
      <c r="OGH95" s="11"/>
      <c r="OGI95" s="11"/>
      <c r="OGJ95" s="11"/>
      <c r="OGK95" s="11"/>
      <c r="OGL95" s="11"/>
      <c r="OGM95" s="11"/>
      <c r="OGN95" s="11"/>
      <c r="OGO95" s="11"/>
      <c r="OGP95" s="11"/>
      <c r="OGQ95" s="11"/>
      <c r="OGR95" s="11"/>
      <c r="OGS95" s="11"/>
      <c r="OGT95" s="11"/>
      <c r="OGU95" s="11"/>
      <c r="OGV95" s="11"/>
      <c r="OGW95" s="11"/>
      <c r="OGX95" s="11"/>
      <c r="OGY95" s="11"/>
      <c r="OGZ95" s="11"/>
      <c r="OHA95" s="11"/>
      <c r="OHB95" s="11"/>
      <c r="OHC95" s="11"/>
      <c r="OHD95" s="11"/>
      <c r="OHE95" s="11"/>
      <c r="OHF95" s="11"/>
      <c r="OHG95" s="11"/>
      <c r="OHH95" s="11"/>
      <c r="OHI95" s="11"/>
      <c r="OHJ95" s="11"/>
      <c r="OHK95" s="11"/>
      <c r="OHL95" s="11"/>
      <c r="OHM95" s="11"/>
      <c r="OHN95" s="11"/>
      <c r="OHO95" s="11"/>
      <c r="OHP95" s="11"/>
      <c r="OHQ95" s="11"/>
      <c r="OHR95" s="11"/>
      <c r="OHS95" s="11"/>
      <c r="OHT95" s="11"/>
      <c r="OHU95" s="11"/>
      <c r="OHV95" s="11"/>
      <c r="OHW95" s="11"/>
      <c r="OHX95" s="11"/>
      <c r="OHY95" s="11"/>
      <c r="OHZ95" s="11"/>
      <c r="OIA95" s="11"/>
      <c r="OIB95" s="11"/>
      <c r="OIC95" s="11"/>
      <c r="OID95" s="11"/>
      <c r="OIE95" s="11"/>
      <c r="OIF95" s="11"/>
      <c r="OIG95" s="11"/>
      <c r="OIH95" s="11"/>
      <c r="OII95" s="11"/>
      <c r="OIJ95" s="11"/>
      <c r="OIK95" s="11"/>
      <c r="OIL95" s="11"/>
      <c r="OIM95" s="11"/>
      <c r="OIN95" s="11"/>
      <c r="OIO95" s="11"/>
      <c r="OIP95" s="11"/>
      <c r="OIQ95" s="11"/>
      <c r="OIR95" s="11"/>
      <c r="OIS95" s="11"/>
      <c r="OIT95" s="11"/>
      <c r="OIU95" s="11"/>
      <c r="OIV95" s="11"/>
      <c r="OIW95" s="11"/>
      <c r="OIX95" s="11"/>
      <c r="OIY95" s="11"/>
      <c r="OIZ95" s="11"/>
      <c r="OJA95" s="11"/>
      <c r="OJB95" s="11"/>
      <c r="OJC95" s="11"/>
      <c r="OJD95" s="11"/>
      <c r="OJE95" s="11"/>
      <c r="OJF95" s="11"/>
      <c r="OJG95" s="11"/>
      <c r="OJH95" s="11"/>
      <c r="OJI95" s="11"/>
      <c r="OJJ95" s="11"/>
      <c r="OJK95" s="11"/>
      <c r="OJL95" s="11"/>
      <c r="OJM95" s="11"/>
      <c r="OJN95" s="11"/>
      <c r="OJO95" s="11"/>
      <c r="OJP95" s="11"/>
      <c r="OJQ95" s="11"/>
      <c r="OJR95" s="11"/>
      <c r="OJS95" s="11"/>
      <c r="OJT95" s="11"/>
      <c r="OJU95" s="11"/>
      <c r="OJV95" s="11"/>
      <c r="OJW95" s="11"/>
      <c r="OJX95" s="11"/>
      <c r="OJY95" s="11"/>
      <c r="OJZ95" s="11"/>
      <c r="OKA95" s="11"/>
      <c r="OKB95" s="11"/>
      <c r="OKC95" s="11"/>
      <c r="OKD95" s="11"/>
      <c r="OKE95" s="11"/>
      <c r="OKF95" s="11"/>
      <c r="OKG95" s="11"/>
      <c r="OKH95" s="11"/>
      <c r="OKI95" s="11"/>
      <c r="OKJ95" s="11"/>
      <c r="OKK95" s="11"/>
      <c r="OKL95" s="11"/>
      <c r="OKM95" s="11"/>
      <c r="OKN95" s="11"/>
      <c r="OKO95" s="11"/>
      <c r="OKP95" s="11"/>
      <c r="OKQ95" s="11"/>
      <c r="OKR95" s="11"/>
      <c r="OKS95" s="11"/>
      <c r="OKT95" s="11"/>
      <c r="OKU95" s="11"/>
      <c r="OKV95" s="11"/>
      <c r="OKW95" s="11"/>
      <c r="OKX95" s="11"/>
      <c r="OKY95" s="11"/>
      <c r="OKZ95" s="11"/>
      <c r="OLA95" s="11"/>
      <c r="OLB95" s="11"/>
      <c r="OLC95" s="11"/>
      <c r="OLD95" s="11"/>
      <c r="OLE95" s="11"/>
      <c r="OLF95" s="11"/>
      <c r="OLG95" s="11"/>
      <c r="OLH95" s="11"/>
      <c r="OLI95" s="11"/>
      <c r="OLJ95" s="11"/>
      <c r="OLK95" s="11"/>
      <c r="OLL95" s="11"/>
      <c r="OLM95" s="11"/>
      <c r="OLN95" s="11"/>
      <c r="OLO95" s="11"/>
      <c r="OLP95" s="11"/>
      <c r="OLQ95" s="11"/>
      <c r="OLR95" s="11"/>
      <c r="OLS95" s="11"/>
      <c r="OLT95" s="11"/>
      <c r="OLU95" s="11"/>
      <c r="OLV95" s="11"/>
      <c r="OLW95" s="11"/>
      <c r="OLX95" s="11"/>
      <c r="OLY95" s="11"/>
      <c r="OLZ95" s="11"/>
      <c r="OMA95" s="11"/>
      <c r="OMB95" s="11"/>
      <c r="OMC95" s="11"/>
      <c r="OMD95" s="11"/>
      <c r="OME95" s="11"/>
      <c r="OMF95" s="11"/>
      <c r="OMG95" s="11"/>
      <c r="OMH95" s="11"/>
      <c r="OMI95" s="11"/>
      <c r="OMJ95" s="11"/>
      <c r="OMK95" s="11"/>
      <c r="OML95" s="11"/>
      <c r="OMM95" s="11"/>
      <c r="OMN95" s="11"/>
      <c r="OMO95" s="11"/>
      <c r="OMP95" s="11"/>
      <c r="OMQ95" s="11"/>
      <c r="OMR95" s="11"/>
      <c r="OMS95" s="11"/>
      <c r="OMT95" s="11"/>
      <c r="OMU95" s="11"/>
      <c r="OMV95" s="11"/>
      <c r="OMW95" s="11"/>
      <c r="OMX95" s="11"/>
      <c r="OMY95" s="11"/>
      <c r="OMZ95" s="11"/>
      <c r="ONA95" s="11"/>
      <c r="ONB95" s="11"/>
      <c r="ONC95" s="11"/>
      <c r="OND95" s="11"/>
      <c r="ONE95" s="11"/>
      <c r="ONF95" s="11"/>
      <c r="ONG95" s="11"/>
      <c r="ONH95" s="11"/>
      <c r="ONI95" s="11"/>
      <c r="ONJ95" s="11"/>
      <c r="ONK95" s="11"/>
      <c r="ONL95" s="11"/>
      <c r="ONM95" s="11"/>
      <c r="ONN95" s="11"/>
      <c r="ONO95" s="11"/>
      <c r="ONP95" s="11"/>
      <c r="ONQ95" s="11"/>
      <c r="ONR95" s="11"/>
      <c r="ONS95" s="11"/>
      <c r="ONT95" s="11"/>
      <c r="ONU95" s="11"/>
      <c r="ONV95" s="11"/>
      <c r="ONW95" s="11"/>
      <c r="ONX95" s="11"/>
      <c r="ONY95" s="11"/>
      <c r="ONZ95" s="11"/>
      <c r="OOA95" s="11"/>
      <c r="OOB95" s="11"/>
      <c r="OOC95" s="11"/>
      <c r="OOD95" s="11"/>
      <c r="OOE95" s="11"/>
      <c r="OOF95" s="11"/>
      <c r="OOG95" s="11"/>
      <c r="OOH95" s="11"/>
      <c r="OOI95" s="11"/>
      <c r="OOJ95" s="11"/>
      <c r="OOK95" s="11"/>
      <c r="OOL95" s="11"/>
      <c r="OOM95" s="11"/>
      <c r="OON95" s="11"/>
      <c r="OOO95" s="11"/>
      <c r="OOP95" s="11"/>
      <c r="OOQ95" s="11"/>
      <c r="OOR95" s="11"/>
      <c r="OOS95" s="11"/>
      <c r="OOT95" s="11"/>
      <c r="OOU95" s="11"/>
      <c r="OOV95" s="11"/>
      <c r="OOW95" s="11"/>
      <c r="OOX95" s="11"/>
      <c r="OOY95" s="11"/>
      <c r="OOZ95" s="11"/>
      <c r="OPA95" s="11"/>
      <c r="OPB95" s="11"/>
      <c r="OPC95" s="11"/>
      <c r="OPD95" s="11"/>
      <c r="OPE95" s="11"/>
      <c r="OPF95" s="11"/>
      <c r="OPG95" s="11"/>
      <c r="OPH95" s="11"/>
      <c r="OPI95" s="11"/>
      <c r="OPJ95" s="11"/>
      <c r="OPK95" s="11"/>
      <c r="OPL95" s="11"/>
      <c r="OPM95" s="11"/>
      <c r="OPN95" s="11"/>
      <c r="OPO95" s="11"/>
      <c r="OPP95" s="11"/>
      <c r="OPQ95" s="11"/>
      <c r="OPR95" s="11"/>
      <c r="OPS95" s="11"/>
      <c r="OPT95" s="11"/>
      <c r="OPU95" s="11"/>
      <c r="OPV95" s="11"/>
      <c r="OPW95" s="11"/>
      <c r="OPX95" s="11"/>
      <c r="OPY95" s="11"/>
      <c r="OPZ95" s="11"/>
      <c r="OQA95" s="11"/>
      <c r="OQB95" s="11"/>
      <c r="OQC95" s="11"/>
      <c r="OQD95" s="11"/>
      <c r="OQE95" s="11"/>
      <c r="OQF95" s="11"/>
      <c r="OQG95" s="11"/>
      <c r="OQH95" s="11"/>
      <c r="OQI95" s="11"/>
      <c r="OQJ95" s="11"/>
      <c r="OQK95" s="11"/>
      <c r="OQL95" s="11"/>
      <c r="OQM95" s="11"/>
      <c r="OQN95" s="11"/>
      <c r="OQO95" s="11"/>
      <c r="OQP95" s="11"/>
      <c r="OQQ95" s="11"/>
      <c r="OQR95" s="11"/>
      <c r="OQS95" s="11"/>
      <c r="OQT95" s="11"/>
      <c r="OQU95" s="11"/>
      <c r="OQV95" s="11"/>
      <c r="OQW95" s="11"/>
      <c r="OQX95" s="11"/>
      <c r="OQY95" s="11"/>
      <c r="OQZ95" s="11"/>
      <c r="ORA95" s="11"/>
      <c r="ORB95" s="11"/>
      <c r="ORC95" s="11"/>
      <c r="ORD95" s="11"/>
      <c r="ORE95" s="11"/>
      <c r="ORF95" s="11"/>
      <c r="ORG95" s="11"/>
      <c r="ORH95" s="11"/>
      <c r="ORI95" s="11"/>
      <c r="ORJ95" s="11"/>
      <c r="ORK95" s="11"/>
      <c r="ORL95" s="11"/>
      <c r="ORM95" s="11"/>
      <c r="ORN95" s="11"/>
      <c r="ORO95" s="11"/>
      <c r="ORP95" s="11"/>
      <c r="ORQ95" s="11"/>
      <c r="ORR95" s="11"/>
      <c r="ORS95" s="11"/>
      <c r="ORT95" s="11"/>
      <c r="ORU95" s="11"/>
      <c r="ORV95" s="11"/>
      <c r="ORW95" s="11"/>
      <c r="ORX95" s="11"/>
      <c r="ORY95" s="11"/>
      <c r="ORZ95" s="11"/>
      <c r="OSA95" s="11"/>
      <c r="OSB95" s="11"/>
      <c r="OSC95" s="11"/>
      <c r="OSD95" s="11"/>
      <c r="OSE95" s="11"/>
      <c r="OSF95" s="11"/>
      <c r="OSG95" s="11"/>
      <c r="OSH95" s="11"/>
      <c r="OSI95" s="11"/>
      <c r="OSJ95" s="11"/>
      <c r="OSK95" s="11"/>
      <c r="OSL95" s="11"/>
      <c r="OSM95" s="11"/>
      <c r="OSN95" s="11"/>
      <c r="OSO95" s="11"/>
      <c r="OSP95" s="11"/>
      <c r="OSQ95" s="11"/>
      <c r="OSR95" s="11"/>
      <c r="OSS95" s="11"/>
      <c r="OST95" s="11"/>
      <c r="OSU95" s="11"/>
      <c r="OSV95" s="11"/>
      <c r="OSW95" s="11"/>
      <c r="OSX95" s="11"/>
      <c r="OSY95" s="11"/>
      <c r="OSZ95" s="11"/>
      <c r="OTA95" s="11"/>
      <c r="OTB95" s="11"/>
      <c r="OTC95" s="11"/>
      <c r="OTD95" s="11"/>
      <c r="OTE95" s="11"/>
      <c r="OTF95" s="11"/>
      <c r="OTG95" s="11"/>
      <c r="OTH95" s="11"/>
      <c r="OTI95" s="11"/>
      <c r="OTJ95" s="11"/>
      <c r="OTK95" s="11"/>
      <c r="OTL95" s="11"/>
      <c r="OTM95" s="11"/>
      <c r="OTN95" s="11"/>
      <c r="OTO95" s="11"/>
      <c r="OTP95" s="11"/>
      <c r="OTQ95" s="11"/>
      <c r="OTR95" s="11"/>
      <c r="OTS95" s="11"/>
      <c r="OTT95" s="11"/>
      <c r="OTU95" s="11"/>
      <c r="OTV95" s="11"/>
      <c r="OTW95" s="11"/>
      <c r="OTX95" s="11"/>
      <c r="OTY95" s="11"/>
      <c r="OTZ95" s="11"/>
      <c r="OUA95" s="11"/>
      <c r="OUB95" s="11"/>
      <c r="OUC95" s="11"/>
      <c r="OUD95" s="11"/>
      <c r="OUE95" s="11"/>
      <c r="OUF95" s="11"/>
      <c r="OUG95" s="11"/>
      <c r="OUH95" s="11"/>
      <c r="OUI95" s="11"/>
      <c r="OUJ95" s="11"/>
      <c r="OUK95" s="11"/>
      <c r="OUL95" s="11"/>
      <c r="OUM95" s="11"/>
      <c r="OUN95" s="11"/>
      <c r="OUO95" s="11"/>
      <c r="OUP95" s="11"/>
      <c r="OUQ95" s="11"/>
      <c r="OUR95" s="11"/>
      <c r="OUS95" s="11"/>
      <c r="OUT95" s="11"/>
      <c r="OUU95" s="11"/>
      <c r="OUV95" s="11"/>
      <c r="OUW95" s="11"/>
      <c r="OUX95" s="11"/>
      <c r="OUY95" s="11"/>
      <c r="OUZ95" s="11"/>
      <c r="OVA95" s="11"/>
      <c r="OVB95" s="11"/>
      <c r="OVC95" s="11"/>
      <c r="OVD95" s="11"/>
      <c r="OVE95" s="11"/>
      <c r="OVF95" s="11"/>
      <c r="OVG95" s="11"/>
      <c r="OVH95" s="11"/>
      <c r="OVI95" s="11"/>
      <c r="OVJ95" s="11"/>
      <c r="OVK95" s="11"/>
      <c r="OVL95" s="11"/>
      <c r="OVM95" s="11"/>
      <c r="OVN95" s="11"/>
      <c r="OVO95" s="11"/>
      <c r="OVP95" s="11"/>
      <c r="OVQ95" s="11"/>
      <c r="OVR95" s="11"/>
      <c r="OVS95" s="11"/>
      <c r="OVT95" s="11"/>
      <c r="OVU95" s="11"/>
      <c r="OVV95" s="11"/>
      <c r="OVW95" s="11"/>
      <c r="OVX95" s="11"/>
      <c r="OVY95" s="11"/>
      <c r="OVZ95" s="11"/>
      <c r="OWA95" s="11"/>
      <c r="OWB95" s="11"/>
      <c r="OWC95" s="11"/>
      <c r="OWD95" s="11"/>
      <c r="OWE95" s="11"/>
      <c r="OWF95" s="11"/>
      <c r="OWG95" s="11"/>
      <c r="OWH95" s="11"/>
      <c r="OWI95" s="11"/>
      <c r="OWJ95" s="11"/>
      <c r="OWK95" s="11"/>
      <c r="OWL95" s="11"/>
      <c r="OWM95" s="11"/>
      <c r="OWN95" s="11"/>
      <c r="OWO95" s="11"/>
      <c r="OWP95" s="11"/>
      <c r="OWQ95" s="11"/>
      <c r="OWR95" s="11"/>
      <c r="OWS95" s="11"/>
      <c r="OWT95" s="11"/>
      <c r="OWU95" s="11"/>
      <c r="OWV95" s="11"/>
      <c r="OWW95" s="11"/>
      <c r="OWX95" s="11"/>
      <c r="OWY95" s="11"/>
      <c r="OWZ95" s="11"/>
      <c r="OXA95" s="11"/>
      <c r="OXB95" s="11"/>
      <c r="OXC95" s="11"/>
      <c r="OXD95" s="11"/>
      <c r="OXE95" s="11"/>
      <c r="OXF95" s="11"/>
      <c r="OXG95" s="11"/>
      <c r="OXH95" s="11"/>
      <c r="OXI95" s="11"/>
      <c r="OXJ95" s="11"/>
      <c r="OXK95" s="11"/>
      <c r="OXL95" s="11"/>
      <c r="OXM95" s="11"/>
      <c r="OXN95" s="11"/>
      <c r="OXO95" s="11"/>
      <c r="OXP95" s="11"/>
      <c r="OXQ95" s="11"/>
      <c r="OXR95" s="11"/>
      <c r="OXS95" s="11"/>
      <c r="OXT95" s="11"/>
      <c r="OXU95" s="11"/>
      <c r="OXV95" s="11"/>
      <c r="OXW95" s="11"/>
      <c r="OXX95" s="11"/>
      <c r="OXY95" s="11"/>
      <c r="OXZ95" s="11"/>
      <c r="OYA95" s="11"/>
      <c r="OYB95" s="11"/>
      <c r="OYC95" s="11"/>
      <c r="OYD95" s="11"/>
      <c r="OYE95" s="11"/>
      <c r="OYF95" s="11"/>
      <c r="OYG95" s="11"/>
      <c r="OYH95" s="11"/>
      <c r="OYI95" s="11"/>
      <c r="OYJ95" s="11"/>
      <c r="OYK95" s="11"/>
      <c r="OYL95" s="11"/>
      <c r="OYM95" s="11"/>
      <c r="OYN95" s="11"/>
      <c r="OYO95" s="11"/>
      <c r="OYP95" s="11"/>
      <c r="OYQ95" s="11"/>
      <c r="OYR95" s="11"/>
      <c r="OYS95" s="11"/>
      <c r="OYT95" s="11"/>
      <c r="OYU95" s="11"/>
      <c r="OYV95" s="11"/>
      <c r="OYW95" s="11"/>
      <c r="OYX95" s="11"/>
      <c r="OYY95" s="11"/>
      <c r="OYZ95" s="11"/>
      <c r="OZA95" s="11"/>
      <c r="OZB95" s="11"/>
      <c r="OZC95" s="11"/>
      <c r="OZD95" s="11"/>
      <c r="OZE95" s="11"/>
      <c r="OZF95" s="11"/>
      <c r="OZG95" s="11"/>
      <c r="OZH95" s="11"/>
      <c r="OZI95" s="11"/>
      <c r="OZJ95" s="11"/>
      <c r="OZK95" s="11"/>
      <c r="OZL95" s="11"/>
      <c r="OZM95" s="11"/>
      <c r="OZN95" s="11"/>
      <c r="OZO95" s="11"/>
      <c r="OZP95" s="11"/>
      <c r="OZQ95" s="11"/>
      <c r="OZR95" s="11"/>
      <c r="OZS95" s="11"/>
      <c r="OZT95" s="11"/>
      <c r="OZU95" s="11"/>
      <c r="OZV95" s="11"/>
      <c r="OZW95" s="11"/>
      <c r="OZX95" s="11"/>
      <c r="OZY95" s="11"/>
      <c r="OZZ95" s="11"/>
      <c r="PAA95" s="11"/>
      <c r="PAB95" s="11"/>
      <c r="PAC95" s="11"/>
      <c r="PAD95" s="11"/>
      <c r="PAE95" s="11"/>
      <c r="PAF95" s="11"/>
      <c r="PAG95" s="11"/>
      <c r="PAH95" s="11"/>
      <c r="PAI95" s="11"/>
      <c r="PAJ95" s="11"/>
      <c r="PAK95" s="11"/>
      <c r="PAL95" s="11"/>
      <c r="PAM95" s="11"/>
      <c r="PAN95" s="11"/>
      <c r="PAO95" s="11"/>
      <c r="PAP95" s="11"/>
      <c r="PAQ95" s="11"/>
      <c r="PAR95" s="11"/>
      <c r="PAS95" s="11"/>
      <c r="PAT95" s="11"/>
      <c r="PAU95" s="11"/>
      <c r="PAV95" s="11"/>
      <c r="PAW95" s="11"/>
      <c r="PAX95" s="11"/>
      <c r="PAY95" s="11"/>
      <c r="PAZ95" s="11"/>
      <c r="PBA95" s="11"/>
      <c r="PBB95" s="11"/>
      <c r="PBC95" s="11"/>
      <c r="PBD95" s="11"/>
      <c r="PBE95" s="11"/>
      <c r="PBF95" s="11"/>
      <c r="PBG95" s="11"/>
      <c r="PBH95" s="11"/>
      <c r="PBI95" s="11"/>
      <c r="PBJ95" s="11"/>
      <c r="PBK95" s="11"/>
      <c r="PBL95" s="11"/>
      <c r="PBM95" s="11"/>
      <c r="PBN95" s="11"/>
      <c r="PBO95" s="11"/>
      <c r="PBP95" s="11"/>
      <c r="PBQ95" s="11"/>
      <c r="PBR95" s="11"/>
      <c r="PBS95" s="11"/>
      <c r="PBT95" s="11"/>
      <c r="PBU95" s="11"/>
      <c r="PBV95" s="11"/>
      <c r="PBW95" s="11"/>
      <c r="PBX95" s="11"/>
      <c r="PBY95" s="11"/>
      <c r="PBZ95" s="11"/>
      <c r="PCA95" s="11"/>
      <c r="PCB95" s="11"/>
      <c r="PCC95" s="11"/>
      <c r="PCD95" s="11"/>
      <c r="PCE95" s="11"/>
      <c r="PCF95" s="11"/>
      <c r="PCG95" s="11"/>
      <c r="PCH95" s="11"/>
      <c r="PCI95" s="11"/>
      <c r="PCJ95" s="11"/>
      <c r="PCK95" s="11"/>
      <c r="PCL95" s="11"/>
      <c r="PCM95" s="11"/>
      <c r="PCN95" s="11"/>
      <c r="PCO95" s="11"/>
      <c r="PCP95" s="11"/>
      <c r="PCQ95" s="11"/>
      <c r="PCR95" s="11"/>
      <c r="PCS95" s="11"/>
      <c r="PCT95" s="11"/>
      <c r="PCU95" s="11"/>
      <c r="PCV95" s="11"/>
      <c r="PCW95" s="11"/>
      <c r="PCX95" s="11"/>
      <c r="PCY95" s="11"/>
      <c r="PCZ95" s="11"/>
      <c r="PDA95" s="11"/>
      <c r="PDB95" s="11"/>
      <c r="PDC95" s="11"/>
      <c r="PDD95" s="11"/>
      <c r="PDE95" s="11"/>
      <c r="PDF95" s="11"/>
      <c r="PDG95" s="11"/>
      <c r="PDH95" s="11"/>
      <c r="PDI95" s="11"/>
      <c r="PDJ95" s="11"/>
      <c r="PDK95" s="11"/>
      <c r="PDL95" s="11"/>
      <c r="PDM95" s="11"/>
      <c r="PDN95" s="11"/>
      <c r="PDO95" s="11"/>
      <c r="PDP95" s="11"/>
      <c r="PDQ95" s="11"/>
      <c r="PDR95" s="11"/>
      <c r="PDS95" s="11"/>
      <c r="PDT95" s="11"/>
      <c r="PDU95" s="11"/>
      <c r="PDV95" s="11"/>
      <c r="PDW95" s="11"/>
      <c r="PDX95" s="11"/>
      <c r="PDY95" s="11"/>
      <c r="PDZ95" s="11"/>
      <c r="PEA95" s="11"/>
      <c r="PEB95" s="11"/>
      <c r="PEC95" s="11"/>
      <c r="PED95" s="11"/>
      <c r="PEE95" s="11"/>
      <c r="PEF95" s="11"/>
      <c r="PEG95" s="11"/>
      <c r="PEH95" s="11"/>
      <c r="PEI95" s="11"/>
      <c r="PEJ95" s="11"/>
      <c r="PEK95" s="11"/>
      <c r="PEL95" s="11"/>
      <c r="PEM95" s="11"/>
      <c r="PEN95" s="11"/>
      <c r="PEO95" s="11"/>
      <c r="PEP95" s="11"/>
      <c r="PEQ95" s="11"/>
      <c r="PER95" s="11"/>
      <c r="PES95" s="11"/>
      <c r="PET95" s="11"/>
      <c r="PEU95" s="11"/>
      <c r="PEV95" s="11"/>
      <c r="PEW95" s="11"/>
      <c r="PEX95" s="11"/>
      <c r="PEY95" s="11"/>
      <c r="PEZ95" s="11"/>
      <c r="PFA95" s="11"/>
      <c r="PFB95" s="11"/>
      <c r="PFC95" s="11"/>
      <c r="PFD95" s="11"/>
      <c r="PFE95" s="11"/>
      <c r="PFF95" s="11"/>
      <c r="PFG95" s="11"/>
      <c r="PFH95" s="11"/>
      <c r="PFI95" s="11"/>
      <c r="PFJ95" s="11"/>
      <c r="PFK95" s="11"/>
      <c r="PFL95" s="11"/>
      <c r="PFM95" s="11"/>
      <c r="PFN95" s="11"/>
      <c r="PFO95" s="11"/>
      <c r="PFP95" s="11"/>
      <c r="PFQ95" s="11"/>
      <c r="PFR95" s="11"/>
      <c r="PFS95" s="11"/>
      <c r="PFT95" s="11"/>
      <c r="PFU95" s="11"/>
      <c r="PFV95" s="11"/>
      <c r="PFW95" s="11"/>
      <c r="PFX95" s="11"/>
      <c r="PFY95" s="11"/>
      <c r="PFZ95" s="11"/>
      <c r="PGA95" s="11"/>
      <c r="PGB95" s="11"/>
      <c r="PGC95" s="11"/>
      <c r="PGD95" s="11"/>
      <c r="PGE95" s="11"/>
      <c r="PGF95" s="11"/>
      <c r="PGG95" s="11"/>
      <c r="PGH95" s="11"/>
      <c r="PGI95" s="11"/>
      <c r="PGJ95" s="11"/>
      <c r="PGK95" s="11"/>
      <c r="PGL95" s="11"/>
      <c r="PGM95" s="11"/>
      <c r="PGN95" s="11"/>
      <c r="PGO95" s="11"/>
      <c r="PGP95" s="11"/>
      <c r="PGQ95" s="11"/>
      <c r="PGR95" s="11"/>
      <c r="PGS95" s="11"/>
      <c r="PGT95" s="11"/>
      <c r="PGU95" s="11"/>
      <c r="PGV95" s="11"/>
      <c r="PGW95" s="11"/>
      <c r="PGX95" s="11"/>
      <c r="PGY95" s="11"/>
      <c r="PGZ95" s="11"/>
      <c r="PHA95" s="11"/>
      <c r="PHB95" s="11"/>
      <c r="PHC95" s="11"/>
      <c r="PHD95" s="11"/>
      <c r="PHE95" s="11"/>
      <c r="PHF95" s="11"/>
      <c r="PHG95" s="11"/>
      <c r="PHH95" s="11"/>
      <c r="PHI95" s="11"/>
      <c r="PHJ95" s="11"/>
      <c r="PHK95" s="11"/>
      <c r="PHL95" s="11"/>
      <c r="PHM95" s="11"/>
      <c r="PHN95" s="11"/>
      <c r="PHO95" s="11"/>
      <c r="PHP95" s="11"/>
      <c r="PHQ95" s="11"/>
      <c r="PHR95" s="11"/>
      <c r="PHS95" s="11"/>
      <c r="PHT95" s="11"/>
      <c r="PHU95" s="11"/>
      <c r="PHV95" s="11"/>
      <c r="PHW95" s="11"/>
      <c r="PHX95" s="11"/>
      <c r="PHY95" s="11"/>
      <c r="PHZ95" s="11"/>
      <c r="PIA95" s="11"/>
      <c r="PIB95" s="11"/>
      <c r="PIC95" s="11"/>
      <c r="PID95" s="11"/>
      <c r="PIE95" s="11"/>
      <c r="PIF95" s="11"/>
      <c r="PIG95" s="11"/>
      <c r="PIH95" s="11"/>
      <c r="PII95" s="11"/>
      <c r="PIJ95" s="11"/>
      <c r="PIK95" s="11"/>
      <c r="PIL95" s="11"/>
      <c r="PIM95" s="11"/>
      <c r="PIN95" s="11"/>
      <c r="PIO95" s="11"/>
      <c r="PIP95" s="11"/>
      <c r="PIQ95" s="11"/>
      <c r="PIR95" s="11"/>
      <c r="PIS95" s="11"/>
      <c r="PIT95" s="11"/>
      <c r="PIU95" s="11"/>
      <c r="PIV95" s="11"/>
      <c r="PIW95" s="11"/>
      <c r="PIX95" s="11"/>
      <c r="PIY95" s="11"/>
      <c r="PIZ95" s="11"/>
      <c r="PJA95" s="11"/>
      <c r="PJB95" s="11"/>
      <c r="PJC95" s="11"/>
      <c r="PJD95" s="11"/>
      <c r="PJE95" s="11"/>
      <c r="PJF95" s="11"/>
      <c r="PJG95" s="11"/>
      <c r="PJH95" s="11"/>
      <c r="PJI95" s="11"/>
      <c r="PJJ95" s="11"/>
      <c r="PJK95" s="11"/>
      <c r="PJL95" s="11"/>
      <c r="PJM95" s="11"/>
      <c r="PJN95" s="11"/>
      <c r="PJO95" s="11"/>
      <c r="PJP95" s="11"/>
      <c r="PJQ95" s="11"/>
      <c r="PJR95" s="11"/>
      <c r="PJS95" s="11"/>
      <c r="PJT95" s="11"/>
      <c r="PJU95" s="11"/>
      <c r="PJV95" s="11"/>
      <c r="PJW95" s="11"/>
      <c r="PJX95" s="11"/>
      <c r="PJY95" s="11"/>
      <c r="PJZ95" s="11"/>
      <c r="PKA95" s="11"/>
      <c r="PKB95" s="11"/>
      <c r="PKC95" s="11"/>
      <c r="PKD95" s="11"/>
      <c r="PKE95" s="11"/>
      <c r="PKF95" s="11"/>
      <c r="PKG95" s="11"/>
      <c r="PKH95" s="11"/>
      <c r="PKI95" s="11"/>
      <c r="PKJ95" s="11"/>
      <c r="PKK95" s="11"/>
      <c r="PKL95" s="11"/>
      <c r="PKM95" s="11"/>
      <c r="PKN95" s="11"/>
      <c r="PKO95" s="11"/>
      <c r="PKP95" s="11"/>
      <c r="PKQ95" s="11"/>
      <c r="PKR95" s="11"/>
      <c r="PKS95" s="11"/>
      <c r="PKT95" s="11"/>
      <c r="PKU95" s="11"/>
      <c r="PKV95" s="11"/>
      <c r="PKW95" s="11"/>
      <c r="PKX95" s="11"/>
      <c r="PKY95" s="11"/>
      <c r="PKZ95" s="11"/>
      <c r="PLA95" s="11"/>
      <c r="PLB95" s="11"/>
      <c r="PLC95" s="11"/>
      <c r="PLD95" s="11"/>
      <c r="PLE95" s="11"/>
      <c r="PLF95" s="11"/>
      <c r="PLG95" s="11"/>
      <c r="PLH95" s="11"/>
      <c r="PLI95" s="11"/>
      <c r="PLJ95" s="11"/>
      <c r="PLK95" s="11"/>
      <c r="PLL95" s="11"/>
      <c r="PLM95" s="11"/>
      <c r="PLN95" s="11"/>
      <c r="PLO95" s="11"/>
      <c r="PLP95" s="11"/>
      <c r="PLQ95" s="11"/>
      <c r="PLR95" s="11"/>
      <c r="PLS95" s="11"/>
      <c r="PLT95" s="11"/>
      <c r="PLU95" s="11"/>
      <c r="PLV95" s="11"/>
      <c r="PLW95" s="11"/>
      <c r="PLX95" s="11"/>
      <c r="PLY95" s="11"/>
      <c r="PLZ95" s="11"/>
      <c r="PMA95" s="11"/>
      <c r="PMB95" s="11"/>
      <c r="PMC95" s="11"/>
      <c r="PMD95" s="11"/>
      <c r="PME95" s="11"/>
      <c r="PMF95" s="11"/>
      <c r="PMG95" s="11"/>
      <c r="PMH95" s="11"/>
      <c r="PMI95" s="11"/>
      <c r="PMJ95" s="11"/>
      <c r="PMK95" s="11"/>
      <c r="PML95" s="11"/>
      <c r="PMM95" s="11"/>
      <c r="PMN95" s="11"/>
      <c r="PMO95" s="11"/>
      <c r="PMP95" s="11"/>
      <c r="PMQ95" s="11"/>
      <c r="PMR95" s="11"/>
      <c r="PMS95" s="11"/>
      <c r="PMT95" s="11"/>
      <c r="PMU95" s="11"/>
      <c r="PMV95" s="11"/>
      <c r="PMW95" s="11"/>
      <c r="PMX95" s="11"/>
      <c r="PMY95" s="11"/>
      <c r="PMZ95" s="11"/>
      <c r="PNA95" s="11"/>
      <c r="PNB95" s="11"/>
      <c r="PNC95" s="11"/>
      <c r="PND95" s="11"/>
      <c r="PNE95" s="11"/>
      <c r="PNF95" s="11"/>
      <c r="PNG95" s="11"/>
      <c r="PNH95" s="11"/>
      <c r="PNI95" s="11"/>
      <c r="PNJ95" s="11"/>
      <c r="PNK95" s="11"/>
      <c r="PNL95" s="11"/>
      <c r="PNM95" s="11"/>
      <c r="PNN95" s="11"/>
      <c r="PNO95" s="11"/>
      <c r="PNP95" s="11"/>
      <c r="PNQ95" s="11"/>
      <c r="PNR95" s="11"/>
      <c r="PNS95" s="11"/>
      <c r="PNT95" s="11"/>
      <c r="PNU95" s="11"/>
      <c r="PNV95" s="11"/>
      <c r="PNW95" s="11"/>
      <c r="PNX95" s="11"/>
      <c r="PNY95" s="11"/>
      <c r="PNZ95" s="11"/>
      <c r="POA95" s="11"/>
      <c r="POB95" s="11"/>
      <c r="POC95" s="11"/>
      <c r="POD95" s="11"/>
      <c r="POE95" s="11"/>
      <c r="POF95" s="11"/>
      <c r="POG95" s="11"/>
      <c r="POH95" s="11"/>
      <c r="POI95" s="11"/>
      <c r="POJ95" s="11"/>
      <c r="POK95" s="11"/>
      <c r="POL95" s="11"/>
      <c r="POM95" s="11"/>
      <c r="PON95" s="11"/>
      <c r="POO95" s="11"/>
      <c r="POP95" s="11"/>
      <c r="POQ95" s="11"/>
      <c r="POR95" s="11"/>
      <c r="POS95" s="11"/>
      <c r="POT95" s="11"/>
      <c r="POU95" s="11"/>
      <c r="POV95" s="11"/>
      <c r="POW95" s="11"/>
      <c r="POX95" s="11"/>
      <c r="POY95" s="11"/>
      <c r="POZ95" s="11"/>
      <c r="PPA95" s="11"/>
      <c r="PPB95" s="11"/>
      <c r="PPC95" s="11"/>
      <c r="PPD95" s="11"/>
      <c r="PPE95" s="11"/>
      <c r="PPF95" s="11"/>
      <c r="PPG95" s="11"/>
      <c r="PPH95" s="11"/>
      <c r="PPI95" s="11"/>
      <c r="PPJ95" s="11"/>
      <c r="PPK95" s="11"/>
      <c r="PPL95" s="11"/>
      <c r="PPM95" s="11"/>
      <c r="PPN95" s="11"/>
      <c r="PPO95" s="11"/>
      <c r="PPP95" s="11"/>
      <c r="PPQ95" s="11"/>
      <c r="PPR95" s="11"/>
      <c r="PPS95" s="11"/>
      <c r="PPT95" s="11"/>
      <c r="PPU95" s="11"/>
      <c r="PPV95" s="11"/>
      <c r="PPW95" s="11"/>
      <c r="PPX95" s="11"/>
      <c r="PPY95" s="11"/>
      <c r="PPZ95" s="11"/>
      <c r="PQA95" s="11"/>
      <c r="PQB95" s="11"/>
      <c r="PQC95" s="11"/>
      <c r="PQD95" s="11"/>
      <c r="PQE95" s="11"/>
      <c r="PQF95" s="11"/>
      <c r="PQG95" s="11"/>
      <c r="PQH95" s="11"/>
      <c r="PQI95" s="11"/>
      <c r="PQJ95" s="11"/>
      <c r="PQK95" s="11"/>
      <c r="PQL95" s="11"/>
      <c r="PQM95" s="11"/>
      <c r="PQN95" s="11"/>
      <c r="PQO95" s="11"/>
      <c r="PQP95" s="11"/>
      <c r="PQQ95" s="11"/>
      <c r="PQR95" s="11"/>
      <c r="PQS95" s="11"/>
      <c r="PQT95" s="11"/>
      <c r="PQU95" s="11"/>
      <c r="PQV95" s="11"/>
      <c r="PQW95" s="11"/>
      <c r="PQX95" s="11"/>
      <c r="PQY95" s="11"/>
      <c r="PQZ95" s="11"/>
      <c r="PRA95" s="11"/>
      <c r="PRB95" s="11"/>
      <c r="PRC95" s="11"/>
      <c r="PRD95" s="11"/>
      <c r="PRE95" s="11"/>
      <c r="PRF95" s="11"/>
      <c r="PRG95" s="11"/>
      <c r="PRH95" s="11"/>
      <c r="PRI95" s="11"/>
      <c r="PRJ95" s="11"/>
      <c r="PRK95" s="11"/>
      <c r="PRL95" s="11"/>
      <c r="PRM95" s="11"/>
      <c r="PRN95" s="11"/>
      <c r="PRO95" s="11"/>
      <c r="PRP95" s="11"/>
      <c r="PRQ95" s="11"/>
      <c r="PRR95" s="11"/>
      <c r="PRS95" s="11"/>
      <c r="PRT95" s="11"/>
      <c r="PRU95" s="11"/>
      <c r="PRV95" s="11"/>
      <c r="PRW95" s="11"/>
      <c r="PRX95" s="11"/>
      <c r="PRY95" s="11"/>
      <c r="PRZ95" s="11"/>
      <c r="PSA95" s="11"/>
      <c r="PSB95" s="11"/>
      <c r="PSC95" s="11"/>
      <c r="PSD95" s="11"/>
      <c r="PSE95" s="11"/>
      <c r="PSF95" s="11"/>
      <c r="PSG95" s="11"/>
      <c r="PSH95" s="11"/>
      <c r="PSI95" s="11"/>
      <c r="PSJ95" s="11"/>
      <c r="PSK95" s="11"/>
      <c r="PSL95" s="11"/>
      <c r="PSM95" s="11"/>
      <c r="PSN95" s="11"/>
      <c r="PSO95" s="11"/>
      <c r="PSP95" s="11"/>
      <c r="PSQ95" s="11"/>
      <c r="PSR95" s="11"/>
      <c r="PSS95" s="11"/>
      <c r="PST95" s="11"/>
      <c r="PSU95" s="11"/>
      <c r="PSV95" s="11"/>
      <c r="PSW95" s="11"/>
      <c r="PSX95" s="11"/>
      <c r="PSY95" s="11"/>
      <c r="PSZ95" s="11"/>
      <c r="PTA95" s="11"/>
      <c r="PTB95" s="11"/>
      <c r="PTC95" s="11"/>
      <c r="PTD95" s="11"/>
      <c r="PTE95" s="11"/>
      <c r="PTF95" s="11"/>
      <c r="PTG95" s="11"/>
      <c r="PTH95" s="11"/>
      <c r="PTI95" s="11"/>
      <c r="PTJ95" s="11"/>
      <c r="PTK95" s="11"/>
      <c r="PTL95" s="11"/>
      <c r="PTM95" s="11"/>
      <c r="PTN95" s="11"/>
      <c r="PTO95" s="11"/>
      <c r="PTP95" s="11"/>
      <c r="PTQ95" s="11"/>
      <c r="PTR95" s="11"/>
      <c r="PTS95" s="11"/>
      <c r="PTT95" s="11"/>
      <c r="PTU95" s="11"/>
      <c r="PTV95" s="11"/>
      <c r="PTW95" s="11"/>
      <c r="PTX95" s="11"/>
      <c r="PTY95" s="11"/>
      <c r="PTZ95" s="11"/>
      <c r="PUA95" s="11"/>
      <c r="PUB95" s="11"/>
      <c r="PUC95" s="11"/>
      <c r="PUD95" s="11"/>
      <c r="PUE95" s="11"/>
      <c r="PUF95" s="11"/>
      <c r="PUG95" s="11"/>
      <c r="PUH95" s="11"/>
      <c r="PUI95" s="11"/>
      <c r="PUJ95" s="11"/>
      <c r="PUK95" s="11"/>
      <c r="PUL95" s="11"/>
      <c r="PUM95" s="11"/>
      <c r="PUN95" s="11"/>
      <c r="PUO95" s="11"/>
      <c r="PUP95" s="11"/>
      <c r="PUQ95" s="11"/>
      <c r="PUR95" s="11"/>
      <c r="PUS95" s="11"/>
      <c r="PUT95" s="11"/>
      <c r="PUU95" s="11"/>
      <c r="PUV95" s="11"/>
      <c r="PUW95" s="11"/>
      <c r="PUX95" s="11"/>
      <c r="PUY95" s="11"/>
      <c r="PUZ95" s="11"/>
      <c r="PVA95" s="11"/>
      <c r="PVB95" s="11"/>
      <c r="PVC95" s="11"/>
      <c r="PVD95" s="11"/>
      <c r="PVE95" s="11"/>
      <c r="PVF95" s="11"/>
      <c r="PVG95" s="11"/>
      <c r="PVH95" s="11"/>
      <c r="PVI95" s="11"/>
      <c r="PVJ95" s="11"/>
      <c r="PVK95" s="11"/>
      <c r="PVL95" s="11"/>
      <c r="PVM95" s="11"/>
      <c r="PVN95" s="11"/>
      <c r="PVO95" s="11"/>
      <c r="PVP95" s="11"/>
      <c r="PVQ95" s="11"/>
      <c r="PVR95" s="11"/>
      <c r="PVS95" s="11"/>
      <c r="PVT95" s="11"/>
      <c r="PVU95" s="11"/>
      <c r="PVV95" s="11"/>
      <c r="PVW95" s="11"/>
      <c r="PVX95" s="11"/>
      <c r="PVY95" s="11"/>
      <c r="PVZ95" s="11"/>
      <c r="PWA95" s="11"/>
      <c r="PWB95" s="11"/>
      <c r="PWC95" s="11"/>
      <c r="PWD95" s="11"/>
      <c r="PWE95" s="11"/>
      <c r="PWF95" s="11"/>
      <c r="PWG95" s="11"/>
      <c r="PWH95" s="11"/>
      <c r="PWI95" s="11"/>
      <c r="PWJ95" s="11"/>
      <c r="PWK95" s="11"/>
      <c r="PWL95" s="11"/>
      <c r="PWM95" s="11"/>
      <c r="PWN95" s="11"/>
      <c r="PWO95" s="11"/>
      <c r="PWP95" s="11"/>
      <c r="PWQ95" s="11"/>
      <c r="PWR95" s="11"/>
      <c r="PWS95" s="11"/>
      <c r="PWT95" s="11"/>
      <c r="PWU95" s="11"/>
      <c r="PWV95" s="11"/>
      <c r="PWW95" s="11"/>
      <c r="PWX95" s="11"/>
      <c r="PWY95" s="11"/>
      <c r="PWZ95" s="11"/>
      <c r="PXA95" s="11"/>
      <c r="PXB95" s="11"/>
      <c r="PXC95" s="11"/>
      <c r="PXD95" s="11"/>
      <c r="PXE95" s="11"/>
      <c r="PXF95" s="11"/>
      <c r="PXG95" s="11"/>
      <c r="PXH95" s="11"/>
      <c r="PXI95" s="11"/>
      <c r="PXJ95" s="11"/>
      <c r="PXK95" s="11"/>
      <c r="PXL95" s="11"/>
      <c r="PXM95" s="11"/>
      <c r="PXN95" s="11"/>
      <c r="PXO95" s="11"/>
      <c r="PXP95" s="11"/>
      <c r="PXQ95" s="11"/>
      <c r="PXR95" s="11"/>
      <c r="PXS95" s="11"/>
      <c r="PXT95" s="11"/>
      <c r="PXU95" s="11"/>
      <c r="PXV95" s="11"/>
      <c r="PXW95" s="11"/>
      <c r="PXX95" s="11"/>
      <c r="PXY95" s="11"/>
      <c r="PXZ95" s="11"/>
      <c r="PYA95" s="11"/>
      <c r="PYB95" s="11"/>
      <c r="PYC95" s="11"/>
      <c r="PYD95" s="11"/>
      <c r="PYE95" s="11"/>
      <c r="PYF95" s="11"/>
      <c r="PYG95" s="11"/>
      <c r="PYH95" s="11"/>
      <c r="PYI95" s="11"/>
      <c r="PYJ95" s="11"/>
      <c r="PYK95" s="11"/>
      <c r="PYL95" s="11"/>
      <c r="PYM95" s="11"/>
      <c r="PYN95" s="11"/>
      <c r="PYO95" s="11"/>
      <c r="PYP95" s="11"/>
      <c r="PYQ95" s="11"/>
      <c r="PYR95" s="11"/>
      <c r="PYS95" s="11"/>
      <c r="PYT95" s="11"/>
      <c r="PYU95" s="11"/>
      <c r="PYV95" s="11"/>
      <c r="PYW95" s="11"/>
      <c r="PYX95" s="11"/>
      <c r="PYY95" s="11"/>
      <c r="PYZ95" s="11"/>
      <c r="PZA95" s="11"/>
      <c r="PZB95" s="11"/>
      <c r="PZC95" s="11"/>
      <c r="PZD95" s="11"/>
      <c r="PZE95" s="11"/>
      <c r="PZF95" s="11"/>
      <c r="PZG95" s="11"/>
      <c r="PZH95" s="11"/>
      <c r="PZI95" s="11"/>
      <c r="PZJ95" s="11"/>
      <c r="PZK95" s="11"/>
      <c r="PZL95" s="11"/>
      <c r="PZM95" s="11"/>
      <c r="PZN95" s="11"/>
      <c r="PZO95" s="11"/>
      <c r="PZP95" s="11"/>
      <c r="PZQ95" s="11"/>
      <c r="PZR95" s="11"/>
      <c r="PZS95" s="11"/>
      <c r="PZT95" s="11"/>
      <c r="PZU95" s="11"/>
      <c r="PZV95" s="11"/>
      <c r="PZW95" s="11"/>
      <c r="PZX95" s="11"/>
      <c r="PZY95" s="11"/>
      <c r="PZZ95" s="11"/>
      <c r="QAA95" s="11"/>
      <c r="QAB95" s="11"/>
      <c r="QAC95" s="11"/>
      <c r="QAD95" s="11"/>
      <c r="QAE95" s="11"/>
      <c r="QAF95" s="11"/>
      <c r="QAG95" s="11"/>
      <c r="QAH95" s="11"/>
      <c r="QAI95" s="11"/>
      <c r="QAJ95" s="11"/>
      <c r="QAK95" s="11"/>
      <c r="QAL95" s="11"/>
      <c r="QAM95" s="11"/>
      <c r="QAN95" s="11"/>
      <c r="QAO95" s="11"/>
      <c r="QAP95" s="11"/>
      <c r="QAQ95" s="11"/>
      <c r="QAR95" s="11"/>
      <c r="QAS95" s="11"/>
      <c r="QAT95" s="11"/>
      <c r="QAU95" s="11"/>
      <c r="QAV95" s="11"/>
      <c r="QAW95" s="11"/>
      <c r="QAX95" s="11"/>
      <c r="QAY95" s="11"/>
      <c r="QAZ95" s="11"/>
      <c r="QBA95" s="11"/>
      <c r="QBB95" s="11"/>
      <c r="QBC95" s="11"/>
      <c r="QBD95" s="11"/>
      <c r="QBE95" s="11"/>
      <c r="QBF95" s="11"/>
      <c r="QBG95" s="11"/>
      <c r="QBH95" s="11"/>
      <c r="QBI95" s="11"/>
      <c r="QBJ95" s="11"/>
      <c r="QBK95" s="11"/>
      <c r="QBL95" s="11"/>
      <c r="QBM95" s="11"/>
      <c r="QBN95" s="11"/>
      <c r="QBO95" s="11"/>
      <c r="QBP95" s="11"/>
      <c r="QBQ95" s="11"/>
      <c r="QBR95" s="11"/>
      <c r="QBS95" s="11"/>
      <c r="QBT95" s="11"/>
      <c r="QBU95" s="11"/>
      <c r="QBV95" s="11"/>
      <c r="QBW95" s="11"/>
      <c r="QBX95" s="11"/>
      <c r="QBY95" s="11"/>
      <c r="QBZ95" s="11"/>
      <c r="QCA95" s="11"/>
      <c r="QCB95" s="11"/>
      <c r="QCC95" s="11"/>
      <c r="QCD95" s="11"/>
      <c r="QCE95" s="11"/>
      <c r="QCF95" s="11"/>
      <c r="QCG95" s="11"/>
      <c r="QCH95" s="11"/>
      <c r="QCI95" s="11"/>
      <c r="QCJ95" s="11"/>
      <c r="QCK95" s="11"/>
      <c r="QCL95" s="11"/>
      <c r="QCM95" s="11"/>
      <c r="QCN95" s="11"/>
      <c r="QCO95" s="11"/>
      <c r="QCP95" s="11"/>
      <c r="QCQ95" s="11"/>
      <c r="QCR95" s="11"/>
      <c r="QCS95" s="11"/>
      <c r="QCT95" s="11"/>
      <c r="QCU95" s="11"/>
      <c r="QCV95" s="11"/>
      <c r="QCW95" s="11"/>
      <c r="QCX95" s="11"/>
      <c r="QCY95" s="11"/>
      <c r="QCZ95" s="11"/>
      <c r="QDA95" s="11"/>
      <c r="QDB95" s="11"/>
      <c r="QDC95" s="11"/>
      <c r="QDD95" s="11"/>
      <c r="QDE95" s="11"/>
      <c r="QDF95" s="11"/>
      <c r="QDG95" s="11"/>
      <c r="QDH95" s="11"/>
      <c r="QDI95" s="11"/>
      <c r="QDJ95" s="11"/>
      <c r="QDK95" s="11"/>
      <c r="QDL95" s="11"/>
      <c r="QDM95" s="11"/>
      <c r="QDN95" s="11"/>
      <c r="QDO95" s="11"/>
      <c r="QDP95" s="11"/>
      <c r="QDQ95" s="11"/>
      <c r="QDR95" s="11"/>
      <c r="QDS95" s="11"/>
      <c r="QDT95" s="11"/>
      <c r="QDU95" s="11"/>
      <c r="QDV95" s="11"/>
      <c r="QDW95" s="11"/>
      <c r="QDX95" s="11"/>
      <c r="QDY95" s="11"/>
      <c r="QDZ95" s="11"/>
      <c r="QEA95" s="11"/>
      <c r="QEB95" s="11"/>
      <c r="QEC95" s="11"/>
      <c r="QED95" s="11"/>
      <c r="QEE95" s="11"/>
      <c r="QEF95" s="11"/>
      <c r="QEG95" s="11"/>
      <c r="QEH95" s="11"/>
      <c r="QEI95" s="11"/>
      <c r="QEJ95" s="11"/>
      <c r="QEK95" s="11"/>
      <c r="QEL95" s="11"/>
      <c r="QEM95" s="11"/>
      <c r="QEN95" s="11"/>
      <c r="QEO95" s="11"/>
      <c r="QEP95" s="11"/>
      <c r="QEQ95" s="11"/>
      <c r="QER95" s="11"/>
      <c r="QES95" s="11"/>
      <c r="QET95" s="11"/>
      <c r="QEU95" s="11"/>
      <c r="QEV95" s="11"/>
      <c r="QEW95" s="11"/>
      <c r="QEX95" s="11"/>
      <c r="QEY95" s="11"/>
      <c r="QEZ95" s="11"/>
      <c r="QFA95" s="11"/>
      <c r="QFB95" s="11"/>
      <c r="QFC95" s="11"/>
      <c r="QFD95" s="11"/>
      <c r="QFE95" s="11"/>
      <c r="QFF95" s="11"/>
      <c r="QFG95" s="11"/>
      <c r="QFH95" s="11"/>
      <c r="QFI95" s="11"/>
      <c r="QFJ95" s="11"/>
      <c r="QFK95" s="11"/>
      <c r="QFL95" s="11"/>
      <c r="QFM95" s="11"/>
      <c r="QFN95" s="11"/>
      <c r="QFO95" s="11"/>
      <c r="QFP95" s="11"/>
      <c r="QFQ95" s="11"/>
      <c r="QFR95" s="11"/>
      <c r="QFS95" s="11"/>
      <c r="QFT95" s="11"/>
      <c r="QFU95" s="11"/>
      <c r="QFV95" s="11"/>
      <c r="QFW95" s="11"/>
      <c r="QFX95" s="11"/>
      <c r="QFY95" s="11"/>
      <c r="QFZ95" s="11"/>
      <c r="QGA95" s="11"/>
      <c r="QGB95" s="11"/>
      <c r="QGC95" s="11"/>
      <c r="QGD95" s="11"/>
      <c r="QGE95" s="11"/>
      <c r="QGF95" s="11"/>
      <c r="QGG95" s="11"/>
      <c r="QGH95" s="11"/>
      <c r="QGI95" s="11"/>
      <c r="QGJ95" s="11"/>
      <c r="QGK95" s="11"/>
      <c r="QGL95" s="11"/>
      <c r="QGM95" s="11"/>
      <c r="QGN95" s="11"/>
      <c r="QGO95" s="11"/>
      <c r="QGP95" s="11"/>
      <c r="QGQ95" s="11"/>
      <c r="QGR95" s="11"/>
      <c r="QGS95" s="11"/>
      <c r="QGT95" s="11"/>
      <c r="QGU95" s="11"/>
      <c r="QGV95" s="11"/>
      <c r="QGW95" s="11"/>
      <c r="QGX95" s="11"/>
      <c r="QGY95" s="11"/>
      <c r="QGZ95" s="11"/>
      <c r="QHA95" s="11"/>
      <c r="QHB95" s="11"/>
      <c r="QHC95" s="11"/>
      <c r="QHD95" s="11"/>
      <c r="QHE95" s="11"/>
      <c r="QHF95" s="11"/>
      <c r="QHG95" s="11"/>
      <c r="QHH95" s="11"/>
      <c r="QHI95" s="11"/>
      <c r="QHJ95" s="11"/>
      <c r="QHK95" s="11"/>
      <c r="QHL95" s="11"/>
      <c r="QHM95" s="11"/>
      <c r="QHN95" s="11"/>
      <c r="QHO95" s="11"/>
      <c r="QHP95" s="11"/>
      <c r="QHQ95" s="11"/>
      <c r="QHR95" s="11"/>
      <c r="QHS95" s="11"/>
      <c r="QHT95" s="11"/>
      <c r="QHU95" s="11"/>
      <c r="QHV95" s="11"/>
      <c r="QHW95" s="11"/>
      <c r="QHX95" s="11"/>
      <c r="QHY95" s="11"/>
      <c r="QHZ95" s="11"/>
      <c r="QIA95" s="11"/>
      <c r="QIB95" s="11"/>
      <c r="QIC95" s="11"/>
      <c r="QID95" s="11"/>
      <c r="QIE95" s="11"/>
      <c r="QIF95" s="11"/>
      <c r="QIG95" s="11"/>
      <c r="QIH95" s="11"/>
      <c r="QII95" s="11"/>
      <c r="QIJ95" s="11"/>
      <c r="QIK95" s="11"/>
      <c r="QIL95" s="11"/>
      <c r="QIM95" s="11"/>
      <c r="QIN95" s="11"/>
      <c r="QIO95" s="11"/>
      <c r="QIP95" s="11"/>
      <c r="QIQ95" s="11"/>
      <c r="QIR95" s="11"/>
      <c r="QIS95" s="11"/>
      <c r="QIT95" s="11"/>
      <c r="QIU95" s="11"/>
      <c r="QIV95" s="11"/>
      <c r="QIW95" s="11"/>
      <c r="QIX95" s="11"/>
      <c r="QIY95" s="11"/>
      <c r="QIZ95" s="11"/>
      <c r="QJA95" s="11"/>
      <c r="QJB95" s="11"/>
      <c r="QJC95" s="11"/>
      <c r="QJD95" s="11"/>
      <c r="QJE95" s="11"/>
      <c r="QJF95" s="11"/>
      <c r="QJG95" s="11"/>
      <c r="QJH95" s="11"/>
      <c r="QJI95" s="11"/>
      <c r="QJJ95" s="11"/>
      <c r="QJK95" s="11"/>
      <c r="QJL95" s="11"/>
      <c r="QJM95" s="11"/>
      <c r="QJN95" s="11"/>
      <c r="QJO95" s="11"/>
      <c r="QJP95" s="11"/>
      <c r="QJQ95" s="11"/>
      <c r="QJR95" s="11"/>
      <c r="QJS95" s="11"/>
      <c r="QJT95" s="11"/>
      <c r="QJU95" s="11"/>
      <c r="QJV95" s="11"/>
      <c r="QJW95" s="11"/>
      <c r="QJX95" s="11"/>
      <c r="QJY95" s="11"/>
      <c r="QJZ95" s="11"/>
      <c r="QKA95" s="11"/>
      <c r="QKB95" s="11"/>
      <c r="QKC95" s="11"/>
      <c r="QKD95" s="11"/>
      <c r="QKE95" s="11"/>
      <c r="QKF95" s="11"/>
      <c r="QKG95" s="11"/>
      <c r="QKH95" s="11"/>
      <c r="QKI95" s="11"/>
      <c r="QKJ95" s="11"/>
      <c r="QKK95" s="11"/>
      <c r="QKL95" s="11"/>
      <c r="QKM95" s="11"/>
      <c r="QKN95" s="11"/>
      <c r="QKO95" s="11"/>
      <c r="QKP95" s="11"/>
      <c r="QKQ95" s="11"/>
      <c r="QKR95" s="11"/>
      <c r="QKS95" s="11"/>
      <c r="QKT95" s="11"/>
      <c r="QKU95" s="11"/>
      <c r="QKV95" s="11"/>
      <c r="QKW95" s="11"/>
      <c r="QKX95" s="11"/>
      <c r="QKY95" s="11"/>
      <c r="QKZ95" s="11"/>
      <c r="QLA95" s="11"/>
      <c r="QLB95" s="11"/>
      <c r="QLC95" s="11"/>
      <c r="QLD95" s="11"/>
      <c r="QLE95" s="11"/>
      <c r="QLF95" s="11"/>
      <c r="QLG95" s="11"/>
      <c r="QLH95" s="11"/>
      <c r="QLI95" s="11"/>
      <c r="QLJ95" s="11"/>
      <c r="QLK95" s="11"/>
      <c r="QLL95" s="11"/>
      <c r="QLM95" s="11"/>
      <c r="QLN95" s="11"/>
      <c r="QLO95" s="11"/>
      <c r="QLP95" s="11"/>
      <c r="QLQ95" s="11"/>
      <c r="QLR95" s="11"/>
      <c r="QLS95" s="11"/>
      <c r="QLT95" s="11"/>
      <c r="QLU95" s="11"/>
      <c r="QLV95" s="11"/>
      <c r="QLW95" s="11"/>
      <c r="QLX95" s="11"/>
      <c r="QLY95" s="11"/>
      <c r="QLZ95" s="11"/>
      <c r="QMA95" s="11"/>
      <c r="QMB95" s="11"/>
      <c r="QMC95" s="11"/>
      <c r="QMD95" s="11"/>
      <c r="QME95" s="11"/>
      <c r="QMF95" s="11"/>
      <c r="QMG95" s="11"/>
      <c r="QMH95" s="11"/>
      <c r="QMI95" s="11"/>
      <c r="QMJ95" s="11"/>
      <c r="QMK95" s="11"/>
      <c r="QML95" s="11"/>
      <c r="QMM95" s="11"/>
      <c r="QMN95" s="11"/>
      <c r="QMO95" s="11"/>
      <c r="QMP95" s="11"/>
      <c r="QMQ95" s="11"/>
      <c r="QMR95" s="11"/>
      <c r="QMS95" s="11"/>
      <c r="QMT95" s="11"/>
      <c r="QMU95" s="11"/>
      <c r="QMV95" s="11"/>
      <c r="QMW95" s="11"/>
      <c r="QMX95" s="11"/>
      <c r="QMY95" s="11"/>
      <c r="QMZ95" s="11"/>
      <c r="QNA95" s="11"/>
      <c r="QNB95" s="11"/>
      <c r="QNC95" s="11"/>
      <c r="QND95" s="11"/>
      <c r="QNE95" s="11"/>
      <c r="QNF95" s="11"/>
      <c r="QNG95" s="11"/>
      <c r="QNH95" s="11"/>
      <c r="QNI95" s="11"/>
      <c r="QNJ95" s="11"/>
      <c r="QNK95" s="11"/>
      <c r="QNL95" s="11"/>
      <c r="QNM95" s="11"/>
      <c r="QNN95" s="11"/>
      <c r="QNO95" s="11"/>
      <c r="QNP95" s="11"/>
      <c r="QNQ95" s="11"/>
      <c r="QNR95" s="11"/>
      <c r="QNS95" s="11"/>
      <c r="QNT95" s="11"/>
      <c r="QNU95" s="11"/>
      <c r="QNV95" s="11"/>
      <c r="QNW95" s="11"/>
      <c r="QNX95" s="11"/>
      <c r="QNY95" s="11"/>
      <c r="QNZ95" s="11"/>
      <c r="QOA95" s="11"/>
      <c r="QOB95" s="11"/>
      <c r="QOC95" s="11"/>
      <c r="QOD95" s="11"/>
      <c r="QOE95" s="11"/>
      <c r="QOF95" s="11"/>
      <c r="QOG95" s="11"/>
      <c r="QOH95" s="11"/>
      <c r="QOI95" s="11"/>
      <c r="QOJ95" s="11"/>
      <c r="QOK95" s="11"/>
      <c r="QOL95" s="11"/>
      <c r="QOM95" s="11"/>
      <c r="QON95" s="11"/>
      <c r="QOO95" s="11"/>
      <c r="QOP95" s="11"/>
      <c r="QOQ95" s="11"/>
      <c r="QOR95" s="11"/>
      <c r="QOS95" s="11"/>
      <c r="QOT95" s="11"/>
      <c r="QOU95" s="11"/>
      <c r="QOV95" s="11"/>
      <c r="QOW95" s="11"/>
      <c r="QOX95" s="11"/>
      <c r="QOY95" s="11"/>
      <c r="QOZ95" s="11"/>
      <c r="QPA95" s="11"/>
      <c r="QPB95" s="11"/>
      <c r="QPC95" s="11"/>
      <c r="QPD95" s="11"/>
      <c r="QPE95" s="11"/>
      <c r="QPF95" s="11"/>
      <c r="QPG95" s="11"/>
      <c r="QPH95" s="11"/>
      <c r="QPI95" s="11"/>
      <c r="QPJ95" s="11"/>
      <c r="QPK95" s="11"/>
      <c r="QPL95" s="11"/>
      <c r="QPM95" s="11"/>
      <c r="QPN95" s="11"/>
      <c r="QPO95" s="11"/>
      <c r="QPP95" s="11"/>
      <c r="QPQ95" s="11"/>
      <c r="QPR95" s="11"/>
      <c r="QPS95" s="11"/>
      <c r="QPT95" s="11"/>
      <c r="QPU95" s="11"/>
      <c r="QPV95" s="11"/>
      <c r="QPW95" s="11"/>
      <c r="QPX95" s="11"/>
      <c r="QPY95" s="11"/>
      <c r="QPZ95" s="11"/>
      <c r="QQA95" s="11"/>
      <c r="QQB95" s="11"/>
      <c r="QQC95" s="11"/>
      <c r="QQD95" s="11"/>
      <c r="QQE95" s="11"/>
      <c r="QQF95" s="11"/>
      <c r="QQG95" s="11"/>
      <c r="QQH95" s="11"/>
      <c r="QQI95" s="11"/>
      <c r="QQJ95" s="11"/>
      <c r="QQK95" s="11"/>
      <c r="QQL95" s="11"/>
      <c r="QQM95" s="11"/>
      <c r="QQN95" s="11"/>
      <c r="QQO95" s="11"/>
      <c r="QQP95" s="11"/>
      <c r="QQQ95" s="11"/>
      <c r="QQR95" s="11"/>
      <c r="QQS95" s="11"/>
      <c r="QQT95" s="11"/>
      <c r="QQU95" s="11"/>
      <c r="QQV95" s="11"/>
      <c r="QQW95" s="11"/>
      <c r="QQX95" s="11"/>
      <c r="QQY95" s="11"/>
      <c r="QQZ95" s="11"/>
      <c r="QRA95" s="11"/>
      <c r="QRB95" s="11"/>
      <c r="QRC95" s="11"/>
      <c r="QRD95" s="11"/>
      <c r="QRE95" s="11"/>
      <c r="QRF95" s="11"/>
      <c r="QRG95" s="11"/>
      <c r="QRH95" s="11"/>
      <c r="QRI95" s="11"/>
      <c r="QRJ95" s="11"/>
      <c r="QRK95" s="11"/>
      <c r="QRL95" s="11"/>
      <c r="QRM95" s="11"/>
      <c r="QRN95" s="11"/>
      <c r="QRO95" s="11"/>
      <c r="QRP95" s="11"/>
      <c r="QRQ95" s="11"/>
      <c r="QRR95" s="11"/>
      <c r="QRS95" s="11"/>
      <c r="QRT95" s="11"/>
      <c r="QRU95" s="11"/>
      <c r="QRV95" s="11"/>
      <c r="QRW95" s="11"/>
      <c r="QRX95" s="11"/>
      <c r="QRY95" s="11"/>
      <c r="QRZ95" s="11"/>
      <c r="QSA95" s="11"/>
      <c r="QSB95" s="11"/>
      <c r="QSC95" s="11"/>
      <c r="QSD95" s="11"/>
      <c r="QSE95" s="11"/>
      <c r="QSF95" s="11"/>
      <c r="QSG95" s="11"/>
      <c r="QSH95" s="11"/>
      <c r="QSI95" s="11"/>
      <c r="QSJ95" s="11"/>
      <c r="QSK95" s="11"/>
      <c r="QSL95" s="11"/>
      <c r="QSM95" s="11"/>
      <c r="QSN95" s="11"/>
      <c r="QSO95" s="11"/>
      <c r="QSP95" s="11"/>
      <c r="QSQ95" s="11"/>
      <c r="QSR95" s="11"/>
      <c r="QSS95" s="11"/>
      <c r="QST95" s="11"/>
      <c r="QSU95" s="11"/>
      <c r="QSV95" s="11"/>
      <c r="QSW95" s="11"/>
      <c r="QSX95" s="11"/>
      <c r="QSY95" s="11"/>
      <c r="QSZ95" s="11"/>
      <c r="QTA95" s="11"/>
      <c r="QTB95" s="11"/>
      <c r="QTC95" s="11"/>
      <c r="QTD95" s="11"/>
      <c r="QTE95" s="11"/>
      <c r="QTF95" s="11"/>
      <c r="QTG95" s="11"/>
      <c r="QTH95" s="11"/>
      <c r="QTI95" s="11"/>
      <c r="QTJ95" s="11"/>
      <c r="QTK95" s="11"/>
      <c r="QTL95" s="11"/>
      <c r="QTM95" s="11"/>
      <c r="QTN95" s="11"/>
      <c r="QTO95" s="11"/>
      <c r="QTP95" s="11"/>
      <c r="QTQ95" s="11"/>
      <c r="QTR95" s="11"/>
      <c r="QTS95" s="11"/>
      <c r="QTT95" s="11"/>
      <c r="QTU95" s="11"/>
      <c r="QTV95" s="11"/>
      <c r="QTW95" s="11"/>
      <c r="QTX95" s="11"/>
      <c r="QTY95" s="11"/>
      <c r="QTZ95" s="11"/>
      <c r="QUA95" s="11"/>
      <c r="QUB95" s="11"/>
      <c r="QUC95" s="11"/>
      <c r="QUD95" s="11"/>
      <c r="QUE95" s="11"/>
      <c r="QUF95" s="11"/>
      <c r="QUG95" s="11"/>
      <c r="QUH95" s="11"/>
      <c r="QUI95" s="11"/>
      <c r="QUJ95" s="11"/>
      <c r="QUK95" s="11"/>
      <c r="QUL95" s="11"/>
      <c r="QUM95" s="11"/>
      <c r="QUN95" s="11"/>
      <c r="QUO95" s="11"/>
      <c r="QUP95" s="11"/>
      <c r="QUQ95" s="11"/>
      <c r="QUR95" s="11"/>
      <c r="QUS95" s="11"/>
      <c r="QUT95" s="11"/>
      <c r="QUU95" s="11"/>
      <c r="QUV95" s="11"/>
      <c r="QUW95" s="11"/>
      <c r="QUX95" s="11"/>
      <c r="QUY95" s="11"/>
      <c r="QUZ95" s="11"/>
      <c r="QVA95" s="11"/>
      <c r="QVB95" s="11"/>
      <c r="QVC95" s="11"/>
      <c r="QVD95" s="11"/>
      <c r="QVE95" s="11"/>
      <c r="QVF95" s="11"/>
      <c r="QVG95" s="11"/>
      <c r="QVH95" s="11"/>
      <c r="QVI95" s="11"/>
      <c r="QVJ95" s="11"/>
      <c r="QVK95" s="11"/>
      <c r="QVL95" s="11"/>
      <c r="QVM95" s="11"/>
      <c r="QVN95" s="11"/>
      <c r="QVO95" s="11"/>
      <c r="QVP95" s="11"/>
      <c r="QVQ95" s="11"/>
      <c r="QVR95" s="11"/>
      <c r="QVS95" s="11"/>
      <c r="QVT95" s="11"/>
      <c r="QVU95" s="11"/>
      <c r="QVV95" s="11"/>
      <c r="QVW95" s="11"/>
      <c r="QVX95" s="11"/>
      <c r="QVY95" s="11"/>
      <c r="QVZ95" s="11"/>
      <c r="QWA95" s="11"/>
      <c r="QWB95" s="11"/>
      <c r="QWC95" s="11"/>
      <c r="QWD95" s="11"/>
      <c r="QWE95" s="11"/>
      <c r="QWF95" s="11"/>
      <c r="QWG95" s="11"/>
      <c r="QWH95" s="11"/>
      <c r="QWI95" s="11"/>
      <c r="QWJ95" s="11"/>
      <c r="QWK95" s="11"/>
      <c r="QWL95" s="11"/>
      <c r="QWM95" s="11"/>
      <c r="QWN95" s="11"/>
      <c r="QWO95" s="11"/>
      <c r="QWP95" s="11"/>
      <c r="QWQ95" s="11"/>
      <c r="QWR95" s="11"/>
      <c r="QWS95" s="11"/>
      <c r="QWT95" s="11"/>
      <c r="QWU95" s="11"/>
      <c r="QWV95" s="11"/>
      <c r="QWW95" s="11"/>
      <c r="QWX95" s="11"/>
      <c r="QWY95" s="11"/>
      <c r="QWZ95" s="11"/>
      <c r="QXA95" s="11"/>
      <c r="QXB95" s="11"/>
      <c r="QXC95" s="11"/>
      <c r="QXD95" s="11"/>
      <c r="QXE95" s="11"/>
      <c r="QXF95" s="11"/>
      <c r="QXG95" s="11"/>
      <c r="QXH95" s="11"/>
      <c r="QXI95" s="11"/>
      <c r="QXJ95" s="11"/>
      <c r="QXK95" s="11"/>
      <c r="QXL95" s="11"/>
      <c r="QXM95" s="11"/>
      <c r="QXN95" s="11"/>
      <c r="QXO95" s="11"/>
      <c r="QXP95" s="11"/>
      <c r="QXQ95" s="11"/>
      <c r="QXR95" s="11"/>
      <c r="QXS95" s="11"/>
      <c r="QXT95" s="11"/>
      <c r="QXU95" s="11"/>
      <c r="QXV95" s="11"/>
      <c r="QXW95" s="11"/>
      <c r="QXX95" s="11"/>
      <c r="QXY95" s="11"/>
      <c r="QXZ95" s="11"/>
      <c r="QYA95" s="11"/>
      <c r="QYB95" s="11"/>
      <c r="QYC95" s="11"/>
      <c r="QYD95" s="11"/>
      <c r="QYE95" s="11"/>
      <c r="QYF95" s="11"/>
      <c r="QYG95" s="11"/>
      <c r="QYH95" s="11"/>
      <c r="QYI95" s="11"/>
      <c r="QYJ95" s="11"/>
      <c r="QYK95" s="11"/>
      <c r="QYL95" s="11"/>
      <c r="QYM95" s="11"/>
      <c r="QYN95" s="11"/>
      <c r="QYO95" s="11"/>
      <c r="QYP95" s="11"/>
      <c r="QYQ95" s="11"/>
      <c r="QYR95" s="11"/>
      <c r="QYS95" s="11"/>
      <c r="QYT95" s="11"/>
      <c r="QYU95" s="11"/>
      <c r="QYV95" s="11"/>
      <c r="QYW95" s="11"/>
      <c r="QYX95" s="11"/>
      <c r="QYY95" s="11"/>
      <c r="QYZ95" s="11"/>
      <c r="QZA95" s="11"/>
      <c r="QZB95" s="11"/>
      <c r="QZC95" s="11"/>
      <c r="QZD95" s="11"/>
      <c r="QZE95" s="11"/>
      <c r="QZF95" s="11"/>
      <c r="QZG95" s="11"/>
      <c r="QZH95" s="11"/>
      <c r="QZI95" s="11"/>
      <c r="QZJ95" s="11"/>
      <c r="QZK95" s="11"/>
      <c r="QZL95" s="11"/>
      <c r="QZM95" s="11"/>
      <c r="QZN95" s="11"/>
      <c r="QZO95" s="11"/>
      <c r="QZP95" s="11"/>
      <c r="QZQ95" s="11"/>
      <c r="QZR95" s="11"/>
      <c r="QZS95" s="11"/>
      <c r="QZT95" s="11"/>
      <c r="QZU95" s="11"/>
      <c r="QZV95" s="11"/>
      <c r="QZW95" s="11"/>
      <c r="QZX95" s="11"/>
      <c r="QZY95" s="11"/>
      <c r="QZZ95" s="11"/>
      <c r="RAA95" s="11"/>
      <c r="RAB95" s="11"/>
      <c r="RAC95" s="11"/>
      <c r="RAD95" s="11"/>
      <c r="RAE95" s="11"/>
      <c r="RAF95" s="11"/>
      <c r="RAG95" s="11"/>
      <c r="RAH95" s="11"/>
      <c r="RAI95" s="11"/>
      <c r="RAJ95" s="11"/>
      <c r="RAK95" s="11"/>
      <c r="RAL95" s="11"/>
      <c r="RAM95" s="11"/>
      <c r="RAN95" s="11"/>
      <c r="RAO95" s="11"/>
      <c r="RAP95" s="11"/>
      <c r="RAQ95" s="11"/>
      <c r="RAR95" s="11"/>
      <c r="RAS95" s="11"/>
      <c r="RAT95" s="11"/>
      <c r="RAU95" s="11"/>
      <c r="RAV95" s="11"/>
      <c r="RAW95" s="11"/>
      <c r="RAX95" s="11"/>
      <c r="RAY95" s="11"/>
      <c r="RAZ95" s="11"/>
      <c r="RBA95" s="11"/>
      <c r="RBB95" s="11"/>
      <c r="RBC95" s="11"/>
      <c r="RBD95" s="11"/>
      <c r="RBE95" s="11"/>
      <c r="RBF95" s="11"/>
      <c r="RBG95" s="11"/>
      <c r="RBH95" s="11"/>
      <c r="RBI95" s="11"/>
      <c r="RBJ95" s="11"/>
      <c r="RBK95" s="11"/>
      <c r="RBL95" s="11"/>
      <c r="RBM95" s="11"/>
      <c r="RBN95" s="11"/>
      <c r="RBO95" s="11"/>
      <c r="RBP95" s="11"/>
      <c r="RBQ95" s="11"/>
      <c r="RBR95" s="11"/>
      <c r="RBS95" s="11"/>
      <c r="RBT95" s="11"/>
      <c r="RBU95" s="11"/>
      <c r="RBV95" s="11"/>
      <c r="RBW95" s="11"/>
      <c r="RBX95" s="11"/>
      <c r="RBY95" s="11"/>
      <c r="RBZ95" s="11"/>
      <c r="RCA95" s="11"/>
      <c r="RCB95" s="11"/>
      <c r="RCC95" s="11"/>
      <c r="RCD95" s="11"/>
      <c r="RCE95" s="11"/>
      <c r="RCF95" s="11"/>
      <c r="RCG95" s="11"/>
      <c r="RCH95" s="11"/>
      <c r="RCI95" s="11"/>
      <c r="RCJ95" s="11"/>
      <c r="RCK95" s="11"/>
      <c r="RCL95" s="11"/>
      <c r="RCM95" s="11"/>
      <c r="RCN95" s="11"/>
      <c r="RCO95" s="11"/>
      <c r="RCP95" s="11"/>
      <c r="RCQ95" s="11"/>
      <c r="RCR95" s="11"/>
      <c r="RCS95" s="11"/>
      <c r="RCT95" s="11"/>
      <c r="RCU95" s="11"/>
      <c r="RCV95" s="11"/>
      <c r="RCW95" s="11"/>
      <c r="RCX95" s="11"/>
      <c r="RCY95" s="11"/>
      <c r="RCZ95" s="11"/>
      <c r="RDA95" s="11"/>
      <c r="RDB95" s="11"/>
      <c r="RDC95" s="11"/>
      <c r="RDD95" s="11"/>
      <c r="RDE95" s="11"/>
      <c r="RDF95" s="11"/>
      <c r="RDG95" s="11"/>
      <c r="RDH95" s="11"/>
      <c r="RDI95" s="11"/>
      <c r="RDJ95" s="11"/>
      <c r="RDK95" s="11"/>
      <c r="RDL95" s="11"/>
      <c r="RDM95" s="11"/>
      <c r="RDN95" s="11"/>
      <c r="RDO95" s="11"/>
      <c r="RDP95" s="11"/>
      <c r="RDQ95" s="11"/>
      <c r="RDR95" s="11"/>
      <c r="RDS95" s="11"/>
      <c r="RDT95" s="11"/>
      <c r="RDU95" s="11"/>
      <c r="RDV95" s="11"/>
      <c r="RDW95" s="11"/>
      <c r="RDX95" s="11"/>
      <c r="RDY95" s="11"/>
      <c r="RDZ95" s="11"/>
      <c r="REA95" s="11"/>
      <c r="REB95" s="11"/>
      <c r="REC95" s="11"/>
      <c r="RED95" s="11"/>
      <c r="REE95" s="11"/>
      <c r="REF95" s="11"/>
      <c r="REG95" s="11"/>
      <c r="REH95" s="11"/>
      <c r="REI95" s="11"/>
      <c r="REJ95" s="11"/>
      <c r="REK95" s="11"/>
      <c r="REL95" s="11"/>
      <c r="REM95" s="11"/>
      <c r="REN95" s="11"/>
      <c r="REO95" s="11"/>
      <c r="REP95" s="11"/>
      <c r="REQ95" s="11"/>
      <c r="RER95" s="11"/>
      <c r="RES95" s="11"/>
      <c r="RET95" s="11"/>
      <c r="REU95" s="11"/>
      <c r="REV95" s="11"/>
      <c r="REW95" s="11"/>
      <c r="REX95" s="11"/>
      <c r="REY95" s="11"/>
      <c r="REZ95" s="11"/>
      <c r="RFA95" s="11"/>
      <c r="RFB95" s="11"/>
      <c r="RFC95" s="11"/>
      <c r="RFD95" s="11"/>
      <c r="RFE95" s="11"/>
      <c r="RFF95" s="11"/>
      <c r="RFG95" s="11"/>
      <c r="RFH95" s="11"/>
      <c r="RFI95" s="11"/>
      <c r="RFJ95" s="11"/>
      <c r="RFK95" s="11"/>
      <c r="RFL95" s="11"/>
      <c r="RFM95" s="11"/>
      <c r="RFN95" s="11"/>
      <c r="RFO95" s="11"/>
      <c r="RFP95" s="11"/>
      <c r="RFQ95" s="11"/>
      <c r="RFR95" s="11"/>
      <c r="RFS95" s="11"/>
      <c r="RFT95" s="11"/>
      <c r="RFU95" s="11"/>
      <c r="RFV95" s="11"/>
      <c r="RFW95" s="11"/>
      <c r="RFX95" s="11"/>
      <c r="RFY95" s="11"/>
      <c r="RFZ95" s="11"/>
      <c r="RGA95" s="11"/>
      <c r="RGB95" s="11"/>
      <c r="RGC95" s="11"/>
      <c r="RGD95" s="11"/>
      <c r="RGE95" s="11"/>
      <c r="RGF95" s="11"/>
      <c r="RGG95" s="11"/>
      <c r="RGH95" s="11"/>
      <c r="RGI95" s="11"/>
      <c r="RGJ95" s="11"/>
      <c r="RGK95" s="11"/>
      <c r="RGL95" s="11"/>
      <c r="RGM95" s="11"/>
      <c r="RGN95" s="11"/>
      <c r="RGO95" s="11"/>
      <c r="RGP95" s="11"/>
      <c r="RGQ95" s="11"/>
      <c r="RGR95" s="11"/>
      <c r="RGS95" s="11"/>
      <c r="RGT95" s="11"/>
      <c r="RGU95" s="11"/>
      <c r="RGV95" s="11"/>
      <c r="RGW95" s="11"/>
      <c r="RGX95" s="11"/>
      <c r="RGY95" s="11"/>
      <c r="RGZ95" s="11"/>
      <c r="RHA95" s="11"/>
      <c r="RHB95" s="11"/>
      <c r="RHC95" s="11"/>
      <c r="RHD95" s="11"/>
      <c r="RHE95" s="11"/>
      <c r="RHF95" s="11"/>
      <c r="RHG95" s="11"/>
      <c r="RHH95" s="11"/>
      <c r="RHI95" s="11"/>
      <c r="RHJ95" s="11"/>
      <c r="RHK95" s="11"/>
      <c r="RHL95" s="11"/>
      <c r="RHM95" s="11"/>
      <c r="RHN95" s="11"/>
      <c r="RHO95" s="11"/>
      <c r="RHP95" s="11"/>
      <c r="RHQ95" s="11"/>
      <c r="RHR95" s="11"/>
      <c r="RHS95" s="11"/>
      <c r="RHT95" s="11"/>
      <c r="RHU95" s="11"/>
      <c r="RHV95" s="11"/>
      <c r="RHW95" s="11"/>
      <c r="RHX95" s="11"/>
      <c r="RHY95" s="11"/>
      <c r="RHZ95" s="11"/>
      <c r="RIA95" s="11"/>
      <c r="RIB95" s="11"/>
      <c r="RIC95" s="11"/>
      <c r="RID95" s="11"/>
      <c r="RIE95" s="11"/>
      <c r="RIF95" s="11"/>
      <c r="RIG95" s="11"/>
      <c r="RIH95" s="11"/>
      <c r="RII95" s="11"/>
      <c r="RIJ95" s="11"/>
      <c r="RIK95" s="11"/>
      <c r="RIL95" s="11"/>
      <c r="RIM95" s="11"/>
      <c r="RIN95" s="11"/>
      <c r="RIO95" s="11"/>
      <c r="RIP95" s="11"/>
      <c r="RIQ95" s="11"/>
      <c r="RIR95" s="11"/>
      <c r="RIS95" s="11"/>
      <c r="RIT95" s="11"/>
      <c r="RIU95" s="11"/>
      <c r="RIV95" s="11"/>
      <c r="RIW95" s="11"/>
      <c r="RIX95" s="11"/>
      <c r="RIY95" s="11"/>
      <c r="RIZ95" s="11"/>
      <c r="RJA95" s="11"/>
      <c r="RJB95" s="11"/>
      <c r="RJC95" s="11"/>
      <c r="RJD95" s="11"/>
      <c r="RJE95" s="11"/>
      <c r="RJF95" s="11"/>
      <c r="RJG95" s="11"/>
      <c r="RJH95" s="11"/>
      <c r="RJI95" s="11"/>
      <c r="RJJ95" s="11"/>
      <c r="RJK95" s="11"/>
      <c r="RJL95" s="11"/>
      <c r="RJM95" s="11"/>
      <c r="RJN95" s="11"/>
      <c r="RJO95" s="11"/>
      <c r="RJP95" s="11"/>
      <c r="RJQ95" s="11"/>
      <c r="RJR95" s="11"/>
      <c r="RJS95" s="11"/>
      <c r="RJT95" s="11"/>
      <c r="RJU95" s="11"/>
      <c r="RJV95" s="11"/>
      <c r="RJW95" s="11"/>
      <c r="RJX95" s="11"/>
      <c r="RJY95" s="11"/>
      <c r="RJZ95" s="11"/>
      <c r="RKA95" s="11"/>
      <c r="RKB95" s="11"/>
      <c r="RKC95" s="11"/>
      <c r="RKD95" s="11"/>
      <c r="RKE95" s="11"/>
      <c r="RKF95" s="11"/>
      <c r="RKG95" s="11"/>
      <c r="RKH95" s="11"/>
      <c r="RKI95" s="11"/>
      <c r="RKJ95" s="11"/>
      <c r="RKK95" s="11"/>
      <c r="RKL95" s="11"/>
      <c r="RKM95" s="11"/>
      <c r="RKN95" s="11"/>
      <c r="RKO95" s="11"/>
      <c r="RKP95" s="11"/>
      <c r="RKQ95" s="11"/>
      <c r="RKR95" s="11"/>
      <c r="RKS95" s="11"/>
      <c r="RKT95" s="11"/>
      <c r="RKU95" s="11"/>
      <c r="RKV95" s="11"/>
      <c r="RKW95" s="11"/>
      <c r="RKX95" s="11"/>
      <c r="RKY95" s="11"/>
      <c r="RKZ95" s="11"/>
      <c r="RLA95" s="11"/>
      <c r="RLB95" s="11"/>
      <c r="RLC95" s="11"/>
      <c r="RLD95" s="11"/>
      <c r="RLE95" s="11"/>
      <c r="RLF95" s="11"/>
      <c r="RLG95" s="11"/>
      <c r="RLH95" s="11"/>
      <c r="RLI95" s="11"/>
      <c r="RLJ95" s="11"/>
      <c r="RLK95" s="11"/>
      <c r="RLL95" s="11"/>
      <c r="RLM95" s="11"/>
      <c r="RLN95" s="11"/>
      <c r="RLO95" s="11"/>
      <c r="RLP95" s="11"/>
      <c r="RLQ95" s="11"/>
      <c r="RLR95" s="11"/>
      <c r="RLS95" s="11"/>
      <c r="RLT95" s="11"/>
      <c r="RLU95" s="11"/>
      <c r="RLV95" s="11"/>
      <c r="RLW95" s="11"/>
      <c r="RLX95" s="11"/>
      <c r="RLY95" s="11"/>
      <c r="RLZ95" s="11"/>
      <c r="RMA95" s="11"/>
      <c r="RMB95" s="11"/>
      <c r="RMC95" s="11"/>
      <c r="RMD95" s="11"/>
      <c r="RME95" s="11"/>
      <c r="RMF95" s="11"/>
      <c r="RMG95" s="11"/>
      <c r="RMH95" s="11"/>
      <c r="RMI95" s="11"/>
      <c r="RMJ95" s="11"/>
      <c r="RMK95" s="11"/>
      <c r="RML95" s="11"/>
      <c r="RMM95" s="11"/>
      <c r="RMN95" s="11"/>
      <c r="RMO95" s="11"/>
      <c r="RMP95" s="11"/>
      <c r="RMQ95" s="11"/>
      <c r="RMR95" s="11"/>
      <c r="RMS95" s="11"/>
      <c r="RMT95" s="11"/>
      <c r="RMU95" s="11"/>
      <c r="RMV95" s="11"/>
      <c r="RMW95" s="11"/>
      <c r="RMX95" s="11"/>
      <c r="RMY95" s="11"/>
      <c r="RMZ95" s="11"/>
      <c r="RNA95" s="11"/>
      <c r="RNB95" s="11"/>
      <c r="RNC95" s="11"/>
      <c r="RND95" s="11"/>
      <c r="RNE95" s="11"/>
      <c r="RNF95" s="11"/>
      <c r="RNG95" s="11"/>
      <c r="RNH95" s="11"/>
      <c r="RNI95" s="11"/>
      <c r="RNJ95" s="11"/>
      <c r="RNK95" s="11"/>
      <c r="RNL95" s="11"/>
      <c r="RNM95" s="11"/>
      <c r="RNN95" s="11"/>
      <c r="RNO95" s="11"/>
      <c r="RNP95" s="11"/>
      <c r="RNQ95" s="11"/>
      <c r="RNR95" s="11"/>
      <c r="RNS95" s="11"/>
      <c r="RNT95" s="11"/>
      <c r="RNU95" s="11"/>
      <c r="RNV95" s="11"/>
      <c r="RNW95" s="11"/>
      <c r="RNX95" s="11"/>
      <c r="RNY95" s="11"/>
      <c r="RNZ95" s="11"/>
      <c r="ROA95" s="11"/>
      <c r="ROB95" s="11"/>
      <c r="ROC95" s="11"/>
      <c r="ROD95" s="11"/>
      <c r="ROE95" s="11"/>
      <c r="ROF95" s="11"/>
      <c r="ROG95" s="11"/>
      <c r="ROH95" s="11"/>
      <c r="ROI95" s="11"/>
      <c r="ROJ95" s="11"/>
      <c r="ROK95" s="11"/>
      <c r="ROL95" s="11"/>
      <c r="ROM95" s="11"/>
      <c r="RON95" s="11"/>
      <c r="ROO95" s="11"/>
      <c r="ROP95" s="11"/>
      <c r="ROQ95" s="11"/>
      <c r="ROR95" s="11"/>
      <c r="ROS95" s="11"/>
      <c r="ROT95" s="11"/>
      <c r="ROU95" s="11"/>
      <c r="ROV95" s="11"/>
      <c r="ROW95" s="11"/>
      <c r="ROX95" s="11"/>
      <c r="ROY95" s="11"/>
      <c r="ROZ95" s="11"/>
      <c r="RPA95" s="11"/>
      <c r="RPB95" s="11"/>
      <c r="RPC95" s="11"/>
      <c r="RPD95" s="11"/>
      <c r="RPE95" s="11"/>
      <c r="RPF95" s="11"/>
      <c r="RPG95" s="11"/>
      <c r="RPH95" s="11"/>
      <c r="RPI95" s="11"/>
      <c r="RPJ95" s="11"/>
      <c r="RPK95" s="11"/>
      <c r="RPL95" s="11"/>
      <c r="RPM95" s="11"/>
      <c r="RPN95" s="11"/>
      <c r="RPO95" s="11"/>
      <c r="RPP95" s="11"/>
      <c r="RPQ95" s="11"/>
      <c r="RPR95" s="11"/>
      <c r="RPS95" s="11"/>
      <c r="RPT95" s="11"/>
      <c r="RPU95" s="11"/>
      <c r="RPV95" s="11"/>
      <c r="RPW95" s="11"/>
      <c r="RPX95" s="11"/>
      <c r="RPY95" s="11"/>
      <c r="RPZ95" s="11"/>
      <c r="RQA95" s="11"/>
      <c r="RQB95" s="11"/>
      <c r="RQC95" s="11"/>
      <c r="RQD95" s="11"/>
      <c r="RQE95" s="11"/>
      <c r="RQF95" s="11"/>
      <c r="RQG95" s="11"/>
      <c r="RQH95" s="11"/>
      <c r="RQI95" s="11"/>
      <c r="RQJ95" s="11"/>
      <c r="RQK95" s="11"/>
      <c r="RQL95" s="11"/>
      <c r="RQM95" s="11"/>
      <c r="RQN95" s="11"/>
      <c r="RQO95" s="11"/>
      <c r="RQP95" s="11"/>
      <c r="RQQ95" s="11"/>
      <c r="RQR95" s="11"/>
      <c r="RQS95" s="11"/>
      <c r="RQT95" s="11"/>
      <c r="RQU95" s="11"/>
      <c r="RQV95" s="11"/>
      <c r="RQW95" s="11"/>
      <c r="RQX95" s="11"/>
      <c r="RQY95" s="11"/>
      <c r="RQZ95" s="11"/>
      <c r="RRA95" s="11"/>
      <c r="RRB95" s="11"/>
      <c r="RRC95" s="11"/>
      <c r="RRD95" s="11"/>
      <c r="RRE95" s="11"/>
      <c r="RRF95" s="11"/>
      <c r="RRG95" s="11"/>
      <c r="RRH95" s="11"/>
      <c r="RRI95" s="11"/>
      <c r="RRJ95" s="11"/>
      <c r="RRK95" s="11"/>
      <c r="RRL95" s="11"/>
      <c r="RRM95" s="11"/>
      <c r="RRN95" s="11"/>
      <c r="RRO95" s="11"/>
      <c r="RRP95" s="11"/>
      <c r="RRQ95" s="11"/>
      <c r="RRR95" s="11"/>
      <c r="RRS95" s="11"/>
      <c r="RRT95" s="11"/>
      <c r="RRU95" s="11"/>
      <c r="RRV95" s="11"/>
      <c r="RRW95" s="11"/>
      <c r="RRX95" s="11"/>
      <c r="RRY95" s="11"/>
      <c r="RRZ95" s="11"/>
      <c r="RSA95" s="11"/>
      <c r="RSB95" s="11"/>
      <c r="RSC95" s="11"/>
      <c r="RSD95" s="11"/>
      <c r="RSE95" s="11"/>
      <c r="RSF95" s="11"/>
      <c r="RSG95" s="11"/>
      <c r="RSH95" s="11"/>
      <c r="RSI95" s="11"/>
      <c r="RSJ95" s="11"/>
      <c r="RSK95" s="11"/>
      <c r="RSL95" s="11"/>
      <c r="RSM95" s="11"/>
      <c r="RSN95" s="11"/>
      <c r="RSO95" s="11"/>
      <c r="RSP95" s="11"/>
      <c r="RSQ95" s="11"/>
      <c r="RSR95" s="11"/>
      <c r="RSS95" s="11"/>
      <c r="RST95" s="11"/>
      <c r="RSU95" s="11"/>
      <c r="RSV95" s="11"/>
      <c r="RSW95" s="11"/>
      <c r="RSX95" s="11"/>
      <c r="RSY95" s="11"/>
      <c r="RSZ95" s="11"/>
      <c r="RTA95" s="11"/>
      <c r="RTB95" s="11"/>
      <c r="RTC95" s="11"/>
      <c r="RTD95" s="11"/>
      <c r="RTE95" s="11"/>
      <c r="RTF95" s="11"/>
      <c r="RTG95" s="11"/>
      <c r="RTH95" s="11"/>
      <c r="RTI95" s="11"/>
      <c r="RTJ95" s="11"/>
      <c r="RTK95" s="11"/>
      <c r="RTL95" s="11"/>
      <c r="RTM95" s="11"/>
      <c r="RTN95" s="11"/>
      <c r="RTO95" s="11"/>
      <c r="RTP95" s="11"/>
      <c r="RTQ95" s="11"/>
      <c r="RTR95" s="11"/>
      <c r="RTS95" s="11"/>
      <c r="RTT95" s="11"/>
      <c r="RTU95" s="11"/>
      <c r="RTV95" s="11"/>
      <c r="RTW95" s="11"/>
      <c r="RTX95" s="11"/>
      <c r="RTY95" s="11"/>
      <c r="RTZ95" s="11"/>
      <c r="RUA95" s="11"/>
      <c r="RUB95" s="11"/>
      <c r="RUC95" s="11"/>
      <c r="RUD95" s="11"/>
      <c r="RUE95" s="11"/>
      <c r="RUF95" s="11"/>
      <c r="RUG95" s="11"/>
      <c r="RUH95" s="11"/>
      <c r="RUI95" s="11"/>
      <c r="RUJ95" s="11"/>
      <c r="RUK95" s="11"/>
      <c r="RUL95" s="11"/>
      <c r="RUM95" s="11"/>
      <c r="RUN95" s="11"/>
      <c r="RUO95" s="11"/>
      <c r="RUP95" s="11"/>
      <c r="RUQ95" s="11"/>
      <c r="RUR95" s="11"/>
      <c r="RUS95" s="11"/>
      <c r="RUT95" s="11"/>
      <c r="RUU95" s="11"/>
      <c r="RUV95" s="11"/>
      <c r="RUW95" s="11"/>
      <c r="RUX95" s="11"/>
      <c r="RUY95" s="11"/>
      <c r="RUZ95" s="11"/>
      <c r="RVA95" s="11"/>
      <c r="RVB95" s="11"/>
      <c r="RVC95" s="11"/>
      <c r="RVD95" s="11"/>
      <c r="RVE95" s="11"/>
      <c r="RVF95" s="11"/>
      <c r="RVG95" s="11"/>
      <c r="RVH95" s="11"/>
      <c r="RVI95" s="11"/>
      <c r="RVJ95" s="11"/>
      <c r="RVK95" s="11"/>
      <c r="RVL95" s="11"/>
      <c r="RVM95" s="11"/>
      <c r="RVN95" s="11"/>
      <c r="RVO95" s="11"/>
      <c r="RVP95" s="11"/>
      <c r="RVQ95" s="11"/>
      <c r="RVR95" s="11"/>
      <c r="RVS95" s="11"/>
      <c r="RVT95" s="11"/>
      <c r="RVU95" s="11"/>
      <c r="RVV95" s="11"/>
      <c r="RVW95" s="11"/>
      <c r="RVX95" s="11"/>
      <c r="RVY95" s="11"/>
      <c r="RVZ95" s="11"/>
      <c r="RWA95" s="11"/>
      <c r="RWB95" s="11"/>
      <c r="RWC95" s="11"/>
      <c r="RWD95" s="11"/>
      <c r="RWE95" s="11"/>
      <c r="RWF95" s="11"/>
      <c r="RWG95" s="11"/>
      <c r="RWH95" s="11"/>
      <c r="RWI95" s="11"/>
      <c r="RWJ95" s="11"/>
      <c r="RWK95" s="11"/>
      <c r="RWL95" s="11"/>
      <c r="RWM95" s="11"/>
      <c r="RWN95" s="11"/>
      <c r="RWO95" s="11"/>
      <c r="RWP95" s="11"/>
      <c r="RWQ95" s="11"/>
      <c r="RWR95" s="11"/>
      <c r="RWS95" s="11"/>
      <c r="RWT95" s="11"/>
      <c r="RWU95" s="11"/>
      <c r="RWV95" s="11"/>
      <c r="RWW95" s="11"/>
      <c r="RWX95" s="11"/>
      <c r="RWY95" s="11"/>
      <c r="RWZ95" s="11"/>
      <c r="RXA95" s="11"/>
      <c r="RXB95" s="11"/>
      <c r="RXC95" s="11"/>
      <c r="RXD95" s="11"/>
      <c r="RXE95" s="11"/>
      <c r="RXF95" s="11"/>
      <c r="RXG95" s="11"/>
      <c r="RXH95" s="11"/>
      <c r="RXI95" s="11"/>
      <c r="RXJ95" s="11"/>
      <c r="RXK95" s="11"/>
      <c r="RXL95" s="11"/>
      <c r="RXM95" s="11"/>
      <c r="RXN95" s="11"/>
      <c r="RXO95" s="11"/>
      <c r="RXP95" s="11"/>
      <c r="RXQ95" s="11"/>
      <c r="RXR95" s="11"/>
      <c r="RXS95" s="11"/>
      <c r="RXT95" s="11"/>
      <c r="RXU95" s="11"/>
      <c r="RXV95" s="11"/>
      <c r="RXW95" s="11"/>
      <c r="RXX95" s="11"/>
      <c r="RXY95" s="11"/>
      <c r="RXZ95" s="11"/>
      <c r="RYA95" s="11"/>
      <c r="RYB95" s="11"/>
      <c r="RYC95" s="11"/>
      <c r="RYD95" s="11"/>
      <c r="RYE95" s="11"/>
      <c r="RYF95" s="11"/>
      <c r="RYG95" s="11"/>
      <c r="RYH95" s="11"/>
      <c r="RYI95" s="11"/>
      <c r="RYJ95" s="11"/>
      <c r="RYK95" s="11"/>
      <c r="RYL95" s="11"/>
      <c r="RYM95" s="11"/>
      <c r="RYN95" s="11"/>
      <c r="RYO95" s="11"/>
      <c r="RYP95" s="11"/>
      <c r="RYQ95" s="11"/>
      <c r="RYR95" s="11"/>
      <c r="RYS95" s="11"/>
      <c r="RYT95" s="11"/>
      <c r="RYU95" s="11"/>
      <c r="RYV95" s="11"/>
      <c r="RYW95" s="11"/>
      <c r="RYX95" s="11"/>
      <c r="RYY95" s="11"/>
      <c r="RYZ95" s="11"/>
      <c r="RZA95" s="11"/>
      <c r="RZB95" s="11"/>
      <c r="RZC95" s="11"/>
      <c r="RZD95" s="11"/>
      <c r="RZE95" s="11"/>
      <c r="RZF95" s="11"/>
      <c r="RZG95" s="11"/>
      <c r="RZH95" s="11"/>
      <c r="RZI95" s="11"/>
      <c r="RZJ95" s="11"/>
      <c r="RZK95" s="11"/>
      <c r="RZL95" s="11"/>
      <c r="RZM95" s="11"/>
      <c r="RZN95" s="11"/>
      <c r="RZO95" s="11"/>
      <c r="RZP95" s="11"/>
      <c r="RZQ95" s="11"/>
      <c r="RZR95" s="11"/>
      <c r="RZS95" s="11"/>
      <c r="RZT95" s="11"/>
      <c r="RZU95" s="11"/>
      <c r="RZV95" s="11"/>
      <c r="RZW95" s="11"/>
      <c r="RZX95" s="11"/>
      <c r="RZY95" s="11"/>
      <c r="RZZ95" s="11"/>
      <c r="SAA95" s="11"/>
      <c r="SAB95" s="11"/>
      <c r="SAC95" s="11"/>
      <c r="SAD95" s="11"/>
      <c r="SAE95" s="11"/>
      <c r="SAF95" s="11"/>
      <c r="SAG95" s="11"/>
      <c r="SAH95" s="11"/>
      <c r="SAI95" s="11"/>
      <c r="SAJ95" s="11"/>
      <c r="SAK95" s="11"/>
      <c r="SAL95" s="11"/>
      <c r="SAM95" s="11"/>
      <c r="SAN95" s="11"/>
      <c r="SAO95" s="11"/>
      <c r="SAP95" s="11"/>
      <c r="SAQ95" s="11"/>
      <c r="SAR95" s="11"/>
      <c r="SAS95" s="11"/>
      <c r="SAT95" s="11"/>
      <c r="SAU95" s="11"/>
      <c r="SAV95" s="11"/>
      <c r="SAW95" s="11"/>
      <c r="SAX95" s="11"/>
      <c r="SAY95" s="11"/>
      <c r="SAZ95" s="11"/>
      <c r="SBA95" s="11"/>
      <c r="SBB95" s="11"/>
      <c r="SBC95" s="11"/>
      <c r="SBD95" s="11"/>
      <c r="SBE95" s="11"/>
      <c r="SBF95" s="11"/>
      <c r="SBG95" s="11"/>
      <c r="SBH95" s="11"/>
      <c r="SBI95" s="11"/>
      <c r="SBJ95" s="11"/>
      <c r="SBK95" s="11"/>
      <c r="SBL95" s="11"/>
      <c r="SBM95" s="11"/>
      <c r="SBN95" s="11"/>
      <c r="SBO95" s="11"/>
      <c r="SBP95" s="11"/>
      <c r="SBQ95" s="11"/>
      <c r="SBR95" s="11"/>
      <c r="SBS95" s="11"/>
      <c r="SBT95" s="11"/>
      <c r="SBU95" s="11"/>
      <c r="SBV95" s="11"/>
      <c r="SBW95" s="11"/>
      <c r="SBX95" s="11"/>
      <c r="SBY95" s="11"/>
      <c r="SBZ95" s="11"/>
      <c r="SCA95" s="11"/>
      <c r="SCB95" s="11"/>
      <c r="SCC95" s="11"/>
      <c r="SCD95" s="11"/>
      <c r="SCE95" s="11"/>
      <c r="SCF95" s="11"/>
      <c r="SCG95" s="11"/>
      <c r="SCH95" s="11"/>
      <c r="SCI95" s="11"/>
      <c r="SCJ95" s="11"/>
      <c r="SCK95" s="11"/>
      <c r="SCL95" s="11"/>
      <c r="SCM95" s="11"/>
      <c r="SCN95" s="11"/>
      <c r="SCO95" s="11"/>
      <c r="SCP95" s="11"/>
      <c r="SCQ95" s="11"/>
      <c r="SCR95" s="11"/>
      <c r="SCS95" s="11"/>
      <c r="SCT95" s="11"/>
      <c r="SCU95" s="11"/>
      <c r="SCV95" s="11"/>
      <c r="SCW95" s="11"/>
      <c r="SCX95" s="11"/>
      <c r="SCY95" s="11"/>
      <c r="SCZ95" s="11"/>
      <c r="SDA95" s="11"/>
      <c r="SDB95" s="11"/>
      <c r="SDC95" s="11"/>
      <c r="SDD95" s="11"/>
      <c r="SDE95" s="11"/>
      <c r="SDF95" s="11"/>
      <c r="SDG95" s="11"/>
      <c r="SDH95" s="11"/>
      <c r="SDI95" s="11"/>
      <c r="SDJ95" s="11"/>
      <c r="SDK95" s="11"/>
      <c r="SDL95" s="11"/>
      <c r="SDM95" s="11"/>
      <c r="SDN95" s="11"/>
      <c r="SDO95" s="11"/>
      <c r="SDP95" s="11"/>
      <c r="SDQ95" s="11"/>
      <c r="SDR95" s="11"/>
      <c r="SDS95" s="11"/>
      <c r="SDT95" s="11"/>
      <c r="SDU95" s="11"/>
      <c r="SDV95" s="11"/>
      <c r="SDW95" s="11"/>
      <c r="SDX95" s="11"/>
      <c r="SDY95" s="11"/>
      <c r="SDZ95" s="11"/>
      <c r="SEA95" s="11"/>
      <c r="SEB95" s="11"/>
      <c r="SEC95" s="11"/>
      <c r="SED95" s="11"/>
      <c r="SEE95" s="11"/>
      <c r="SEF95" s="11"/>
      <c r="SEG95" s="11"/>
      <c r="SEH95" s="11"/>
      <c r="SEI95" s="11"/>
      <c r="SEJ95" s="11"/>
      <c r="SEK95" s="11"/>
      <c r="SEL95" s="11"/>
      <c r="SEM95" s="11"/>
      <c r="SEN95" s="11"/>
      <c r="SEO95" s="11"/>
      <c r="SEP95" s="11"/>
      <c r="SEQ95" s="11"/>
      <c r="SER95" s="11"/>
      <c r="SES95" s="11"/>
      <c r="SET95" s="11"/>
      <c r="SEU95" s="11"/>
      <c r="SEV95" s="11"/>
      <c r="SEW95" s="11"/>
      <c r="SEX95" s="11"/>
      <c r="SEY95" s="11"/>
      <c r="SEZ95" s="11"/>
      <c r="SFA95" s="11"/>
      <c r="SFB95" s="11"/>
      <c r="SFC95" s="11"/>
      <c r="SFD95" s="11"/>
      <c r="SFE95" s="11"/>
      <c r="SFF95" s="11"/>
      <c r="SFG95" s="11"/>
      <c r="SFH95" s="11"/>
      <c r="SFI95" s="11"/>
      <c r="SFJ95" s="11"/>
      <c r="SFK95" s="11"/>
      <c r="SFL95" s="11"/>
      <c r="SFM95" s="11"/>
      <c r="SFN95" s="11"/>
      <c r="SFO95" s="11"/>
      <c r="SFP95" s="11"/>
      <c r="SFQ95" s="11"/>
      <c r="SFR95" s="11"/>
      <c r="SFS95" s="11"/>
      <c r="SFT95" s="11"/>
      <c r="SFU95" s="11"/>
      <c r="SFV95" s="11"/>
      <c r="SFW95" s="11"/>
      <c r="SFX95" s="11"/>
      <c r="SFY95" s="11"/>
      <c r="SFZ95" s="11"/>
      <c r="SGA95" s="11"/>
      <c r="SGB95" s="11"/>
      <c r="SGC95" s="11"/>
      <c r="SGD95" s="11"/>
      <c r="SGE95" s="11"/>
      <c r="SGF95" s="11"/>
      <c r="SGG95" s="11"/>
      <c r="SGH95" s="11"/>
      <c r="SGI95" s="11"/>
      <c r="SGJ95" s="11"/>
      <c r="SGK95" s="11"/>
      <c r="SGL95" s="11"/>
      <c r="SGM95" s="11"/>
      <c r="SGN95" s="11"/>
      <c r="SGO95" s="11"/>
      <c r="SGP95" s="11"/>
      <c r="SGQ95" s="11"/>
      <c r="SGR95" s="11"/>
      <c r="SGS95" s="11"/>
      <c r="SGT95" s="11"/>
      <c r="SGU95" s="11"/>
      <c r="SGV95" s="11"/>
      <c r="SGW95" s="11"/>
      <c r="SGX95" s="11"/>
      <c r="SGY95" s="11"/>
      <c r="SGZ95" s="11"/>
      <c r="SHA95" s="11"/>
      <c r="SHB95" s="11"/>
      <c r="SHC95" s="11"/>
      <c r="SHD95" s="11"/>
      <c r="SHE95" s="11"/>
      <c r="SHF95" s="11"/>
      <c r="SHG95" s="11"/>
      <c r="SHH95" s="11"/>
      <c r="SHI95" s="11"/>
      <c r="SHJ95" s="11"/>
      <c r="SHK95" s="11"/>
      <c r="SHL95" s="11"/>
      <c r="SHM95" s="11"/>
      <c r="SHN95" s="11"/>
      <c r="SHO95" s="11"/>
      <c r="SHP95" s="11"/>
      <c r="SHQ95" s="11"/>
      <c r="SHR95" s="11"/>
      <c r="SHS95" s="11"/>
      <c r="SHT95" s="11"/>
      <c r="SHU95" s="11"/>
      <c r="SHV95" s="11"/>
      <c r="SHW95" s="11"/>
      <c r="SHX95" s="11"/>
      <c r="SHY95" s="11"/>
      <c r="SHZ95" s="11"/>
      <c r="SIA95" s="11"/>
      <c r="SIB95" s="11"/>
      <c r="SIC95" s="11"/>
      <c r="SID95" s="11"/>
      <c r="SIE95" s="11"/>
      <c r="SIF95" s="11"/>
      <c r="SIG95" s="11"/>
      <c r="SIH95" s="11"/>
      <c r="SII95" s="11"/>
      <c r="SIJ95" s="11"/>
      <c r="SIK95" s="11"/>
      <c r="SIL95" s="11"/>
      <c r="SIM95" s="11"/>
      <c r="SIN95" s="11"/>
      <c r="SIO95" s="11"/>
      <c r="SIP95" s="11"/>
      <c r="SIQ95" s="11"/>
      <c r="SIR95" s="11"/>
      <c r="SIS95" s="11"/>
      <c r="SIT95" s="11"/>
      <c r="SIU95" s="11"/>
      <c r="SIV95" s="11"/>
      <c r="SIW95" s="11"/>
      <c r="SIX95" s="11"/>
      <c r="SIY95" s="11"/>
      <c r="SIZ95" s="11"/>
      <c r="SJA95" s="11"/>
      <c r="SJB95" s="11"/>
      <c r="SJC95" s="11"/>
      <c r="SJD95" s="11"/>
      <c r="SJE95" s="11"/>
      <c r="SJF95" s="11"/>
      <c r="SJG95" s="11"/>
      <c r="SJH95" s="11"/>
      <c r="SJI95" s="11"/>
      <c r="SJJ95" s="11"/>
      <c r="SJK95" s="11"/>
      <c r="SJL95" s="11"/>
      <c r="SJM95" s="11"/>
      <c r="SJN95" s="11"/>
      <c r="SJO95" s="11"/>
      <c r="SJP95" s="11"/>
      <c r="SJQ95" s="11"/>
      <c r="SJR95" s="11"/>
      <c r="SJS95" s="11"/>
      <c r="SJT95" s="11"/>
      <c r="SJU95" s="11"/>
      <c r="SJV95" s="11"/>
      <c r="SJW95" s="11"/>
      <c r="SJX95" s="11"/>
      <c r="SJY95" s="11"/>
      <c r="SJZ95" s="11"/>
      <c r="SKA95" s="11"/>
      <c r="SKB95" s="11"/>
      <c r="SKC95" s="11"/>
      <c r="SKD95" s="11"/>
      <c r="SKE95" s="11"/>
      <c r="SKF95" s="11"/>
      <c r="SKG95" s="11"/>
      <c r="SKH95" s="11"/>
      <c r="SKI95" s="11"/>
      <c r="SKJ95" s="11"/>
      <c r="SKK95" s="11"/>
      <c r="SKL95" s="11"/>
      <c r="SKM95" s="11"/>
      <c r="SKN95" s="11"/>
      <c r="SKO95" s="11"/>
      <c r="SKP95" s="11"/>
      <c r="SKQ95" s="11"/>
      <c r="SKR95" s="11"/>
      <c r="SKS95" s="11"/>
      <c r="SKT95" s="11"/>
      <c r="SKU95" s="11"/>
      <c r="SKV95" s="11"/>
      <c r="SKW95" s="11"/>
      <c r="SKX95" s="11"/>
      <c r="SKY95" s="11"/>
      <c r="SKZ95" s="11"/>
      <c r="SLA95" s="11"/>
      <c r="SLB95" s="11"/>
      <c r="SLC95" s="11"/>
      <c r="SLD95" s="11"/>
      <c r="SLE95" s="11"/>
      <c r="SLF95" s="11"/>
      <c r="SLG95" s="11"/>
      <c r="SLH95" s="11"/>
      <c r="SLI95" s="11"/>
      <c r="SLJ95" s="11"/>
      <c r="SLK95" s="11"/>
      <c r="SLL95" s="11"/>
      <c r="SLM95" s="11"/>
      <c r="SLN95" s="11"/>
      <c r="SLO95" s="11"/>
      <c r="SLP95" s="11"/>
      <c r="SLQ95" s="11"/>
      <c r="SLR95" s="11"/>
      <c r="SLS95" s="11"/>
      <c r="SLT95" s="11"/>
      <c r="SLU95" s="11"/>
      <c r="SLV95" s="11"/>
      <c r="SLW95" s="11"/>
      <c r="SLX95" s="11"/>
      <c r="SLY95" s="11"/>
      <c r="SLZ95" s="11"/>
      <c r="SMA95" s="11"/>
      <c r="SMB95" s="11"/>
      <c r="SMC95" s="11"/>
      <c r="SMD95" s="11"/>
      <c r="SME95" s="11"/>
      <c r="SMF95" s="11"/>
      <c r="SMG95" s="11"/>
      <c r="SMH95" s="11"/>
      <c r="SMI95" s="11"/>
      <c r="SMJ95" s="11"/>
      <c r="SMK95" s="11"/>
      <c r="SML95" s="11"/>
      <c r="SMM95" s="11"/>
      <c r="SMN95" s="11"/>
      <c r="SMO95" s="11"/>
      <c r="SMP95" s="11"/>
      <c r="SMQ95" s="11"/>
      <c r="SMR95" s="11"/>
      <c r="SMS95" s="11"/>
      <c r="SMT95" s="11"/>
      <c r="SMU95" s="11"/>
      <c r="SMV95" s="11"/>
      <c r="SMW95" s="11"/>
      <c r="SMX95" s="11"/>
      <c r="SMY95" s="11"/>
      <c r="SMZ95" s="11"/>
      <c r="SNA95" s="11"/>
      <c r="SNB95" s="11"/>
      <c r="SNC95" s="11"/>
      <c r="SND95" s="11"/>
      <c r="SNE95" s="11"/>
      <c r="SNF95" s="11"/>
      <c r="SNG95" s="11"/>
      <c r="SNH95" s="11"/>
      <c r="SNI95" s="11"/>
      <c r="SNJ95" s="11"/>
      <c r="SNK95" s="11"/>
      <c r="SNL95" s="11"/>
      <c r="SNM95" s="11"/>
      <c r="SNN95" s="11"/>
      <c r="SNO95" s="11"/>
      <c r="SNP95" s="11"/>
      <c r="SNQ95" s="11"/>
      <c r="SNR95" s="11"/>
      <c r="SNS95" s="11"/>
      <c r="SNT95" s="11"/>
      <c r="SNU95" s="11"/>
      <c r="SNV95" s="11"/>
      <c r="SNW95" s="11"/>
      <c r="SNX95" s="11"/>
      <c r="SNY95" s="11"/>
      <c r="SNZ95" s="11"/>
      <c r="SOA95" s="11"/>
      <c r="SOB95" s="11"/>
      <c r="SOC95" s="11"/>
      <c r="SOD95" s="11"/>
      <c r="SOE95" s="11"/>
      <c r="SOF95" s="11"/>
      <c r="SOG95" s="11"/>
      <c r="SOH95" s="11"/>
      <c r="SOI95" s="11"/>
      <c r="SOJ95" s="11"/>
      <c r="SOK95" s="11"/>
      <c r="SOL95" s="11"/>
      <c r="SOM95" s="11"/>
      <c r="SON95" s="11"/>
      <c r="SOO95" s="11"/>
      <c r="SOP95" s="11"/>
      <c r="SOQ95" s="11"/>
      <c r="SOR95" s="11"/>
      <c r="SOS95" s="11"/>
      <c r="SOT95" s="11"/>
      <c r="SOU95" s="11"/>
      <c r="SOV95" s="11"/>
      <c r="SOW95" s="11"/>
      <c r="SOX95" s="11"/>
      <c r="SOY95" s="11"/>
      <c r="SOZ95" s="11"/>
      <c r="SPA95" s="11"/>
      <c r="SPB95" s="11"/>
      <c r="SPC95" s="11"/>
      <c r="SPD95" s="11"/>
      <c r="SPE95" s="11"/>
      <c r="SPF95" s="11"/>
      <c r="SPG95" s="11"/>
      <c r="SPH95" s="11"/>
      <c r="SPI95" s="11"/>
      <c r="SPJ95" s="11"/>
      <c r="SPK95" s="11"/>
      <c r="SPL95" s="11"/>
      <c r="SPM95" s="11"/>
      <c r="SPN95" s="11"/>
      <c r="SPO95" s="11"/>
      <c r="SPP95" s="11"/>
      <c r="SPQ95" s="11"/>
      <c r="SPR95" s="11"/>
      <c r="SPS95" s="11"/>
      <c r="SPT95" s="11"/>
      <c r="SPU95" s="11"/>
      <c r="SPV95" s="11"/>
      <c r="SPW95" s="11"/>
      <c r="SPX95" s="11"/>
      <c r="SPY95" s="11"/>
      <c r="SPZ95" s="11"/>
      <c r="SQA95" s="11"/>
      <c r="SQB95" s="11"/>
      <c r="SQC95" s="11"/>
      <c r="SQD95" s="11"/>
      <c r="SQE95" s="11"/>
      <c r="SQF95" s="11"/>
      <c r="SQG95" s="11"/>
      <c r="SQH95" s="11"/>
      <c r="SQI95" s="11"/>
      <c r="SQJ95" s="11"/>
      <c r="SQK95" s="11"/>
      <c r="SQL95" s="11"/>
      <c r="SQM95" s="11"/>
      <c r="SQN95" s="11"/>
      <c r="SQO95" s="11"/>
      <c r="SQP95" s="11"/>
      <c r="SQQ95" s="11"/>
      <c r="SQR95" s="11"/>
      <c r="SQS95" s="11"/>
      <c r="SQT95" s="11"/>
      <c r="SQU95" s="11"/>
      <c r="SQV95" s="11"/>
      <c r="SQW95" s="11"/>
      <c r="SQX95" s="11"/>
      <c r="SQY95" s="11"/>
      <c r="SQZ95" s="11"/>
      <c r="SRA95" s="11"/>
      <c r="SRB95" s="11"/>
      <c r="SRC95" s="11"/>
      <c r="SRD95" s="11"/>
      <c r="SRE95" s="11"/>
      <c r="SRF95" s="11"/>
      <c r="SRG95" s="11"/>
      <c r="SRH95" s="11"/>
      <c r="SRI95" s="11"/>
      <c r="SRJ95" s="11"/>
      <c r="SRK95" s="11"/>
      <c r="SRL95" s="11"/>
      <c r="SRM95" s="11"/>
      <c r="SRN95" s="11"/>
      <c r="SRO95" s="11"/>
      <c r="SRP95" s="11"/>
      <c r="SRQ95" s="11"/>
      <c r="SRR95" s="11"/>
      <c r="SRS95" s="11"/>
      <c r="SRT95" s="11"/>
      <c r="SRU95" s="11"/>
      <c r="SRV95" s="11"/>
      <c r="SRW95" s="11"/>
      <c r="SRX95" s="11"/>
      <c r="SRY95" s="11"/>
      <c r="SRZ95" s="11"/>
      <c r="SSA95" s="11"/>
      <c r="SSB95" s="11"/>
      <c r="SSC95" s="11"/>
      <c r="SSD95" s="11"/>
      <c r="SSE95" s="11"/>
      <c r="SSF95" s="11"/>
      <c r="SSG95" s="11"/>
      <c r="SSH95" s="11"/>
      <c r="SSI95" s="11"/>
      <c r="SSJ95" s="11"/>
      <c r="SSK95" s="11"/>
      <c r="SSL95" s="11"/>
      <c r="SSM95" s="11"/>
      <c r="SSN95" s="11"/>
      <c r="SSO95" s="11"/>
      <c r="SSP95" s="11"/>
      <c r="SSQ95" s="11"/>
      <c r="SSR95" s="11"/>
      <c r="SSS95" s="11"/>
      <c r="SST95" s="11"/>
      <c r="SSU95" s="11"/>
      <c r="SSV95" s="11"/>
      <c r="SSW95" s="11"/>
      <c r="SSX95" s="11"/>
      <c r="SSY95" s="11"/>
      <c r="SSZ95" s="11"/>
      <c r="STA95" s="11"/>
      <c r="STB95" s="11"/>
      <c r="STC95" s="11"/>
      <c r="STD95" s="11"/>
      <c r="STE95" s="11"/>
      <c r="STF95" s="11"/>
      <c r="STG95" s="11"/>
      <c r="STH95" s="11"/>
      <c r="STI95" s="11"/>
      <c r="STJ95" s="11"/>
      <c r="STK95" s="11"/>
      <c r="STL95" s="11"/>
      <c r="STM95" s="11"/>
      <c r="STN95" s="11"/>
      <c r="STO95" s="11"/>
      <c r="STP95" s="11"/>
      <c r="STQ95" s="11"/>
      <c r="STR95" s="11"/>
      <c r="STS95" s="11"/>
      <c r="STT95" s="11"/>
      <c r="STU95" s="11"/>
      <c r="STV95" s="11"/>
      <c r="STW95" s="11"/>
      <c r="STX95" s="11"/>
      <c r="STY95" s="11"/>
      <c r="STZ95" s="11"/>
      <c r="SUA95" s="11"/>
      <c r="SUB95" s="11"/>
      <c r="SUC95" s="11"/>
      <c r="SUD95" s="11"/>
      <c r="SUE95" s="11"/>
      <c r="SUF95" s="11"/>
      <c r="SUG95" s="11"/>
      <c r="SUH95" s="11"/>
      <c r="SUI95" s="11"/>
      <c r="SUJ95" s="11"/>
      <c r="SUK95" s="11"/>
      <c r="SUL95" s="11"/>
      <c r="SUM95" s="11"/>
      <c r="SUN95" s="11"/>
      <c r="SUO95" s="11"/>
      <c r="SUP95" s="11"/>
      <c r="SUQ95" s="11"/>
      <c r="SUR95" s="11"/>
      <c r="SUS95" s="11"/>
      <c r="SUT95" s="11"/>
      <c r="SUU95" s="11"/>
      <c r="SUV95" s="11"/>
      <c r="SUW95" s="11"/>
      <c r="SUX95" s="11"/>
      <c r="SUY95" s="11"/>
      <c r="SUZ95" s="11"/>
      <c r="SVA95" s="11"/>
      <c r="SVB95" s="11"/>
      <c r="SVC95" s="11"/>
      <c r="SVD95" s="11"/>
      <c r="SVE95" s="11"/>
      <c r="SVF95" s="11"/>
      <c r="SVG95" s="11"/>
      <c r="SVH95" s="11"/>
      <c r="SVI95" s="11"/>
      <c r="SVJ95" s="11"/>
      <c r="SVK95" s="11"/>
      <c r="SVL95" s="11"/>
      <c r="SVM95" s="11"/>
      <c r="SVN95" s="11"/>
      <c r="SVO95" s="11"/>
      <c r="SVP95" s="11"/>
      <c r="SVQ95" s="11"/>
      <c r="SVR95" s="11"/>
      <c r="SVS95" s="11"/>
      <c r="SVT95" s="11"/>
      <c r="SVU95" s="11"/>
      <c r="SVV95" s="11"/>
      <c r="SVW95" s="11"/>
      <c r="SVX95" s="11"/>
      <c r="SVY95" s="11"/>
      <c r="SVZ95" s="11"/>
      <c r="SWA95" s="11"/>
      <c r="SWB95" s="11"/>
      <c r="SWC95" s="11"/>
      <c r="SWD95" s="11"/>
      <c r="SWE95" s="11"/>
      <c r="SWF95" s="11"/>
      <c r="SWG95" s="11"/>
      <c r="SWH95" s="11"/>
      <c r="SWI95" s="11"/>
      <c r="SWJ95" s="11"/>
      <c r="SWK95" s="11"/>
      <c r="SWL95" s="11"/>
      <c r="SWM95" s="11"/>
      <c r="SWN95" s="11"/>
      <c r="SWO95" s="11"/>
      <c r="SWP95" s="11"/>
      <c r="SWQ95" s="11"/>
      <c r="SWR95" s="11"/>
      <c r="SWS95" s="11"/>
      <c r="SWT95" s="11"/>
      <c r="SWU95" s="11"/>
      <c r="SWV95" s="11"/>
      <c r="SWW95" s="11"/>
      <c r="SWX95" s="11"/>
      <c r="SWY95" s="11"/>
      <c r="SWZ95" s="11"/>
      <c r="SXA95" s="11"/>
      <c r="SXB95" s="11"/>
      <c r="SXC95" s="11"/>
      <c r="SXD95" s="11"/>
      <c r="SXE95" s="11"/>
      <c r="SXF95" s="11"/>
      <c r="SXG95" s="11"/>
      <c r="SXH95" s="11"/>
      <c r="SXI95" s="11"/>
      <c r="SXJ95" s="11"/>
      <c r="SXK95" s="11"/>
      <c r="SXL95" s="11"/>
      <c r="SXM95" s="11"/>
      <c r="SXN95" s="11"/>
      <c r="SXO95" s="11"/>
      <c r="SXP95" s="11"/>
      <c r="SXQ95" s="11"/>
      <c r="SXR95" s="11"/>
      <c r="SXS95" s="11"/>
      <c r="SXT95" s="11"/>
      <c r="SXU95" s="11"/>
      <c r="SXV95" s="11"/>
      <c r="SXW95" s="11"/>
      <c r="SXX95" s="11"/>
      <c r="SXY95" s="11"/>
      <c r="SXZ95" s="11"/>
      <c r="SYA95" s="11"/>
      <c r="SYB95" s="11"/>
      <c r="SYC95" s="11"/>
      <c r="SYD95" s="11"/>
      <c r="SYE95" s="11"/>
      <c r="SYF95" s="11"/>
      <c r="SYG95" s="11"/>
      <c r="SYH95" s="11"/>
      <c r="SYI95" s="11"/>
      <c r="SYJ95" s="11"/>
      <c r="SYK95" s="11"/>
      <c r="SYL95" s="11"/>
      <c r="SYM95" s="11"/>
      <c r="SYN95" s="11"/>
      <c r="SYO95" s="11"/>
      <c r="SYP95" s="11"/>
      <c r="SYQ95" s="11"/>
      <c r="SYR95" s="11"/>
      <c r="SYS95" s="11"/>
      <c r="SYT95" s="11"/>
      <c r="SYU95" s="11"/>
      <c r="SYV95" s="11"/>
      <c r="SYW95" s="11"/>
      <c r="SYX95" s="11"/>
      <c r="SYY95" s="11"/>
      <c r="SYZ95" s="11"/>
      <c r="SZA95" s="11"/>
      <c r="SZB95" s="11"/>
      <c r="SZC95" s="11"/>
      <c r="SZD95" s="11"/>
      <c r="SZE95" s="11"/>
      <c r="SZF95" s="11"/>
      <c r="SZG95" s="11"/>
      <c r="SZH95" s="11"/>
      <c r="SZI95" s="11"/>
      <c r="SZJ95" s="11"/>
      <c r="SZK95" s="11"/>
      <c r="SZL95" s="11"/>
      <c r="SZM95" s="11"/>
      <c r="SZN95" s="11"/>
      <c r="SZO95" s="11"/>
      <c r="SZP95" s="11"/>
      <c r="SZQ95" s="11"/>
      <c r="SZR95" s="11"/>
      <c r="SZS95" s="11"/>
      <c r="SZT95" s="11"/>
      <c r="SZU95" s="11"/>
      <c r="SZV95" s="11"/>
      <c r="SZW95" s="11"/>
      <c r="SZX95" s="11"/>
      <c r="SZY95" s="11"/>
      <c r="SZZ95" s="11"/>
      <c r="TAA95" s="11"/>
      <c r="TAB95" s="11"/>
      <c r="TAC95" s="11"/>
      <c r="TAD95" s="11"/>
      <c r="TAE95" s="11"/>
      <c r="TAF95" s="11"/>
      <c r="TAG95" s="11"/>
      <c r="TAH95" s="11"/>
      <c r="TAI95" s="11"/>
      <c r="TAJ95" s="11"/>
      <c r="TAK95" s="11"/>
      <c r="TAL95" s="11"/>
      <c r="TAM95" s="11"/>
      <c r="TAN95" s="11"/>
      <c r="TAO95" s="11"/>
      <c r="TAP95" s="11"/>
      <c r="TAQ95" s="11"/>
      <c r="TAR95" s="11"/>
      <c r="TAS95" s="11"/>
      <c r="TAT95" s="11"/>
      <c r="TAU95" s="11"/>
      <c r="TAV95" s="11"/>
      <c r="TAW95" s="11"/>
      <c r="TAX95" s="11"/>
      <c r="TAY95" s="11"/>
      <c r="TAZ95" s="11"/>
      <c r="TBA95" s="11"/>
      <c r="TBB95" s="11"/>
      <c r="TBC95" s="11"/>
      <c r="TBD95" s="11"/>
      <c r="TBE95" s="11"/>
      <c r="TBF95" s="11"/>
      <c r="TBG95" s="11"/>
      <c r="TBH95" s="11"/>
      <c r="TBI95" s="11"/>
      <c r="TBJ95" s="11"/>
      <c r="TBK95" s="11"/>
      <c r="TBL95" s="11"/>
      <c r="TBM95" s="11"/>
      <c r="TBN95" s="11"/>
      <c r="TBO95" s="11"/>
      <c r="TBP95" s="11"/>
      <c r="TBQ95" s="11"/>
      <c r="TBR95" s="11"/>
      <c r="TBS95" s="11"/>
      <c r="TBT95" s="11"/>
      <c r="TBU95" s="11"/>
      <c r="TBV95" s="11"/>
      <c r="TBW95" s="11"/>
      <c r="TBX95" s="11"/>
      <c r="TBY95" s="11"/>
      <c r="TBZ95" s="11"/>
      <c r="TCA95" s="11"/>
      <c r="TCB95" s="11"/>
      <c r="TCC95" s="11"/>
      <c r="TCD95" s="11"/>
      <c r="TCE95" s="11"/>
      <c r="TCF95" s="11"/>
      <c r="TCG95" s="11"/>
      <c r="TCH95" s="11"/>
      <c r="TCI95" s="11"/>
      <c r="TCJ95" s="11"/>
      <c r="TCK95" s="11"/>
      <c r="TCL95" s="11"/>
      <c r="TCM95" s="11"/>
      <c r="TCN95" s="11"/>
      <c r="TCO95" s="11"/>
      <c r="TCP95" s="11"/>
      <c r="TCQ95" s="11"/>
      <c r="TCR95" s="11"/>
      <c r="TCS95" s="11"/>
      <c r="TCT95" s="11"/>
      <c r="TCU95" s="11"/>
      <c r="TCV95" s="11"/>
      <c r="TCW95" s="11"/>
      <c r="TCX95" s="11"/>
      <c r="TCY95" s="11"/>
      <c r="TCZ95" s="11"/>
      <c r="TDA95" s="11"/>
      <c r="TDB95" s="11"/>
      <c r="TDC95" s="11"/>
      <c r="TDD95" s="11"/>
      <c r="TDE95" s="11"/>
      <c r="TDF95" s="11"/>
      <c r="TDG95" s="11"/>
      <c r="TDH95" s="11"/>
      <c r="TDI95" s="11"/>
      <c r="TDJ95" s="11"/>
      <c r="TDK95" s="11"/>
      <c r="TDL95" s="11"/>
      <c r="TDM95" s="11"/>
      <c r="TDN95" s="11"/>
      <c r="TDO95" s="11"/>
      <c r="TDP95" s="11"/>
      <c r="TDQ95" s="11"/>
      <c r="TDR95" s="11"/>
      <c r="TDS95" s="11"/>
      <c r="TDT95" s="11"/>
      <c r="TDU95" s="11"/>
      <c r="TDV95" s="11"/>
      <c r="TDW95" s="11"/>
      <c r="TDX95" s="11"/>
      <c r="TDY95" s="11"/>
      <c r="TDZ95" s="11"/>
      <c r="TEA95" s="11"/>
      <c r="TEB95" s="11"/>
      <c r="TEC95" s="11"/>
      <c r="TED95" s="11"/>
      <c r="TEE95" s="11"/>
      <c r="TEF95" s="11"/>
      <c r="TEG95" s="11"/>
      <c r="TEH95" s="11"/>
      <c r="TEI95" s="11"/>
      <c r="TEJ95" s="11"/>
      <c r="TEK95" s="11"/>
      <c r="TEL95" s="11"/>
      <c r="TEM95" s="11"/>
      <c r="TEN95" s="11"/>
      <c r="TEO95" s="11"/>
      <c r="TEP95" s="11"/>
      <c r="TEQ95" s="11"/>
      <c r="TER95" s="11"/>
      <c r="TES95" s="11"/>
      <c r="TET95" s="11"/>
      <c r="TEU95" s="11"/>
      <c r="TEV95" s="11"/>
      <c r="TEW95" s="11"/>
      <c r="TEX95" s="11"/>
      <c r="TEY95" s="11"/>
      <c r="TEZ95" s="11"/>
      <c r="TFA95" s="11"/>
      <c r="TFB95" s="11"/>
      <c r="TFC95" s="11"/>
      <c r="TFD95" s="11"/>
      <c r="TFE95" s="11"/>
      <c r="TFF95" s="11"/>
      <c r="TFG95" s="11"/>
      <c r="TFH95" s="11"/>
      <c r="TFI95" s="11"/>
      <c r="TFJ95" s="11"/>
      <c r="TFK95" s="11"/>
      <c r="TFL95" s="11"/>
      <c r="TFM95" s="11"/>
      <c r="TFN95" s="11"/>
      <c r="TFO95" s="11"/>
      <c r="TFP95" s="11"/>
      <c r="TFQ95" s="11"/>
      <c r="TFR95" s="11"/>
      <c r="TFS95" s="11"/>
      <c r="TFT95" s="11"/>
      <c r="TFU95" s="11"/>
      <c r="TFV95" s="11"/>
      <c r="TFW95" s="11"/>
      <c r="TFX95" s="11"/>
      <c r="TFY95" s="11"/>
      <c r="TFZ95" s="11"/>
      <c r="TGA95" s="11"/>
      <c r="TGB95" s="11"/>
      <c r="TGC95" s="11"/>
      <c r="TGD95" s="11"/>
      <c r="TGE95" s="11"/>
      <c r="TGF95" s="11"/>
      <c r="TGG95" s="11"/>
      <c r="TGH95" s="11"/>
      <c r="TGI95" s="11"/>
      <c r="TGJ95" s="11"/>
      <c r="TGK95" s="11"/>
      <c r="TGL95" s="11"/>
      <c r="TGM95" s="11"/>
      <c r="TGN95" s="11"/>
      <c r="TGO95" s="11"/>
      <c r="TGP95" s="11"/>
      <c r="TGQ95" s="11"/>
      <c r="TGR95" s="11"/>
      <c r="TGS95" s="11"/>
      <c r="TGT95" s="11"/>
      <c r="TGU95" s="11"/>
      <c r="TGV95" s="11"/>
      <c r="TGW95" s="11"/>
      <c r="TGX95" s="11"/>
      <c r="TGY95" s="11"/>
      <c r="TGZ95" s="11"/>
      <c r="THA95" s="11"/>
      <c r="THB95" s="11"/>
      <c r="THC95" s="11"/>
      <c r="THD95" s="11"/>
      <c r="THE95" s="11"/>
      <c r="THF95" s="11"/>
      <c r="THG95" s="11"/>
      <c r="THH95" s="11"/>
      <c r="THI95" s="11"/>
      <c r="THJ95" s="11"/>
      <c r="THK95" s="11"/>
      <c r="THL95" s="11"/>
      <c r="THM95" s="11"/>
      <c r="THN95" s="11"/>
      <c r="THO95" s="11"/>
      <c r="THP95" s="11"/>
      <c r="THQ95" s="11"/>
      <c r="THR95" s="11"/>
      <c r="THS95" s="11"/>
      <c r="THT95" s="11"/>
      <c r="THU95" s="11"/>
      <c r="THV95" s="11"/>
      <c r="THW95" s="11"/>
      <c r="THX95" s="11"/>
      <c r="THY95" s="11"/>
      <c r="THZ95" s="11"/>
      <c r="TIA95" s="11"/>
      <c r="TIB95" s="11"/>
      <c r="TIC95" s="11"/>
      <c r="TID95" s="11"/>
      <c r="TIE95" s="11"/>
      <c r="TIF95" s="11"/>
      <c r="TIG95" s="11"/>
      <c r="TIH95" s="11"/>
      <c r="TII95" s="11"/>
      <c r="TIJ95" s="11"/>
      <c r="TIK95" s="11"/>
      <c r="TIL95" s="11"/>
      <c r="TIM95" s="11"/>
      <c r="TIN95" s="11"/>
      <c r="TIO95" s="11"/>
      <c r="TIP95" s="11"/>
      <c r="TIQ95" s="11"/>
      <c r="TIR95" s="11"/>
      <c r="TIS95" s="11"/>
      <c r="TIT95" s="11"/>
      <c r="TIU95" s="11"/>
      <c r="TIV95" s="11"/>
      <c r="TIW95" s="11"/>
      <c r="TIX95" s="11"/>
      <c r="TIY95" s="11"/>
      <c r="TIZ95" s="11"/>
      <c r="TJA95" s="11"/>
      <c r="TJB95" s="11"/>
      <c r="TJC95" s="11"/>
      <c r="TJD95" s="11"/>
      <c r="TJE95" s="11"/>
      <c r="TJF95" s="11"/>
      <c r="TJG95" s="11"/>
      <c r="TJH95" s="11"/>
      <c r="TJI95" s="11"/>
      <c r="TJJ95" s="11"/>
      <c r="TJK95" s="11"/>
      <c r="TJL95" s="11"/>
      <c r="TJM95" s="11"/>
      <c r="TJN95" s="11"/>
      <c r="TJO95" s="11"/>
      <c r="TJP95" s="11"/>
      <c r="TJQ95" s="11"/>
      <c r="TJR95" s="11"/>
      <c r="TJS95" s="11"/>
      <c r="TJT95" s="11"/>
      <c r="TJU95" s="11"/>
      <c r="TJV95" s="11"/>
      <c r="TJW95" s="11"/>
      <c r="TJX95" s="11"/>
      <c r="TJY95" s="11"/>
      <c r="TJZ95" s="11"/>
      <c r="TKA95" s="11"/>
      <c r="TKB95" s="11"/>
      <c r="TKC95" s="11"/>
      <c r="TKD95" s="11"/>
      <c r="TKE95" s="11"/>
      <c r="TKF95" s="11"/>
      <c r="TKG95" s="11"/>
      <c r="TKH95" s="11"/>
      <c r="TKI95" s="11"/>
      <c r="TKJ95" s="11"/>
      <c r="TKK95" s="11"/>
      <c r="TKL95" s="11"/>
      <c r="TKM95" s="11"/>
      <c r="TKN95" s="11"/>
      <c r="TKO95" s="11"/>
      <c r="TKP95" s="11"/>
      <c r="TKQ95" s="11"/>
      <c r="TKR95" s="11"/>
      <c r="TKS95" s="11"/>
      <c r="TKT95" s="11"/>
      <c r="TKU95" s="11"/>
      <c r="TKV95" s="11"/>
      <c r="TKW95" s="11"/>
      <c r="TKX95" s="11"/>
      <c r="TKY95" s="11"/>
      <c r="TKZ95" s="11"/>
      <c r="TLA95" s="11"/>
      <c r="TLB95" s="11"/>
      <c r="TLC95" s="11"/>
      <c r="TLD95" s="11"/>
      <c r="TLE95" s="11"/>
      <c r="TLF95" s="11"/>
      <c r="TLG95" s="11"/>
      <c r="TLH95" s="11"/>
      <c r="TLI95" s="11"/>
      <c r="TLJ95" s="11"/>
      <c r="TLK95" s="11"/>
      <c r="TLL95" s="11"/>
      <c r="TLM95" s="11"/>
      <c r="TLN95" s="11"/>
      <c r="TLO95" s="11"/>
      <c r="TLP95" s="11"/>
      <c r="TLQ95" s="11"/>
      <c r="TLR95" s="11"/>
      <c r="TLS95" s="11"/>
      <c r="TLT95" s="11"/>
      <c r="TLU95" s="11"/>
      <c r="TLV95" s="11"/>
      <c r="TLW95" s="11"/>
      <c r="TLX95" s="11"/>
      <c r="TLY95" s="11"/>
      <c r="TLZ95" s="11"/>
      <c r="TMA95" s="11"/>
      <c r="TMB95" s="11"/>
      <c r="TMC95" s="11"/>
      <c r="TMD95" s="11"/>
      <c r="TME95" s="11"/>
      <c r="TMF95" s="11"/>
      <c r="TMG95" s="11"/>
      <c r="TMH95" s="11"/>
      <c r="TMI95" s="11"/>
      <c r="TMJ95" s="11"/>
      <c r="TMK95" s="11"/>
      <c r="TML95" s="11"/>
      <c r="TMM95" s="11"/>
      <c r="TMN95" s="11"/>
      <c r="TMO95" s="11"/>
      <c r="TMP95" s="11"/>
      <c r="TMQ95" s="11"/>
      <c r="TMR95" s="11"/>
      <c r="TMS95" s="11"/>
      <c r="TMT95" s="11"/>
      <c r="TMU95" s="11"/>
      <c r="TMV95" s="11"/>
      <c r="TMW95" s="11"/>
      <c r="TMX95" s="11"/>
      <c r="TMY95" s="11"/>
      <c r="TMZ95" s="11"/>
      <c r="TNA95" s="11"/>
      <c r="TNB95" s="11"/>
      <c r="TNC95" s="11"/>
      <c r="TND95" s="11"/>
      <c r="TNE95" s="11"/>
      <c r="TNF95" s="11"/>
      <c r="TNG95" s="11"/>
      <c r="TNH95" s="11"/>
      <c r="TNI95" s="11"/>
      <c r="TNJ95" s="11"/>
      <c r="TNK95" s="11"/>
      <c r="TNL95" s="11"/>
      <c r="TNM95" s="11"/>
      <c r="TNN95" s="11"/>
      <c r="TNO95" s="11"/>
      <c r="TNP95" s="11"/>
      <c r="TNQ95" s="11"/>
      <c r="TNR95" s="11"/>
      <c r="TNS95" s="11"/>
      <c r="TNT95" s="11"/>
      <c r="TNU95" s="11"/>
      <c r="TNV95" s="11"/>
      <c r="TNW95" s="11"/>
      <c r="TNX95" s="11"/>
      <c r="TNY95" s="11"/>
      <c r="TNZ95" s="11"/>
      <c r="TOA95" s="11"/>
      <c r="TOB95" s="11"/>
      <c r="TOC95" s="11"/>
      <c r="TOD95" s="11"/>
      <c r="TOE95" s="11"/>
      <c r="TOF95" s="11"/>
      <c r="TOG95" s="11"/>
      <c r="TOH95" s="11"/>
      <c r="TOI95" s="11"/>
      <c r="TOJ95" s="11"/>
      <c r="TOK95" s="11"/>
      <c r="TOL95" s="11"/>
      <c r="TOM95" s="11"/>
      <c r="TON95" s="11"/>
      <c r="TOO95" s="11"/>
      <c r="TOP95" s="11"/>
      <c r="TOQ95" s="11"/>
      <c r="TOR95" s="11"/>
      <c r="TOS95" s="11"/>
      <c r="TOT95" s="11"/>
      <c r="TOU95" s="11"/>
      <c r="TOV95" s="11"/>
      <c r="TOW95" s="11"/>
      <c r="TOX95" s="11"/>
      <c r="TOY95" s="11"/>
      <c r="TOZ95" s="11"/>
      <c r="TPA95" s="11"/>
      <c r="TPB95" s="11"/>
      <c r="TPC95" s="11"/>
      <c r="TPD95" s="11"/>
      <c r="TPE95" s="11"/>
      <c r="TPF95" s="11"/>
      <c r="TPG95" s="11"/>
      <c r="TPH95" s="11"/>
      <c r="TPI95" s="11"/>
      <c r="TPJ95" s="11"/>
      <c r="TPK95" s="11"/>
      <c r="TPL95" s="11"/>
      <c r="TPM95" s="11"/>
      <c r="TPN95" s="11"/>
      <c r="TPO95" s="11"/>
      <c r="TPP95" s="11"/>
      <c r="TPQ95" s="11"/>
      <c r="TPR95" s="11"/>
      <c r="TPS95" s="11"/>
      <c r="TPT95" s="11"/>
      <c r="TPU95" s="11"/>
      <c r="TPV95" s="11"/>
      <c r="TPW95" s="11"/>
      <c r="TPX95" s="11"/>
      <c r="TPY95" s="11"/>
      <c r="TPZ95" s="11"/>
      <c r="TQA95" s="11"/>
      <c r="TQB95" s="11"/>
      <c r="TQC95" s="11"/>
      <c r="TQD95" s="11"/>
      <c r="TQE95" s="11"/>
      <c r="TQF95" s="11"/>
      <c r="TQG95" s="11"/>
      <c r="TQH95" s="11"/>
      <c r="TQI95" s="11"/>
      <c r="TQJ95" s="11"/>
      <c r="TQK95" s="11"/>
      <c r="TQL95" s="11"/>
      <c r="TQM95" s="11"/>
      <c r="TQN95" s="11"/>
      <c r="TQO95" s="11"/>
      <c r="TQP95" s="11"/>
      <c r="TQQ95" s="11"/>
      <c r="TQR95" s="11"/>
      <c r="TQS95" s="11"/>
      <c r="TQT95" s="11"/>
      <c r="TQU95" s="11"/>
      <c r="TQV95" s="11"/>
      <c r="TQW95" s="11"/>
      <c r="TQX95" s="11"/>
      <c r="TQY95" s="11"/>
      <c r="TQZ95" s="11"/>
      <c r="TRA95" s="11"/>
      <c r="TRB95" s="11"/>
      <c r="TRC95" s="11"/>
      <c r="TRD95" s="11"/>
      <c r="TRE95" s="11"/>
      <c r="TRF95" s="11"/>
      <c r="TRG95" s="11"/>
      <c r="TRH95" s="11"/>
      <c r="TRI95" s="11"/>
      <c r="TRJ95" s="11"/>
      <c r="TRK95" s="11"/>
      <c r="TRL95" s="11"/>
      <c r="TRM95" s="11"/>
      <c r="TRN95" s="11"/>
      <c r="TRO95" s="11"/>
      <c r="TRP95" s="11"/>
      <c r="TRQ95" s="11"/>
      <c r="TRR95" s="11"/>
      <c r="TRS95" s="11"/>
      <c r="TRT95" s="11"/>
      <c r="TRU95" s="11"/>
      <c r="TRV95" s="11"/>
      <c r="TRW95" s="11"/>
      <c r="TRX95" s="11"/>
      <c r="TRY95" s="11"/>
      <c r="TRZ95" s="11"/>
      <c r="TSA95" s="11"/>
      <c r="TSB95" s="11"/>
      <c r="TSC95" s="11"/>
      <c r="TSD95" s="11"/>
      <c r="TSE95" s="11"/>
      <c r="TSF95" s="11"/>
      <c r="TSG95" s="11"/>
      <c r="TSH95" s="11"/>
      <c r="TSI95" s="11"/>
      <c r="TSJ95" s="11"/>
      <c r="TSK95" s="11"/>
      <c r="TSL95" s="11"/>
      <c r="TSM95" s="11"/>
      <c r="TSN95" s="11"/>
      <c r="TSO95" s="11"/>
      <c r="TSP95" s="11"/>
      <c r="TSQ95" s="11"/>
      <c r="TSR95" s="11"/>
      <c r="TSS95" s="11"/>
      <c r="TST95" s="11"/>
      <c r="TSU95" s="11"/>
      <c r="TSV95" s="11"/>
      <c r="TSW95" s="11"/>
      <c r="TSX95" s="11"/>
      <c r="TSY95" s="11"/>
      <c r="TSZ95" s="11"/>
      <c r="TTA95" s="11"/>
      <c r="TTB95" s="11"/>
      <c r="TTC95" s="11"/>
      <c r="TTD95" s="11"/>
      <c r="TTE95" s="11"/>
      <c r="TTF95" s="11"/>
      <c r="TTG95" s="11"/>
      <c r="TTH95" s="11"/>
      <c r="TTI95" s="11"/>
      <c r="TTJ95" s="11"/>
      <c r="TTK95" s="11"/>
      <c r="TTL95" s="11"/>
      <c r="TTM95" s="11"/>
      <c r="TTN95" s="11"/>
      <c r="TTO95" s="11"/>
      <c r="TTP95" s="11"/>
      <c r="TTQ95" s="11"/>
      <c r="TTR95" s="11"/>
      <c r="TTS95" s="11"/>
      <c r="TTT95" s="11"/>
      <c r="TTU95" s="11"/>
      <c r="TTV95" s="11"/>
      <c r="TTW95" s="11"/>
      <c r="TTX95" s="11"/>
      <c r="TTY95" s="11"/>
      <c r="TTZ95" s="11"/>
      <c r="TUA95" s="11"/>
      <c r="TUB95" s="11"/>
      <c r="TUC95" s="11"/>
      <c r="TUD95" s="11"/>
      <c r="TUE95" s="11"/>
      <c r="TUF95" s="11"/>
      <c r="TUG95" s="11"/>
      <c r="TUH95" s="11"/>
      <c r="TUI95" s="11"/>
      <c r="TUJ95" s="11"/>
      <c r="TUK95" s="11"/>
      <c r="TUL95" s="11"/>
      <c r="TUM95" s="11"/>
      <c r="TUN95" s="11"/>
      <c r="TUO95" s="11"/>
      <c r="TUP95" s="11"/>
      <c r="TUQ95" s="11"/>
      <c r="TUR95" s="11"/>
      <c r="TUS95" s="11"/>
      <c r="TUT95" s="11"/>
      <c r="TUU95" s="11"/>
      <c r="TUV95" s="11"/>
      <c r="TUW95" s="11"/>
      <c r="TUX95" s="11"/>
      <c r="TUY95" s="11"/>
      <c r="TUZ95" s="11"/>
      <c r="TVA95" s="11"/>
      <c r="TVB95" s="11"/>
      <c r="TVC95" s="11"/>
      <c r="TVD95" s="11"/>
      <c r="TVE95" s="11"/>
      <c r="TVF95" s="11"/>
      <c r="TVG95" s="11"/>
      <c r="TVH95" s="11"/>
      <c r="TVI95" s="11"/>
      <c r="TVJ95" s="11"/>
      <c r="TVK95" s="11"/>
      <c r="TVL95" s="11"/>
      <c r="TVM95" s="11"/>
      <c r="TVN95" s="11"/>
      <c r="TVO95" s="11"/>
      <c r="TVP95" s="11"/>
      <c r="TVQ95" s="11"/>
      <c r="TVR95" s="11"/>
      <c r="TVS95" s="11"/>
      <c r="TVT95" s="11"/>
      <c r="TVU95" s="11"/>
      <c r="TVV95" s="11"/>
      <c r="TVW95" s="11"/>
      <c r="TVX95" s="11"/>
      <c r="TVY95" s="11"/>
      <c r="TVZ95" s="11"/>
      <c r="TWA95" s="11"/>
      <c r="TWB95" s="11"/>
      <c r="TWC95" s="11"/>
      <c r="TWD95" s="11"/>
      <c r="TWE95" s="11"/>
      <c r="TWF95" s="11"/>
      <c r="TWG95" s="11"/>
      <c r="TWH95" s="11"/>
      <c r="TWI95" s="11"/>
      <c r="TWJ95" s="11"/>
      <c r="TWK95" s="11"/>
      <c r="TWL95" s="11"/>
      <c r="TWM95" s="11"/>
      <c r="TWN95" s="11"/>
      <c r="TWO95" s="11"/>
      <c r="TWP95" s="11"/>
      <c r="TWQ95" s="11"/>
      <c r="TWR95" s="11"/>
      <c r="TWS95" s="11"/>
      <c r="TWT95" s="11"/>
      <c r="TWU95" s="11"/>
      <c r="TWV95" s="11"/>
      <c r="TWW95" s="11"/>
      <c r="TWX95" s="11"/>
      <c r="TWY95" s="11"/>
      <c r="TWZ95" s="11"/>
      <c r="TXA95" s="11"/>
      <c r="TXB95" s="11"/>
      <c r="TXC95" s="11"/>
      <c r="TXD95" s="11"/>
      <c r="TXE95" s="11"/>
      <c r="TXF95" s="11"/>
      <c r="TXG95" s="11"/>
      <c r="TXH95" s="11"/>
      <c r="TXI95" s="11"/>
      <c r="TXJ95" s="11"/>
      <c r="TXK95" s="11"/>
      <c r="TXL95" s="11"/>
      <c r="TXM95" s="11"/>
      <c r="TXN95" s="11"/>
      <c r="TXO95" s="11"/>
      <c r="TXP95" s="11"/>
      <c r="TXQ95" s="11"/>
      <c r="TXR95" s="11"/>
      <c r="TXS95" s="11"/>
      <c r="TXT95" s="11"/>
      <c r="TXU95" s="11"/>
      <c r="TXV95" s="11"/>
      <c r="TXW95" s="11"/>
      <c r="TXX95" s="11"/>
      <c r="TXY95" s="11"/>
      <c r="TXZ95" s="11"/>
      <c r="TYA95" s="11"/>
      <c r="TYB95" s="11"/>
      <c r="TYC95" s="11"/>
      <c r="TYD95" s="11"/>
      <c r="TYE95" s="11"/>
      <c r="TYF95" s="11"/>
      <c r="TYG95" s="11"/>
      <c r="TYH95" s="11"/>
      <c r="TYI95" s="11"/>
      <c r="TYJ95" s="11"/>
      <c r="TYK95" s="11"/>
      <c r="TYL95" s="11"/>
      <c r="TYM95" s="11"/>
      <c r="TYN95" s="11"/>
      <c r="TYO95" s="11"/>
      <c r="TYP95" s="11"/>
      <c r="TYQ95" s="11"/>
      <c r="TYR95" s="11"/>
      <c r="TYS95" s="11"/>
      <c r="TYT95" s="11"/>
      <c r="TYU95" s="11"/>
      <c r="TYV95" s="11"/>
      <c r="TYW95" s="11"/>
      <c r="TYX95" s="11"/>
      <c r="TYY95" s="11"/>
      <c r="TYZ95" s="11"/>
      <c r="TZA95" s="11"/>
      <c r="TZB95" s="11"/>
      <c r="TZC95" s="11"/>
      <c r="TZD95" s="11"/>
      <c r="TZE95" s="11"/>
      <c r="TZF95" s="11"/>
      <c r="TZG95" s="11"/>
      <c r="TZH95" s="11"/>
      <c r="TZI95" s="11"/>
      <c r="TZJ95" s="11"/>
      <c r="TZK95" s="11"/>
      <c r="TZL95" s="11"/>
      <c r="TZM95" s="11"/>
      <c r="TZN95" s="11"/>
      <c r="TZO95" s="11"/>
      <c r="TZP95" s="11"/>
      <c r="TZQ95" s="11"/>
      <c r="TZR95" s="11"/>
      <c r="TZS95" s="11"/>
      <c r="TZT95" s="11"/>
      <c r="TZU95" s="11"/>
      <c r="TZV95" s="11"/>
      <c r="TZW95" s="11"/>
      <c r="TZX95" s="11"/>
      <c r="TZY95" s="11"/>
      <c r="TZZ95" s="11"/>
      <c r="UAA95" s="11"/>
      <c r="UAB95" s="11"/>
      <c r="UAC95" s="11"/>
      <c r="UAD95" s="11"/>
      <c r="UAE95" s="11"/>
      <c r="UAF95" s="11"/>
      <c r="UAG95" s="11"/>
      <c r="UAH95" s="11"/>
      <c r="UAI95" s="11"/>
      <c r="UAJ95" s="11"/>
      <c r="UAK95" s="11"/>
      <c r="UAL95" s="11"/>
      <c r="UAM95" s="11"/>
      <c r="UAN95" s="11"/>
      <c r="UAO95" s="11"/>
      <c r="UAP95" s="11"/>
      <c r="UAQ95" s="11"/>
      <c r="UAR95" s="11"/>
      <c r="UAS95" s="11"/>
      <c r="UAT95" s="11"/>
      <c r="UAU95" s="11"/>
      <c r="UAV95" s="11"/>
      <c r="UAW95" s="11"/>
      <c r="UAX95" s="11"/>
      <c r="UAY95" s="11"/>
      <c r="UAZ95" s="11"/>
      <c r="UBA95" s="11"/>
      <c r="UBB95" s="11"/>
      <c r="UBC95" s="11"/>
      <c r="UBD95" s="11"/>
      <c r="UBE95" s="11"/>
      <c r="UBF95" s="11"/>
      <c r="UBG95" s="11"/>
      <c r="UBH95" s="11"/>
      <c r="UBI95" s="11"/>
      <c r="UBJ95" s="11"/>
      <c r="UBK95" s="11"/>
      <c r="UBL95" s="11"/>
      <c r="UBM95" s="11"/>
      <c r="UBN95" s="11"/>
      <c r="UBO95" s="11"/>
      <c r="UBP95" s="11"/>
      <c r="UBQ95" s="11"/>
      <c r="UBR95" s="11"/>
      <c r="UBS95" s="11"/>
      <c r="UBT95" s="11"/>
      <c r="UBU95" s="11"/>
      <c r="UBV95" s="11"/>
      <c r="UBW95" s="11"/>
      <c r="UBX95" s="11"/>
      <c r="UBY95" s="11"/>
      <c r="UBZ95" s="11"/>
      <c r="UCA95" s="11"/>
      <c r="UCB95" s="11"/>
      <c r="UCC95" s="11"/>
      <c r="UCD95" s="11"/>
      <c r="UCE95" s="11"/>
      <c r="UCF95" s="11"/>
      <c r="UCG95" s="11"/>
      <c r="UCH95" s="11"/>
      <c r="UCI95" s="11"/>
      <c r="UCJ95" s="11"/>
      <c r="UCK95" s="11"/>
      <c r="UCL95" s="11"/>
      <c r="UCM95" s="11"/>
      <c r="UCN95" s="11"/>
      <c r="UCO95" s="11"/>
      <c r="UCP95" s="11"/>
      <c r="UCQ95" s="11"/>
      <c r="UCR95" s="11"/>
      <c r="UCS95" s="11"/>
      <c r="UCT95" s="11"/>
      <c r="UCU95" s="11"/>
      <c r="UCV95" s="11"/>
      <c r="UCW95" s="11"/>
      <c r="UCX95" s="11"/>
      <c r="UCY95" s="11"/>
      <c r="UCZ95" s="11"/>
      <c r="UDA95" s="11"/>
      <c r="UDB95" s="11"/>
      <c r="UDC95" s="11"/>
      <c r="UDD95" s="11"/>
      <c r="UDE95" s="11"/>
      <c r="UDF95" s="11"/>
      <c r="UDG95" s="11"/>
      <c r="UDH95" s="11"/>
      <c r="UDI95" s="11"/>
      <c r="UDJ95" s="11"/>
      <c r="UDK95" s="11"/>
      <c r="UDL95" s="11"/>
      <c r="UDM95" s="11"/>
      <c r="UDN95" s="11"/>
      <c r="UDO95" s="11"/>
      <c r="UDP95" s="11"/>
      <c r="UDQ95" s="11"/>
      <c r="UDR95" s="11"/>
      <c r="UDS95" s="11"/>
      <c r="UDT95" s="11"/>
      <c r="UDU95" s="11"/>
      <c r="UDV95" s="11"/>
      <c r="UDW95" s="11"/>
      <c r="UDX95" s="11"/>
      <c r="UDY95" s="11"/>
      <c r="UDZ95" s="11"/>
      <c r="UEA95" s="11"/>
      <c r="UEB95" s="11"/>
      <c r="UEC95" s="11"/>
      <c r="UED95" s="11"/>
      <c r="UEE95" s="11"/>
      <c r="UEF95" s="11"/>
      <c r="UEG95" s="11"/>
      <c r="UEH95" s="11"/>
      <c r="UEI95" s="11"/>
      <c r="UEJ95" s="11"/>
      <c r="UEK95" s="11"/>
      <c r="UEL95" s="11"/>
      <c r="UEM95" s="11"/>
      <c r="UEN95" s="11"/>
      <c r="UEO95" s="11"/>
      <c r="UEP95" s="11"/>
      <c r="UEQ95" s="11"/>
      <c r="UER95" s="11"/>
      <c r="UES95" s="11"/>
      <c r="UET95" s="11"/>
      <c r="UEU95" s="11"/>
      <c r="UEV95" s="11"/>
      <c r="UEW95" s="11"/>
      <c r="UEX95" s="11"/>
      <c r="UEY95" s="11"/>
      <c r="UEZ95" s="11"/>
      <c r="UFA95" s="11"/>
      <c r="UFB95" s="11"/>
      <c r="UFC95" s="11"/>
      <c r="UFD95" s="11"/>
      <c r="UFE95" s="11"/>
      <c r="UFF95" s="11"/>
      <c r="UFG95" s="11"/>
      <c r="UFH95" s="11"/>
      <c r="UFI95" s="11"/>
      <c r="UFJ95" s="11"/>
      <c r="UFK95" s="11"/>
      <c r="UFL95" s="11"/>
      <c r="UFM95" s="11"/>
      <c r="UFN95" s="11"/>
      <c r="UFO95" s="11"/>
      <c r="UFP95" s="11"/>
      <c r="UFQ95" s="11"/>
      <c r="UFR95" s="11"/>
      <c r="UFS95" s="11"/>
      <c r="UFT95" s="11"/>
      <c r="UFU95" s="11"/>
      <c r="UFV95" s="11"/>
      <c r="UFW95" s="11"/>
      <c r="UFX95" s="11"/>
      <c r="UFY95" s="11"/>
      <c r="UFZ95" s="11"/>
      <c r="UGA95" s="11"/>
      <c r="UGB95" s="11"/>
      <c r="UGC95" s="11"/>
      <c r="UGD95" s="11"/>
      <c r="UGE95" s="11"/>
      <c r="UGF95" s="11"/>
      <c r="UGG95" s="11"/>
      <c r="UGH95" s="11"/>
      <c r="UGI95" s="11"/>
      <c r="UGJ95" s="11"/>
      <c r="UGK95" s="11"/>
      <c r="UGL95" s="11"/>
      <c r="UGM95" s="11"/>
      <c r="UGN95" s="11"/>
      <c r="UGO95" s="11"/>
      <c r="UGP95" s="11"/>
      <c r="UGQ95" s="11"/>
      <c r="UGR95" s="11"/>
      <c r="UGS95" s="11"/>
      <c r="UGT95" s="11"/>
      <c r="UGU95" s="11"/>
      <c r="UGV95" s="11"/>
      <c r="UGW95" s="11"/>
      <c r="UGX95" s="11"/>
      <c r="UGY95" s="11"/>
      <c r="UGZ95" s="11"/>
      <c r="UHA95" s="11"/>
      <c r="UHB95" s="11"/>
      <c r="UHC95" s="11"/>
      <c r="UHD95" s="11"/>
      <c r="UHE95" s="11"/>
      <c r="UHF95" s="11"/>
      <c r="UHG95" s="11"/>
      <c r="UHH95" s="11"/>
      <c r="UHI95" s="11"/>
      <c r="UHJ95" s="11"/>
      <c r="UHK95" s="11"/>
      <c r="UHL95" s="11"/>
      <c r="UHM95" s="11"/>
      <c r="UHN95" s="11"/>
      <c r="UHO95" s="11"/>
      <c r="UHP95" s="11"/>
      <c r="UHQ95" s="11"/>
      <c r="UHR95" s="11"/>
      <c r="UHS95" s="11"/>
      <c r="UHT95" s="11"/>
      <c r="UHU95" s="11"/>
      <c r="UHV95" s="11"/>
      <c r="UHW95" s="11"/>
      <c r="UHX95" s="11"/>
      <c r="UHY95" s="11"/>
      <c r="UHZ95" s="11"/>
      <c r="UIA95" s="11"/>
      <c r="UIB95" s="11"/>
      <c r="UIC95" s="11"/>
      <c r="UID95" s="11"/>
      <c r="UIE95" s="11"/>
      <c r="UIF95" s="11"/>
      <c r="UIG95" s="11"/>
      <c r="UIH95" s="11"/>
      <c r="UII95" s="11"/>
      <c r="UIJ95" s="11"/>
      <c r="UIK95" s="11"/>
      <c r="UIL95" s="11"/>
      <c r="UIM95" s="11"/>
      <c r="UIN95" s="11"/>
      <c r="UIO95" s="11"/>
      <c r="UIP95" s="11"/>
      <c r="UIQ95" s="11"/>
      <c r="UIR95" s="11"/>
      <c r="UIS95" s="11"/>
      <c r="UIT95" s="11"/>
      <c r="UIU95" s="11"/>
      <c r="UIV95" s="11"/>
      <c r="UIW95" s="11"/>
      <c r="UIX95" s="11"/>
      <c r="UIY95" s="11"/>
      <c r="UIZ95" s="11"/>
      <c r="UJA95" s="11"/>
      <c r="UJB95" s="11"/>
      <c r="UJC95" s="11"/>
      <c r="UJD95" s="11"/>
      <c r="UJE95" s="11"/>
      <c r="UJF95" s="11"/>
      <c r="UJG95" s="11"/>
      <c r="UJH95" s="11"/>
      <c r="UJI95" s="11"/>
      <c r="UJJ95" s="11"/>
      <c r="UJK95" s="11"/>
      <c r="UJL95" s="11"/>
      <c r="UJM95" s="11"/>
      <c r="UJN95" s="11"/>
      <c r="UJO95" s="11"/>
      <c r="UJP95" s="11"/>
      <c r="UJQ95" s="11"/>
      <c r="UJR95" s="11"/>
      <c r="UJS95" s="11"/>
      <c r="UJT95" s="11"/>
      <c r="UJU95" s="11"/>
      <c r="UJV95" s="11"/>
      <c r="UJW95" s="11"/>
      <c r="UJX95" s="11"/>
      <c r="UJY95" s="11"/>
      <c r="UJZ95" s="11"/>
      <c r="UKA95" s="11"/>
      <c r="UKB95" s="11"/>
      <c r="UKC95" s="11"/>
      <c r="UKD95" s="11"/>
      <c r="UKE95" s="11"/>
      <c r="UKF95" s="11"/>
      <c r="UKG95" s="11"/>
      <c r="UKH95" s="11"/>
      <c r="UKI95" s="11"/>
      <c r="UKJ95" s="11"/>
      <c r="UKK95" s="11"/>
      <c r="UKL95" s="11"/>
      <c r="UKM95" s="11"/>
      <c r="UKN95" s="11"/>
      <c r="UKO95" s="11"/>
      <c r="UKP95" s="11"/>
      <c r="UKQ95" s="11"/>
      <c r="UKR95" s="11"/>
      <c r="UKS95" s="11"/>
      <c r="UKT95" s="11"/>
      <c r="UKU95" s="11"/>
      <c r="UKV95" s="11"/>
      <c r="UKW95" s="11"/>
      <c r="UKX95" s="11"/>
      <c r="UKY95" s="11"/>
      <c r="UKZ95" s="11"/>
      <c r="ULA95" s="11"/>
      <c r="ULB95" s="11"/>
      <c r="ULC95" s="11"/>
      <c r="ULD95" s="11"/>
      <c r="ULE95" s="11"/>
      <c r="ULF95" s="11"/>
      <c r="ULG95" s="11"/>
      <c r="ULH95" s="11"/>
      <c r="ULI95" s="11"/>
      <c r="ULJ95" s="11"/>
      <c r="ULK95" s="11"/>
      <c r="ULL95" s="11"/>
      <c r="ULM95" s="11"/>
      <c r="ULN95" s="11"/>
      <c r="ULO95" s="11"/>
      <c r="ULP95" s="11"/>
      <c r="ULQ95" s="11"/>
      <c r="ULR95" s="11"/>
      <c r="ULS95" s="11"/>
      <c r="ULT95" s="11"/>
      <c r="ULU95" s="11"/>
      <c r="ULV95" s="11"/>
      <c r="ULW95" s="11"/>
      <c r="ULX95" s="11"/>
      <c r="ULY95" s="11"/>
      <c r="ULZ95" s="11"/>
      <c r="UMA95" s="11"/>
      <c r="UMB95" s="11"/>
      <c r="UMC95" s="11"/>
      <c r="UMD95" s="11"/>
      <c r="UME95" s="11"/>
      <c r="UMF95" s="11"/>
      <c r="UMG95" s="11"/>
      <c r="UMH95" s="11"/>
      <c r="UMI95" s="11"/>
      <c r="UMJ95" s="11"/>
      <c r="UMK95" s="11"/>
      <c r="UML95" s="11"/>
      <c r="UMM95" s="11"/>
      <c r="UMN95" s="11"/>
      <c r="UMO95" s="11"/>
      <c r="UMP95" s="11"/>
      <c r="UMQ95" s="11"/>
      <c r="UMR95" s="11"/>
      <c r="UMS95" s="11"/>
      <c r="UMT95" s="11"/>
      <c r="UMU95" s="11"/>
      <c r="UMV95" s="11"/>
      <c r="UMW95" s="11"/>
      <c r="UMX95" s="11"/>
      <c r="UMY95" s="11"/>
      <c r="UMZ95" s="11"/>
      <c r="UNA95" s="11"/>
      <c r="UNB95" s="11"/>
      <c r="UNC95" s="11"/>
      <c r="UND95" s="11"/>
      <c r="UNE95" s="11"/>
      <c r="UNF95" s="11"/>
      <c r="UNG95" s="11"/>
      <c r="UNH95" s="11"/>
      <c r="UNI95" s="11"/>
      <c r="UNJ95" s="11"/>
      <c r="UNK95" s="11"/>
      <c r="UNL95" s="11"/>
      <c r="UNM95" s="11"/>
      <c r="UNN95" s="11"/>
      <c r="UNO95" s="11"/>
      <c r="UNP95" s="11"/>
      <c r="UNQ95" s="11"/>
      <c r="UNR95" s="11"/>
      <c r="UNS95" s="11"/>
      <c r="UNT95" s="11"/>
      <c r="UNU95" s="11"/>
      <c r="UNV95" s="11"/>
      <c r="UNW95" s="11"/>
      <c r="UNX95" s="11"/>
      <c r="UNY95" s="11"/>
      <c r="UNZ95" s="11"/>
      <c r="UOA95" s="11"/>
      <c r="UOB95" s="11"/>
      <c r="UOC95" s="11"/>
      <c r="UOD95" s="11"/>
      <c r="UOE95" s="11"/>
      <c r="UOF95" s="11"/>
      <c r="UOG95" s="11"/>
      <c r="UOH95" s="11"/>
      <c r="UOI95" s="11"/>
      <c r="UOJ95" s="11"/>
      <c r="UOK95" s="11"/>
      <c r="UOL95" s="11"/>
      <c r="UOM95" s="11"/>
      <c r="UON95" s="11"/>
      <c r="UOO95" s="11"/>
      <c r="UOP95" s="11"/>
      <c r="UOQ95" s="11"/>
      <c r="UOR95" s="11"/>
      <c r="UOS95" s="11"/>
      <c r="UOT95" s="11"/>
      <c r="UOU95" s="11"/>
      <c r="UOV95" s="11"/>
      <c r="UOW95" s="11"/>
      <c r="UOX95" s="11"/>
      <c r="UOY95" s="11"/>
      <c r="UOZ95" s="11"/>
      <c r="UPA95" s="11"/>
      <c r="UPB95" s="11"/>
      <c r="UPC95" s="11"/>
      <c r="UPD95" s="11"/>
      <c r="UPE95" s="11"/>
      <c r="UPF95" s="11"/>
      <c r="UPG95" s="11"/>
      <c r="UPH95" s="11"/>
      <c r="UPI95" s="11"/>
      <c r="UPJ95" s="11"/>
      <c r="UPK95" s="11"/>
      <c r="UPL95" s="11"/>
      <c r="UPM95" s="11"/>
      <c r="UPN95" s="11"/>
      <c r="UPO95" s="11"/>
      <c r="UPP95" s="11"/>
      <c r="UPQ95" s="11"/>
      <c r="UPR95" s="11"/>
      <c r="UPS95" s="11"/>
      <c r="UPT95" s="11"/>
      <c r="UPU95" s="11"/>
      <c r="UPV95" s="11"/>
      <c r="UPW95" s="11"/>
      <c r="UPX95" s="11"/>
      <c r="UPY95" s="11"/>
      <c r="UPZ95" s="11"/>
      <c r="UQA95" s="11"/>
      <c r="UQB95" s="11"/>
      <c r="UQC95" s="11"/>
      <c r="UQD95" s="11"/>
      <c r="UQE95" s="11"/>
      <c r="UQF95" s="11"/>
      <c r="UQG95" s="11"/>
      <c r="UQH95" s="11"/>
      <c r="UQI95" s="11"/>
      <c r="UQJ95" s="11"/>
      <c r="UQK95" s="11"/>
      <c r="UQL95" s="11"/>
      <c r="UQM95" s="11"/>
      <c r="UQN95" s="11"/>
      <c r="UQO95" s="11"/>
      <c r="UQP95" s="11"/>
      <c r="UQQ95" s="11"/>
      <c r="UQR95" s="11"/>
      <c r="UQS95" s="11"/>
      <c r="UQT95" s="11"/>
      <c r="UQU95" s="11"/>
      <c r="UQV95" s="11"/>
      <c r="UQW95" s="11"/>
      <c r="UQX95" s="11"/>
      <c r="UQY95" s="11"/>
      <c r="UQZ95" s="11"/>
      <c r="URA95" s="11"/>
      <c r="URB95" s="11"/>
      <c r="URC95" s="11"/>
      <c r="URD95" s="11"/>
      <c r="URE95" s="11"/>
      <c r="URF95" s="11"/>
      <c r="URG95" s="11"/>
      <c r="URH95" s="11"/>
      <c r="URI95" s="11"/>
      <c r="URJ95" s="11"/>
      <c r="URK95" s="11"/>
      <c r="URL95" s="11"/>
      <c r="URM95" s="11"/>
      <c r="URN95" s="11"/>
      <c r="URO95" s="11"/>
      <c r="URP95" s="11"/>
      <c r="URQ95" s="11"/>
      <c r="URR95" s="11"/>
      <c r="URS95" s="11"/>
      <c r="URT95" s="11"/>
      <c r="URU95" s="11"/>
      <c r="URV95" s="11"/>
      <c r="URW95" s="11"/>
      <c r="URX95" s="11"/>
      <c r="URY95" s="11"/>
      <c r="URZ95" s="11"/>
      <c r="USA95" s="11"/>
      <c r="USB95" s="11"/>
      <c r="USC95" s="11"/>
      <c r="USD95" s="11"/>
      <c r="USE95" s="11"/>
      <c r="USF95" s="11"/>
      <c r="USG95" s="11"/>
      <c r="USH95" s="11"/>
      <c r="USI95" s="11"/>
      <c r="USJ95" s="11"/>
      <c r="USK95" s="11"/>
      <c r="USL95" s="11"/>
      <c r="USM95" s="11"/>
      <c r="USN95" s="11"/>
      <c r="USO95" s="11"/>
      <c r="USP95" s="11"/>
      <c r="USQ95" s="11"/>
      <c r="USR95" s="11"/>
      <c r="USS95" s="11"/>
      <c r="UST95" s="11"/>
      <c r="USU95" s="11"/>
      <c r="USV95" s="11"/>
      <c r="USW95" s="11"/>
      <c r="USX95" s="11"/>
      <c r="USY95" s="11"/>
      <c r="USZ95" s="11"/>
      <c r="UTA95" s="11"/>
      <c r="UTB95" s="11"/>
      <c r="UTC95" s="11"/>
      <c r="UTD95" s="11"/>
      <c r="UTE95" s="11"/>
      <c r="UTF95" s="11"/>
      <c r="UTG95" s="11"/>
      <c r="UTH95" s="11"/>
      <c r="UTI95" s="11"/>
      <c r="UTJ95" s="11"/>
      <c r="UTK95" s="11"/>
      <c r="UTL95" s="11"/>
      <c r="UTM95" s="11"/>
      <c r="UTN95" s="11"/>
      <c r="UTO95" s="11"/>
      <c r="UTP95" s="11"/>
      <c r="UTQ95" s="11"/>
      <c r="UTR95" s="11"/>
      <c r="UTS95" s="11"/>
      <c r="UTT95" s="11"/>
      <c r="UTU95" s="11"/>
      <c r="UTV95" s="11"/>
      <c r="UTW95" s="11"/>
      <c r="UTX95" s="11"/>
      <c r="UTY95" s="11"/>
      <c r="UTZ95" s="11"/>
      <c r="UUA95" s="11"/>
      <c r="UUB95" s="11"/>
      <c r="UUC95" s="11"/>
      <c r="UUD95" s="11"/>
      <c r="UUE95" s="11"/>
      <c r="UUF95" s="11"/>
      <c r="UUG95" s="11"/>
      <c r="UUH95" s="11"/>
      <c r="UUI95" s="11"/>
      <c r="UUJ95" s="11"/>
      <c r="UUK95" s="11"/>
      <c r="UUL95" s="11"/>
      <c r="UUM95" s="11"/>
      <c r="UUN95" s="11"/>
      <c r="UUO95" s="11"/>
      <c r="UUP95" s="11"/>
      <c r="UUQ95" s="11"/>
      <c r="UUR95" s="11"/>
      <c r="UUS95" s="11"/>
      <c r="UUT95" s="11"/>
      <c r="UUU95" s="11"/>
      <c r="UUV95" s="11"/>
      <c r="UUW95" s="11"/>
      <c r="UUX95" s="11"/>
      <c r="UUY95" s="11"/>
      <c r="UUZ95" s="11"/>
      <c r="UVA95" s="11"/>
      <c r="UVB95" s="11"/>
      <c r="UVC95" s="11"/>
      <c r="UVD95" s="11"/>
      <c r="UVE95" s="11"/>
      <c r="UVF95" s="11"/>
      <c r="UVG95" s="11"/>
      <c r="UVH95" s="11"/>
      <c r="UVI95" s="11"/>
      <c r="UVJ95" s="11"/>
      <c r="UVK95" s="11"/>
      <c r="UVL95" s="11"/>
      <c r="UVM95" s="11"/>
      <c r="UVN95" s="11"/>
      <c r="UVO95" s="11"/>
      <c r="UVP95" s="11"/>
      <c r="UVQ95" s="11"/>
      <c r="UVR95" s="11"/>
      <c r="UVS95" s="11"/>
      <c r="UVT95" s="11"/>
      <c r="UVU95" s="11"/>
      <c r="UVV95" s="11"/>
      <c r="UVW95" s="11"/>
      <c r="UVX95" s="11"/>
      <c r="UVY95" s="11"/>
      <c r="UVZ95" s="11"/>
      <c r="UWA95" s="11"/>
      <c r="UWB95" s="11"/>
      <c r="UWC95" s="11"/>
      <c r="UWD95" s="11"/>
      <c r="UWE95" s="11"/>
      <c r="UWF95" s="11"/>
      <c r="UWG95" s="11"/>
      <c r="UWH95" s="11"/>
      <c r="UWI95" s="11"/>
      <c r="UWJ95" s="11"/>
      <c r="UWK95" s="11"/>
      <c r="UWL95" s="11"/>
      <c r="UWM95" s="11"/>
      <c r="UWN95" s="11"/>
      <c r="UWO95" s="11"/>
      <c r="UWP95" s="11"/>
      <c r="UWQ95" s="11"/>
      <c r="UWR95" s="11"/>
      <c r="UWS95" s="11"/>
      <c r="UWT95" s="11"/>
      <c r="UWU95" s="11"/>
      <c r="UWV95" s="11"/>
      <c r="UWW95" s="11"/>
      <c r="UWX95" s="11"/>
      <c r="UWY95" s="11"/>
      <c r="UWZ95" s="11"/>
      <c r="UXA95" s="11"/>
      <c r="UXB95" s="11"/>
      <c r="UXC95" s="11"/>
      <c r="UXD95" s="11"/>
      <c r="UXE95" s="11"/>
      <c r="UXF95" s="11"/>
      <c r="UXG95" s="11"/>
      <c r="UXH95" s="11"/>
      <c r="UXI95" s="11"/>
      <c r="UXJ95" s="11"/>
      <c r="UXK95" s="11"/>
      <c r="UXL95" s="11"/>
      <c r="UXM95" s="11"/>
      <c r="UXN95" s="11"/>
      <c r="UXO95" s="11"/>
      <c r="UXP95" s="11"/>
      <c r="UXQ95" s="11"/>
      <c r="UXR95" s="11"/>
      <c r="UXS95" s="11"/>
      <c r="UXT95" s="11"/>
      <c r="UXU95" s="11"/>
      <c r="UXV95" s="11"/>
      <c r="UXW95" s="11"/>
      <c r="UXX95" s="11"/>
      <c r="UXY95" s="11"/>
      <c r="UXZ95" s="11"/>
      <c r="UYA95" s="11"/>
      <c r="UYB95" s="11"/>
      <c r="UYC95" s="11"/>
      <c r="UYD95" s="11"/>
      <c r="UYE95" s="11"/>
      <c r="UYF95" s="11"/>
      <c r="UYG95" s="11"/>
      <c r="UYH95" s="11"/>
      <c r="UYI95" s="11"/>
      <c r="UYJ95" s="11"/>
      <c r="UYK95" s="11"/>
      <c r="UYL95" s="11"/>
      <c r="UYM95" s="11"/>
      <c r="UYN95" s="11"/>
      <c r="UYO95" s="11"/>
      <c r="UYP95" s="11"/>
      <c r="UYQ95" s="11"/>
      <c r="UYR95" s="11"/>
      <c r="UYS95" s="11"/>
      <c r="UYT95" s="11"/>
      <c r="UYU95" s="11"/>
      <c r="UYV95" s="11"/>
      <c r="UYW95" s="11"/>
      <c r="UYX95" s="11"/>
      <c r="UYY95" s="11"/>
      <c r="UYZ95" s="11"/>
      <c r="UZA95" s="11"/>
      <c r="UZB95" s="11"/>
      <c r="UZC95" s="11"/>
      <c r="UZD95" s="11"/>
      <c r="UZE95" s="11"/>
      <c r="UZF95" s="11"/>
      <c r="UZG95" s="11"/>
      <c r="UZH95" s="11"/>
      <c r="UZI95" s="11"/>
      <c r="UZJ95" s="11"/>
      <c r="UZK95" s="11"/>
      <c r="UZL95" s="11"/>
      <c r="UZM95" s="11"/>
      <c r="UZN95" s="11"/>
      <c r="UZO95" s="11"/>
      <c r="UZP95" s="11"/>
      <c r="UZQ95" s="11"/>
      <c r="UZR95" s="11"/>
      <c r="UZS95" s="11"/>
      <c r="UZT95" s="11"/>
      <c r="UZU95" s="11"/>
      <c r="UZV95" s="11"/>
      <c r="UZW95" s="11"/>
      <c r="UZX95" s="11"/>
      <c r="UZY95" s="11"/>
      <c r="UZZ95" s="11"/>
      <c r="VAA95" s="11"/>
      <c r="VAB95" s="11"/>
      <c r="VAC95" s="11"/>
      <c r="VAD95" s="11"/>
      <c r="VAE95" s="11"/>
      <c r="VAF95" s="11"/>
      <c r="VAG95" s="11"/>
      <c r="VAH95" s="11"/>
      <c r="VAI95" s="11"/>
      <c r="VAJ95" s="11"/>
      <c r="VAK95" s="11"/>
      <c r="VAL95" s="11"/>
      <c r="VAM95" s="11"/>
      <c r="VAN95" s="11"/>
      <c r="VAO95" s="11"/>
      <c r="VAP95" s="11"/>
      <c r="VAQ95" s="11"/>
      <c r="VAR95" s="11"/>
      <c r="VAS95" s="11"/>
      <c r="VAT95" s="11"/>
      <c r="VAU95" s="11"/>
      <c r="VAV95" s="11"/>
      <c r="VAW95" s="11"/>
      <c r="VAX95" s="11"/>
      <c r="VAY95" s="11"/>
      <c r="VAZ95" s="11"/>
      <c r="VBA95" s="11"/>
      <c r="VBB95" s="11"/>
      <c r="VBC95" s="11"/>
      <c r="VBD95" s="11"/>
      <c r="VBE95" s="11"/>
      <c r="VBF95" s="11"/>
      <c r="VBG95" s="11"/>
      <c r="VBH95" s="11"/>
      <c r="VBI95" s="11"/>
      <c r="VBJ95" s="11"/>
      <c r="VBK95" s="11"/>
      <c r="VBL95" s="11"/>
      <c r="VBM95" s="11"/>
      <c r="VBN95" s="11"/>
      <c r="VBO95" s="11"/>
      <c r="VBP95" s="11"/>
      <c r="VBQ95" s="11"/>
      <c r="VBR95" s="11"/>
      <c r="VBS95" s="11"/>
      <c r="VBT95" s="11"/>
      <c r="VBU95" s="11"/>
      <c r="VBV95" s="11"/>
      <c r="VBW95" s="11"/>
      <c r="VBX95" s="11"/>
      <c r="VBY95" s="11"/>
      <c r="VBZ95" s="11"/>
      <c r="VCA95" s="11"/>
      <c r="VCB95" s="11"/>
      <c r="VCC95" s="11"/>
      <c r="VCD95" s="11"/>
      <c r="VCE95" s="11"/>
      <c r="VCF95" s="11"/>
      <c r="VCG95" s="11"/>
      <c r="VCH95" s="11"/>
      <c r="VCI95" s="11"/>
      <c r="VCJ95" s="11"/>
      <c r="VCK95" s="11"/>
      <c r="VCL95" s="11"/>
      <c r="VCM95" s="11"/>
      <c r="VCN95" s="11"/>
      <c r="VCO95" s="11"/>
      <c r="VCP95" s="11"/>
      <c r="VCQ95" s="11"/>
      <c r="VCR95" s="11"/>
      <c r="VCS95" s="11"/>
      <c r="VCT95" s="11"/>
      <c r="VCU95" s="11"/>
      <c r="VCV95" s="11"/>
      <c r="VCW95" s="11"/>
      <c r="VCX95" s="11"/>
      <c r="VCY95" s="11"/>
      <c r="VCZ95" s="11"/>
      <c r="VDA95" s="11"/>
      <c r="VDB95" s="11"/>
      <c r="VDC95" s="11"/>
      <c r="VDD95" s="11"/>
      <c r="VDE95" s="11"/>
      <c r="VDF95" s="11"/>
      <c r="VDG95" s="11"/>
      <c r="VDH95" s="11"/>
      <c r="VDI95" s="11"/>
      <c r="VDJ95" s="11"/>
      <c r="VDK95" s="11"/>
      <c r="VDL95" s="11"/>
      <c r="VDM95" s="11"/>
      <c r="VDN95" s="11"/>
      <c r="VDO95" s="11"/>
      <c r="VDP95" s="11"/>
      <c r="VDQ95" s="11"/>
      <c r="VDR95" s="11"/>
      <c r="VDS95" s="11"/>
      <c r="VDT95" s="11"/>
      <c r="VDU95" s="11"/>
      <c r="VDV95" s="11"/>
      <c r="VDW95" s="11"/>
      <c r="VDX95" s="11"/>
      <c r="VDY95" s="11"/>
      <c r="VDZ95" s="11"/>
      <c r="VEA95" s="11"/>
      <c r="VEB95" s="11"/>
      <c r="VEC95" s="11"/>
      <c r="VED95" s="11"/>
      <c r="VEE95" s="11"/>
      <c r="VEF95" s="11"/>
      <c r="VEG95" s="11"/>
      <c r="VEH95" s="11"/>
      <c r="VEI95" s="11"/>
      <c r="VEJ95" s="11"/>
      <c r="VEK95" s="11"/>
      <c r="VEL95" s="11"/>
      <c r="VEM95" s="11"/>
      <c r="VEN95" s="11"/>
      <c r="VEO95" s="11"/>
      <c r="VEP95" s="11"/>
      <c r="VEQ95" s="11"/>
      <c r="VER95" s="11"/>
      <c r="VES95" s="11"/>
      <c r="VET95" s="11"/>
      <c r="VEU95" s="11"/>
      <c r="VEV95" s="11"/>
      <c r="VEW95" s="11"/>
      <c r="VEX95" s="11"/>
      <c r="VEY95" s="11"/>
      <c r="VEZ95" s="11"/>
      <c r="VFA95" s="11"/>
      <c r="VFB95" s="11"/>
      <c r="VFC95" s="11"/>
      <c r="VFD95" s="11"/>
      <c r="VFE95" s="11"/>
      <c r="VFF95" s="11"/>
      <c r="VFG95" s="11"/>
      <c r="VFH95" s="11"/>
      <c r="VFI95" s="11"/>
      <c r="VFJ95" s="11"/>
      <c r="VFK95" s="11"/>
      <c r="VFL95" s="11"/>
      <c r="VFM95" s="11"/>
      <c r="VFN95" s="11"/>
      <c r="VFO95" s="11"/>
      <c r="VFP95" s="11"/>
      <c r="VFQ95" s="11"/>
      <c r="VFR95" s="11"/>
      <c r="VFS95" s="11"/>
      <c r="VFT95" s="11"/>
      <c r="VFU95" s="11"/>
      <c r="VFV95" s="11"/>
      <c r="VFW95" s="11"/>
      <c r="VFX95" s="11"/>
      <c r="VFY95" s="11"/>
      <c r="VFZ95" s="11"/>
      <c r="VGA95" s="11"/>
      <c r="VGB95" s="11"/>
      <c r="VGC95" s="11"/>
      <c r="VGD95" s="11"/>
      <c r="VGE95" s="11"/>
      <c r="VGF95" s="11"/>
      <c r="VGG95" s="11"/>
      <c r="VGH95" s="11"/>
      <c r="VGI95" s="11"/>
      <c r="VGJ95" s="11"/>
      <c r="VGK95" s="11"/>
      <c r="VGL95" s="11"/>
      <c r="VGM95" s="11"/>
      <c r="VGN95" s="11"/>
      <c r="VGO95" s="11"/>
      <c r="VGP95" s="11"/>
      <c r="VGQ95" s="11"/>
      <c r="VGR95" s="11"/>
      <c r="VGS95" s="11"/>
      <c r="VGT95" s="11"/>
      <c r="VGU95" s="11"/>
      <c r="VGV95" s="11"/>
      <c r="VGW95" s="11"/>
      <c r="VGX95" s="11"/>
      <c r="VGY95" s="11"/>
      <c r="VGZ95" s="11"/>
      <c r="VHA95" s="11"/>
      <c r="VHB95" s="11"/>
      <c r="VHC95" s="11"/>
      <c r="VHD95" s="11"/>
      <c r="VHE95" s="11"/>
      <c r="VHF95" s="11"/>
      <c r="VHG95" s="11"/>
      <c r="VHH95" s="11"/>
      <c r="VHI95" s="11"/>
      <c r="VHJ95" s="11"/>
      <c r="VHK95" s="11"/>
      <c r="VHL95" s="11"/>
      <c r="VHM95" s="11"/>
      <c r="VHN95" s="11"/>
      <c r="VHO95" s="11"/>
      <c r="VHP95" s="11"/>
      <c r="VHQ95" s="11"/>
      <c r="VHR95" s="11"/>
      <c r="VHS95" s="11"/>
      <c r="VHT95" s="11"/>
      <c r="VHU95" s="11"/>
      <c r="VHV95" s="11"/>
      <c r="VHW95" s="11"/>
      <c r="VHX95" s="11"/>
      <c r="VHY95" s="11"/>
      <c r="VHZ95" s="11"/>
      <c r="VIA95" s="11"/>
      <c r="VIB95" s="11"/>
      <c r="VIC95" s="11"/>
      <c r="VID95" s="11"/>
      <c r="VIE95" s="11"/>
      <c r="VIF95" s="11"/>
      <c r="VIG95" s="11"/>
      <c r="VIH95" s="11"/>
      <c r="VII95" s="11"/>
      <c r="VIJ95" s="11"/>
      <c r="VIK95" s="11"/>
      <c r="VIL95" s="11"/>
      <c r="VIM95" s="11"/>
      <c r="VIN95" s="11"/>
      <c r="VIO95" s="11"/>
      <c r="VIP95" s="11"/>
      <c r="VIQ95" s="11"/>
      <c r="VIR95" s="11"/>
      <c r="VIS95" s="11"/>
      <c r="VIT95" s="11"/>
      <c r="VIU95" s="11"/>
      <c r="VIV95" s="11"/>
      <c r="VIW95" s="11"/>
      <c r="VIX95" s="11"/>
      <c r="VIY95" s="11"/>
      <c r="VIZ95" s="11"/>
      <c r="VJA95" s="11"/>
      <c r="VJB95" s="11"/>
      <c r="VJC95" s="11"/>
      <c r="VJD95" s="11"/>
      <c r="VJE95" s="11"/>
      <c r="VJF95" s="11"/>
      <c r="VJG95" s="11"/>
      <c r="VJH95" s="11"/>
      <c r="VJI95" s="11"/>
      <c r="VJJ95" s="11"/>
      <c r="VJK95" s="11"/>
      <c r="VJL95" s="11"/>
      <c r="VJM95" s="11"/>
      <c r="VJN95" s="11"/>
      <c r="VJO95" s="11"/>
      <c r="VJP95" s="11"/>
      <c r="VJQ95" s="11"/>
      <c r="VJR95" s="11"/>
      <c r="VJS95" s="11"/>
      <c r="VJT95" s="11"/>
      <c r="VJU95" s="11"/>
      <c r="VJV95" s="11"/>
      <c r="VJW95" s="11"/>
      <c r="VJX95" s="11"/>
      <c r="VJY95" s="11"/>
      <c r="VJZ95" s="11"/>
      <c r="VKA95" s="11"/>
      <c r="VKB95" s="11"/>
      <c r="VKC95" s="11"/>
      <c r="VKD95" s="11"/>
      <c r="VKE95" s="11"/>
      <c r="VKF95" s="11"/>
      <c r="VKG95" s="11"/>
      <c r="VKH95" s="11"/>
      <c r="VKI95" s="11"/>
      <c r="VKJ95" s="11"/>
      <c r="VKK95" s="11"/>
      <c r="VKL95" s="11"/>
      <c r="VKM95" s="11"/>
      <c r="VKN95" s="11"/>
      <c r="VKO95" s="11"/>
      <c r="VKP95" s="11"/>
      <c r="VKQ95" s="11"/>
      <c r="VKR95" s="11"/>
      <c r="VKS95" s="11"/>
      <c r="VKT95" s="11"/>
      <c r="VKU95" s="11"/>
      <c r="VKV95" s="11"/>
      <c r="VKW95" s="11"/>
      <c r="VKX95" s="11"/>
      <c r="VKY95" s="11"/>
      <c r="VKZ95" s="11"/>
      <c r="VLA95" s="11"/>
      <c r="VLB95" s="11"/>
      <c r="VLC95" s="11"/>
      <c r="VLD95" s="11"/>
      <c r="VLE95" s="11"/>
      <c r="VLF95" s="11"/>
      <c r="VLG95" s="11"/>
      <c r="VLH95" s="11"/>
      <c r="VLI95" s="11"/>
      <c r="VLJ95" s="11"/>
      <c r="VLK95" s="11"/>
      <c r="VLL95" s="11"/>
      <c r="VLM95" s="11"/>
      <c r="VLN95" s="11"/>
      <c r="VLO95" s="11"/>
      <c r="VLP95" s="11"/>
      <c r="VLQ95" s="11"/>
      <c r="VLR95" s="11"/>
      <c r="VLS95" s="11"/>
      <c r="VLT95" s="11"/>
      <c r="VLU95" s="11"/>
      <c r="VLV95" s="11"/>
      <c r="VLW95" s="11"/>
      <c r="VLX95" s="11"/>
      <c r="VLY95" s="11"/>
      <c r="VLZ95" s="11"/>
      <c r="VMA95" s="11"/>
      <c r="VMB95" s="11"/>
      <c r="VMC95" s="11"/>
      <c r="VMD95" s="11"/>
      <c r="VME95" s="11"/>
      <c r="VMF95" s="11"/>
      <c r="VMG95" s="11"/>
      <c r="VMH95" s="11"/>
      <c r="VMI95" s="11"/>
      <c r="VMJ95" s="11"/>
      <c r="VMK95" s="11"/>
      <c r="VML95" s="11"/>
      <c r="VMM95" s="11"/>
      <c r="VMN95" s="11"/>
      <c r="VMO95" s="11"/>
      <c r="VMP95" s="11"/>
      <c r="VMQ95" s="11"/>
      <c r="VMR95" s="11"/>
      <c r="VMS95" s="11"/>
      <c r="VMT95" s="11"/>
      <c r="VMU95" s="11"/>
      <c r="VMV95" s="11"/>
      <c r="VMW95" s="11"/>
      <c r="VMX95" s="11"/>
      <c r="VMY95" s="11"/>
      <c r="VMZ95" s="11"/>
      <c r="VNA95" s="11"/>
      <c r="VNB95" s="11"/>
      <c r="VNC95" s="11"/>
      <c r="VND95" s="11"/>
      <c r="VNE95" s="11"/>
      <c r="VNF95" s="11"/>
      <c r="VNG95" s="11"/>
      <c r="VNH95" s="11"/>
      <c r="VNI95" s="11"/>
      <c r="VNJ95" s="11"/>
      <c r="VNK95" s="11"/>
      <c r="VNL95" s="11"/>
      <c r="VNM95" s="11"/>
      <c r="VNN95" s="11"/>
      <c r="VNO95" s="11"/>
      <c r="VNP95" s="11"/>
      <c r="VNQ95" s="11"/>
      <c r="VNR95" s="11"/>
      <c r="VNS95" s="11"/>
      <c r="VNT95" s="11"/>
      <c r="VNU95" s="11"/>
      <c r="VNV95" s="11"/>
      <c r="VNW95" s="11"/>
      <c r="VNX95" s="11"/>
      <c r="VNY95" s="11"/>
      <c r="VNZ95" s="11"/>
      <c r="VOA95" s="11"/>
      <c r="VOB95" s="11"/>
      <c r="VOC95" s="11"/>
      <c r="VOD95" s="11"/>
      <c r="VOE95" s="11"/>
      <c r="VOF95" s="11"/>
      <c r="VOG95" s="11"/>
      <c r="VOH95" s="11"/>
      <c r="VOI95" s="11"/>
      <c r="VOJ95" s="11"/>
      <c r="VOK95" s="11"/>
      <c r="VOL95" s="11"/>
      <c r="VOM95" s="11"/>
      <c r="VON95" s="11"/>
      <c r="VOO95" s="11"/>
      <c r="VOP95" s="11"/>
      <c r="VOQ95" s="11"/>
      <c r="VOR95" s="11"/>
      <c r="VOS95" s="11"/>
      <c r="VOT95" s="11"/>
      <c r="VOU95" s="11"/>
      <c r="VOV95" s="11"/>
      <c r="VOW95" s="11"/>
      <c r="VOX95" s="11"/>
      <c r="VOY95" s="11"/>
      <c r="VOZ95" s="11"/>
      <c r="VPA95" s="11"/>
      <c r="VPB95" s="11"/>
      <c r="VPC95" s="11"/>
      <c r="VPD95" s="11"/>
      <c r="VPE95" s="11"/>
      <c r="VPF95" s="11"/>
      <c r="VPG95" s="11"/>
      <c r="VPH95" s="11"/>
      <c r="VPI95" s="11"/>
      <c r="VPJ95" s="11"/>
      <c r="VPK95" s="11"/>
      <c r="VPL95" s="11"/>
      <c r="VPM95" s="11"/>
      <c r="VPN95" s="11"/>
      <c r="VPO95" s="11"/>
      <c r="VPP95" s="11"/>
      <c r="VPQ95" s="11"/>
      <c r="VPR95" s="11"/>
      <c r="VPS95" s="11"/>
      <c r="VPT95" s="11"/>
      <c r="VPU95" s="11"/>
      <c r="VPV95" s="11"/>
      <c r="VPW95" s="11"/>
      <c r="VPX95" s="11"/>
      <c r="VPY95" s="11"/>
      <c r="VPZ95" s="11"/>
      <c r="VQA95" s="11"/>
      <c r="VQB95" s="11"/>
      <c r="VQC95" s="11"/>
      <c r="VQD95" s="11"/>
      <c r="VQE95" s="11"/>
      <c r="VQF95" s="11"/>
      <c r="VQG95" s="11"/>
      <c r="VQH95" s="11"/>
      <c r="VQI95" s="11"/>
      <c r="VQJ95" s="11"/>
      <c r="VQK95" s="11"/>
      <c r="VQL95" s="11"/>
      <c r="VQM95" s="11"/>
      <c r="VQN95" s="11"/>
      <c r="VQO95" s="11"/>
      <c r="VQP95" s="11"/>
      <c r="VQQ95" s="11"/>
      <c r="VQR95" s="11"/>
      <c r="VQS95" s="11"/>
      <c r="VQT95" s="11"/>
      <c r="VQU95" s="11"/>
      <c r="VQV95" s="11"/>
      <c r="VQW95" s="11"/>
      <c r="VQX95" s="11"/>
      <c r="VQY95" s="11"/>
      <c r="VQZ95" s="11"/>
      <c r="VRA95" s="11"/>
      <c r="VRB95" s="11"/>
      <c r="VRC95" s="11"/>
      <c r="VRD95" s="11"/>
      <c r="VRE95" s="11"/>
      <c r="VRF95" s="11"/>
      <c r="VRG95" s="11"/>
      <c r="VRH95" s="11"/>
      <c r="VRI95" s="11"/>
      <c r="VRJ95" s="11"/>
      <c r="VRK95" s="11"/>
      <c r="VRL95" s="11"/>
      <c r="VRM95" s="11"/>
      <c r="VRN95" s="11"/>
      <c r="VRO95" s="11"/>
      <c r="VRP95" s="11"/>
      <c r="VRQ95" s="11"/>
      <c r="VRR95" s="11"/>
      <c r="VRS95" s="11"/>
      <c r="VRT95" s="11"/>
      <c r="VRU95" s="11"/>
      <c r="VRV95" s="11"/>
      <c r="VRW95" s="11"/>
      <c r="VRX95" s="11"/>
      <c r="VRY95" s="11"/>
      <c r="VRZ95" s="11"/>
      <c r="VSA95" s="11"/>
      <c r="VSB95" s="11"/>
      <c r="VSC95" s="11"/>
      <c r="VSD95" s="11"/>
      <c r="VSE95" s="11"/>
      <c r="VSF95" s="11"/>
      <c r="VSG95" s="11"/>
      <c r="VSH95" s="11"/>
      <c r="VSI95" s="11"/>
      <c r="VSJ95" s="11"/>
      <c r="VSK95" s="11"/>
      <c r="VSL95" s="11"/>
      <c r="VSM95" s="11"/>
      <c r="VSN95" s="11"/>
      <c r="VSO95" s="11"/>
      <c r="VSP95" s="11"/>
      <c r="VSQ95" s="11"/>
      <c r="VSR95" s="11"/>
      <c r="VSS95" s="11"/>
      <c r="VST95" s="11"/>
      <c r="VSU95" s="11"/>
      <c r="VSV95" s="11"/>
      <c r="VSW95" s="11"/>
      <c r="VSX95" s="11"/>
      <c r="VSY95" s="11"/>
      <c r="VSZ95" s="11"/>
      <c r="VTA95" s="11"/>
      <c r="VTB95" s="11"/>
      <c r="VTC95" s="11"/>
      <c r="VTD95" s="11"/>
      <c r="VTE95" s="11"/>
      <c r="VTF95" s="11"/>
      <c r="VTG95" s="11"/>
      <c r="VTH95" s="11"/>
      <c r="VTI95" s="11"/>
      <c r="VTJ95" s="11"/>
      <c r="VTK95" s="11"/>
      <c r="VTL95" s="11"/>
      <c r="VTM95" s="11"/>
      <c r="VTN95" s="11"/>
      <c r="VTO95" s="11"/>
      <c r="VTP95" s="11"/>
      <c r="VTQ95" s="11"/>
      <c r="VTR95" s="11"/>
      <c r="VTS95" s="11"/>
      <c r="VTT95" s="11"/>
      <c r="VTU95" s="11"/>
      <c r="VTV95" s="11"/>
      <c r="VTW95" s="11"/>
      <c r="VTX95" s="11"/>
      <c r="VTY95" s="11"/>
      <c r="VTZ95" s="11"/>
      <c r="VUA95" s="11"/>
      <c r="VUB95" s="11"/>
      <c r="VUC95" s="11"/>
      <c r="VUD95" s="11"/>
      <c r="VUE95" s="11"/>
      <c r="VUF95" s="11"/>
      <c r="VUG95" s="11"/>
      <c r="VUH95" s="11"/>
      <c r="VUI95" s="11"/>
      <c r="VUJ95" s="11"/>
      <c r="VUK95" s="11"/>
      <c r="VUL95" s="11"/>
      <c r="VUM95" s="11"/>
      <c r="VUN95" s="11"/>
      <c r="VUO95" s="11"/>
      <c r="VUP95" s="11"/>
      <c r="VUQ95" s="11"/>
      <c r="VUR95" s="11"/>
      <c r="VUS95" s="11"/>
      <c r="VUT95" s="11"/>
      <c r="VUU95" s="11"/>
      <c r="VUV95" s="11"/>
      <c r="VUW95" s="11"/>
      <c r="VUX95" s="11"/>
      <c r="VUY95" s="11"/>
      <c r="VUZ95" s="11"/>
      <c r="VVA95" s="11"/>
      <c r="VVB95" s="11"/>
      <c r="VVC95" s="11"/>
      <c r="VVD95" s="11"/>
      <c r="VVE95" s="11"/>
      <c r="VVF95" s="11"/>
      <c r="VVG95" s="11"/>
      <c r="VVH95" s="11"/>
      <c r="VVI95" s="11"/>
      <c r="VVJ95" s="11"/>
      <c r="VVK95" s="11"/>
      <c r="VVL95" s="11"/>
      <c r="VVM95" s="11"/>
      <c r="VVN95" s="11"/>
      <c r="VVO95" s="11"/>
      <c r="VVP95" s="11"/>
      <c r="VVQ95" s="11"/>
      <c r="VVR95" s="11"/>
      <c r="VVS95" s="11"/>
      <c r="VVT95" s="11"/>
      <c r="VVU95" s="11"/>
      <c r="VVV95" s="11"/>
      <c r="VVW95" s="11"/>
      <c r="VVX95" s="11"/>
      <c r="VVY95" s="11"/>
      <c r="VVZ95" s="11"/>
      <c r="VWA95" s="11"/>
      <c r="VWB95" s="11"/>
      <c r="VWC95" s="11"/>
      <c r="VWD95" s="11"/>
      <c r="VWE95" s="11"/>
      <c r="VWF95" s="11"/>
      <c r="VWG95" s="11"/>
      <c r="VWH95" s="11"/>
      <c r="VWI95" s="11"/>
      <c r="VWJ95" s="11"/>
      <c r="VWK95" s="11"/>
      <c r="VWL95" s="11"/>
      <c r="VWM95" s="11"/>
      <c r="VWN95" s="11"/>
      <c r="VWO95" s="11"/>
      <c r="VWP95" s="11"/>
      <c r="VWQ95" s="11"/>
      <c r="VWR95" s="11"/>
      <c r="VWS95" s="11"/>
      <c r="VWT95" s="11"/>
      <c r="VWU95" s="11"/>
      <c r="VWV95" s="11"/>
      <c r="VWW95" s="11"/>
      <c r="VWX95" s="11"/>
      <c r="VWY95" s="11"/>
      <c r="VWZ95" s="11"/>
      <c r="VXA95" s="11"/>
      <c r="VXB95" s="11"/>
      <c r="VXC95" s="11"/>
      <c r="VXD95" s="11"/>
      <c r="VXE95" s="11"/>
      <c r="VXF95" s="11"/>
      <c r="VXG95" s="11"/>
      <c r="VXH95" s="11"/>
      <c r="VXI95" s="11"/>
      <c r="VXJ95" s="11"/>
      <c r="VXK95" s="11"/>
      <c r="VXL95" s="11"/>
      <c r="VXM95" s="11"/>
      <c r="VXN95" s="11"/>
      <c r="VXO95" s="11"/>
      <c r="VXP95" s="11"/>
      <c r="VXQ95" s="11"/>
      <c r="VXR95" s="11"/>
      <c r="VXS95" s="11"/>
      <c r="VXT95" s="11"/>
      <c r="VXU95" s="11"/>
      <c r="VXV95" s="11"/>
      <c r="VXW95" s="11"/>
      <c r="VXX95" s="11"/>
      <c r="VXY95" s="11"/>
      <c r="VXZ95" s="11"/>
      <c r="VYA95" s="11"/>
      <c r="VYB95" s="11"/>
      <c r="VYC95" s="11"/>
      <c r="VYD95" s="11"/>
      <c r="VYE95" s="11"/>
      <c r="VYF95" s="11"/>
      <c r="VYG95" s="11"/>
      <c r="VYH95" s="11"/>
      <c r="VYI95" s="11"/>
      <c r="VYJ95" s="11"/>
      <c r="VYK95" s="11"/>
      <c r="VYL95" s="11"/>
      <c r="VYM95" s="11"/>
      <c r="VYN95" s="11"/>
      <c r="VYO95" s="11"/>
      <c r="VYP95" s="11"/>
      <c r="VYQ95" s="11"/>
      <c r="VYR95" s="11"/>
      <c r="VYS95" s="11"/>
      <c r="VYT95" s="11"/>
      <c r="VYU95" s="11"/>
      <c r="VYV95" s="11"/>
      <c r="VYW95" s="11"/>
      <c r="VYX95" s="11"/>
      <c r="VYY95" s="11"/>
      <c r="VYZ95" s="11"/>
      <c r="VZA95" s="11"/>
      <c r="VZB95" s="11"/>
      <c r="VZC95" s="11"/>
      <c r="VZD95" s="11"/>
      <c r="VZE95" s="11"/>
      <c r="VZF95" s="11"/>
      <c r="VZG95" s="11"/>
      <c r="VZH95" s="11"/>
      <c r="VZI95" s="11"/>
      <c r="VZJ95" s="11"/>
      <c r="VZK95" s="11"/>
      <c r="VZL95" s="11"/>
      <c r="VZM95" s="11"/>
      <c r="VZN95" s="11"/>
      <c r="VZO95" s="11"/>
      <c r="VZP95" s="11"/>
      <c r="VZQ95" s="11"/>
      <c r="VZR95" s="11"/>
      <c r="VZS95" s="11"/>
      <c r="VZT95" s="11"/>
      <c r="VZU95" s="11"/>
      <c r="VZV95" s="11"/>
      <c r="VZW95" s="11"/>
      <c r="VZX95" s="11"/>
      <c r="VZY95" s="11"/>
      <c r="VZZ95" s="11"/>
      <c r="WAA95" s="11"/>
      <c r="WAB95" s="11"/>
      <c r="WAC95" s="11"/>
      <c r="WAD95" s="11"/>
      <c r="WAE95" s="11"/>
      <c r="WAF95" s="11"/>
      <c r="WAG95" s="11"/>
      <c r="WAH95" s="11"/>
      <c r="WAI95" s="11"/>
      <c r="WAJ95" s="11"/>
      <c r="WAK95" s="11"/>
      <c r="WAL95" s="11"/>
      <c r="WAM95" s="11"/>
      <c r="WAN95" s="11"/>
      <c r="WAO95" s="11"/>
      <c r="WAP95" s="11"/>
      <c r="WAQ95" s="11"/>
      <c r="WAR95" s="11"/>
      <c r="WAS95" s="11"/>
      <c r="WAT95" s="11"/>
      <c r="WAU95" s="11"/>
      <c r="WAV95" s="11"/>
      <c r="WAW95" s="11"/>
      <c r="WAX95" s="11"/>
      <c r="WAY95" s="11"/>
      <c r="WAZ95" s="11"/>
      <c r="WBA95" s="11"/>
      <c r="WBB95" s="11"/>
      <c r="WBC95" s="11"/>
      <c r="WBD95" s="11"/>
      <c r="WBE95" s="11"/>
      <c r="WBF95" s="11"/>
      <c r="WBG95" s="11"/>
      <c r="WBH95" s="11"/>
      <c r="WBI95" s="11"/>
      <c r="WBJ95" s="11"/>
      <c r="WBK95" s="11"/>
      <c r="WBL95" s="11"/>
      <c r="WBM95" s="11"/>
      <c r="WBN95" s="11"/>
      <c r="WBO95" s="11"/>
      <c r="WBP95" s="11"/>
      <c r="WBQ95" s="11"/>
      <c r="WBR95" s="11"/>
      <c r="WBS95" s="11"/>
      <c r="WBT95" s="11"/>
      <c r="WBU95" s="11"/>
      <c r="WBV95" s="11"/>
      <c r="WBW95" s="11"/>
      <c r="WBX95" s="11"/>
      <c r="WBY95" s="11"/>
      <c r="WBZ95" s="11"/>
      <c r="WCA95" s="11"/>
      <c r="WCB95" s="11"/>
      <c r="WCC95" s="11"/>
      <c r="WCD95" s="11"/>
      <c r="WCE95" s="11"/>
      <c r="WCF95" s="11"/>
      <c r="WCG95" s="11"/>
      <c r="WCH95" s="11"/>
      <c r="WCI95" s="11"/>
      <c r="WCJ95" s="11"/>
      <c r="WCK95" s="11"/>
      <c r="WCL95" s="11"/>
      <c r="WCM95" s="11"/>
      <c r="WCN95" s="11"/>
      <c r="WCO95" s="11"/>
      <c r="WCP95" s="11"/>
      <c r="WCQ95" s="11"/>
      <c r="WCR95" s="11"/>
      <c r="WCS95" s="11"/>
      <c r="WCT95" s="11"/>
      <c r="WCU95" s="11"/>
      <c r="WCV95" s="11"/>
      <c r="WCW95" s="11"/>
      <c r="WCX95" s="11"/>
      <c r="WCY95" s="11"/>
      <c r="WCZ95" s="11"/>
      <c r="WDA95" s="11"/>
      <c r="WDB95" s="11"/>
      <c r="WDC95" s="11"/>
      <c r="WDD95" s="11"/>
      <c r="WDE95" s="11"/>
      <c r="WDF95" s="11"/>
      <c r="WDG95" s="11"/>
      <c r="WDH95" s="11"/>
      <c r="WDI95" s="11"/>
      <c r="WDJ95" s="11"/>
      <c r="WDK95" s="11"/>
      <c r="WDL95" s="11"/>
      <c r="WDM95" s="11"/>
      <c r="WDN95" s="11"/>
      <c r="WDO95" s="11"/>
      <c r="WDP95" s="11"/>
      <c r="WDQ95" s="11"/>
      <c r="WDR95" s="11"/>
      <c r="WDS95" s="11"/>
      <c r="WDT95" s="11"/>
      <c r="WDU95" s="11"/>
      <c r="WDV95" s="11"/>
      <c r="WDW95" s="11"/>
      <c r="WDX95" s="11"/>
      <c r="WDY95" s="11"/>
      <c r="WDZ95" s="11"/>
      <c r="WEA95" s="11"/>
      <c r="WEB95" s="11"/>
      <c r="WEC95" s="11"/>
      <c r="WED95" s="11"/>
      <c r="WEE95" s="11"/>
      <c r="WEF95" s="11"/>
      <c r="WEG95" s="11"/>
      <c r="WEH95" s="11"/>
      <c r="WEI95" s="11"/>
      <c r="WEJ95" s="11"/>
      <c r="WEK95" s="11"/>
      <c r="WEL95" s="11"/>
      <c r="WEM95" s="11"/>
      <c r="WEN95" s="11"/>
      <c r="WEO95" s="11"/>
      <c r="WEP95" s="11"/>
      <c r="WEQ95" s="11"/>
      <c r="WER95" s="11"/>
      <c r="WES95" s="11"/>
      <c r="WET95" s="11"/>
      <c r="WEU95" s="11"/>
      <c r="WEV95" s="11"/>
      <c r="WEW95" s="11"/>
      <c r="WEX95" s="11"/>
      <c r="WEY95" s="11"/>
      <c r="WEZ95" s="11"/>
      <c r="WFA95" s="11"/>
      <c r="WFB95" s="11"/>
      <c r="WFC95" s="11"/>
      <c r="WFD95" s="11"/>
      <c r="WFE95" s="11"/>
      <c r="WFF95" s="11"/>
      <c r="WFG95" s="11"/>
      <c r="WFH95" s="11"/>
      <c r="WFI95" s="11"/>
      <c r="WFJ95" s="11"/>
      <c r="WFK95" s="11"/>
      <c r="WFL95" s="11"/>
      <c r="WFM95" s="11"/>
      <c r="WFN95" s="11"/>
      <c r="WFO95" s="11"/>
      <c r="WFP95" s="11"/>
      <c r="WFQ95" s="11"/>
      <c r="WFR95" s="11"/>
      <c r="WFS95" s="11"/>
      <c r="WFT95" s="11"/>
      <c r="WFU95" s="11"/>
      <c r="WFV95" s="11"/>
      <c r="WFW95" s="11"/>
      <c r="WFX95" s="11"/>
      <c r="WFY95" s="11"/>
      <c r="WFZ95" s="11"/>
      <c r="WGA95" s="11"/>
      <c r="WGB95" s="11"/>
      <c r="WGC95" s="11"/>
      <c r="WGD95" s="11"/>
      <c r="WGE95" s="11"/>
      <c r="WGF95" s="11"/>
      <c r="WGG95" s="11"/>
      <c r="WGH95" s="11"/>
      <c r="WGI95" s="11"/>
      <c r="WGJ95" s="11"/>
      <c r="WGK95" s="11"/>
      <c r="WGL95" s="11"/>
      <c r="WGM95" s="11"/>
      <c r="WGN95" s="11"/>
      <c r="WGO95" s="11"/>
      <c r="WGP95" s="11"/>
      <c r="WGQ95" s="11"/>
      <c r="WGR95" s="11"/>
      <c r="WGS95" s="11"/>
      <c r="WGT95" s="11"/>
      <c r="WGU95" s="11"/>
      <c r="WGV95" s="11"/>
      <c r="WGW95" s="11"/>
      <c r="WGX95" s="11"/>
      <c r="WGY95" s="11"/>
      <c r="WGZ95" s="11"/>
      <c r="WHA95" s="11"/>
      <c r="WHB95" s="11"/>
      <c r="WHC95" s="11"/>
      <c r="WHD95" s="11"/>
      <c r="WHE95" s="11"/>
      <c r="WHF95" s="11"/>
      <c r="WHG95" s="11"/>
      <c r="WHH95" s="11"/>
      <c r="WHI95" s="11"/>
      <c r="WHJ95" s="11"/>
      <c r="WHK95" s="11"/>
      <c r="WHL95" s="11"/>
      <c r="WHM95" s="11"/>
      <c r="WHN95" s="11"/>
      <c r="WHO95" s="11"/>
      <c r="WHP95" s="11"/>
      <c r="WHQ95" s="11"/>
      <c r="WHR95" s="11"/>
      <c r="WHS95" s="11"/>
      <c r="WHT95" s="11"/>
      <c r="WHU95" s="11"/>
      <c r="WHV95" s="11"/>
      <c r="WHW95" s="11"/>
      <c r="WHX95" s="11"/>
      <c r="WHY95" s="11"/>
      <c r="WHZ95" s="11"/>
      <c r="WIA95" s="11"/>
      <c r="WIB95" s="11"/>
      <c r="WIC95" s="11"/>
      <c r="WID95" s="11"/>
      <c r="WIE95" s="11"/>
      <c r="WIF95" s="11"/>
      <c r="WIG95" s="11"/>
      <c r="WIH95" s="11"/>
      <c r="WII95" s="11"/>
      <c r="WIJ95" s="11"/>
      <c r="WIK95" s="11"/>
      <c r="WIL95" s="11"/>
      <c r="WIM95" s="11"/>
      <c r="WIN95" s="11"/>
      <c r="WIO95" s="11"/>
      <c r="WIP95" s="11"/>
      <c r="WIQ95" s="11"/>
      <c r="WIR95" s="11"/>
      <c r="WIS95" s="11"/>
      <c r="WIT95" s="11"/>
      <c r="WIU95" s="11"/>
      <c r="WIV95" s="11"/>
      <c r="WIW95" s="11"/>
      <c r="WIX95" s="11"/>
      <c r="WIY95" s="11"/>
      <c r="WIZ95" s="11"/>
      <c r="WJA95" s="11"/>
      <c r="WJB95" s="11"/>
      <c r="WJC95" s="11"/>
      <c r="WJD95" s="11"/>
      <c r="WJE95" s="11"/>
      <c r="WJF95" s="11"/>
      <c r="WJG95" s="11"/>
      <c r="WJH95" s="11"/>
      <c r="WJI95" s="11"/>
      <c r="WJJ95" s="11"/>
      <c r="WJK95" s="11"/>
      <c r="WJL95" s="11"/>
      <c r="WJM95" s="11"/>
      <c r="WJN95" s="11"/>
      <c r="WJO95" s="11"/>
      <c r="WJP95" s="11"/>
      <c r="WJQ95" s="11"/>
      <c r="WJR95" s="11"/>
      <c r="WJS95" s="11"/>
      <c r="WJT95" s="11"/>
      <c r="WJU95" s="11"/>
      <c r="WJV95" s="11"/>
      <c r="WJW95" s="11"/>
      <c r="WJX95" s="11"/>
      <c r="WJY95" s="11"/>
      <c r="WJZ95" s="11"/>
      <c r="WKA95" s="11"/>
      <c r="WKB95" s="11"/>
      <c r="WKC95" s="11"/>
      <c r="WKD95" s="11"/>
      <c r="WKE95" s="11"/>
      <c r="WKF95" s="11"/>
      <c r="WKG95" s="11"/>
      <c r="WKH95" s="11"/>
      <c r="WKI95" s="11"/>
      <c r="WKJ95" s="11"/>
      <c r="WKK95" s="11"/>
      <c r="WKL95" s="11"/>
      <c r="WKM95" s="11"/>
      <c r="WKN95" s="11"/>
      <c r="WKO95" s="11"/>
      <c r="WKP95" s="11"/>
      <c r="WKQ95" s="11"/>
      <c r="WKR95" s="11"/>
      <c r="WKS95" s="11"/>
      <c r="WKT95" s="11"/>
      <c r="WKU95" s="11"/>
      <c r="WKV95" s="11"/>
      <c r="WKW95" s="11"/>
      <c r="WKX95" s="11"/>
      <c r="WKY95" s="11"/>
      <c r="WKZ95" s="11"/>
      <c r="WLA95" s="11"/>
      <c r="WLB95" s="11"/>
      <c r="WLC95" s="11"/>
      <c r="WLD95" s="11"/>
      <c r="WLE95" s="11"/>
      <c r="WLF95" s="11"/>
      <c r="WLG95" s="11"/>
      <c r="WLH95" s="11"/>
      <c r="WLI95" s="11"/>
      <c r="WLJ95" s="11"/>
      <c r="WLK95" s="11"/>
      <c r="WLL95" s="11"/>
      <c r="WLM95" s="11"/>
      <c r="WLN95" s="11"/>
      <c r="WLO95" s="11"/>
      <c r="WLP95" s="11"/>
      <c r="WLQ95" s="11"/>
      <c r="WLR95" s="11"/>
      <c r="WLS95" s="11"/>
      <c r="WLT95" s="11"/>
      <c r="WLU95" s="11"/>
      <c r="WLV95" s="11"/>
      <c r="WLW95" s="11"/>
      <c r="WLX95" s="11"/>
      <c r="WLY95" s="11"/>
      <c r="WLZ95" s="11"/>
      <c r="WMA95" s="11"/>
      <c r="WMB95" s="11"/>
      <c r="WMC95" s="11"/>
      <c r="WMD95" s="11"/>
      <c r="WME95" s="11"/>
      <c r="WMF95" s="11"/>
      <c r="WMG95" s="11"/>
      <c r="WMH95" s="11"/>
      <c r="WMI95" s="11"/>
      <c r="WMJ95" s="11"/>
      <c r="WMK95" s="11"/>
      <c r="WML95" s="11"/>
      <c r="WMM95" s="11"/>
      <c r="WMN95" s="11"/>
      <c r="WMO95" s="11"/>
      <c r="WMP95" s="11"/>
      <c r="WMQ95" s="11"/>
      <c r="WMR95" s="11"/>
      <c r="WMS95" s="11"/>
      <c r="WMT95" s="11"/>
      <c r="WMU95" s="11"/>
      <c r="WMV95" s="11"/>
      <c r="WMW95" s="11"/>
      <c r="WMX95" s="11"/>
      <c r="WMY95" s="11"/>
      <c r="WMZ95" s="11"/>
      <c r="WNA95" s="11"/>
      <c r="WNB95" s="11"/>
      <c r="WNC95" s="11"/>
      <c r="WND95" s="11"/>
      <c r="WNE95" s="11"/>
      <c r="WNF95" s="11"/>
      <c r="WNG95" s="11"/>
      <c r="WNH95" s="11"/>
      <c r="WNI95" s="11"/>
      <c r="WNJ95" s="11"/>
      <c r="WNK95" s="11"/>
      <c r="WNL95" s="11"/>
      <c r="WNM95" s="11"/>
      <c r="WNN95" s="11"/>
      <c r="WNO95" s="11"/>
      <c r="WNP95" s="11"/>
      <c r="WNQ95" s="11"/>
      <c r="WNR95" s="11"/>
      <c r="WNS95" s="11"/>
      <c r="WNT95" s="11"/>
      <c r="WNU95" s="11"/>
      <c r="WNV95" s="11"/>
      <c r="WNW95" s="11"/>
      <c r="WNX95" s="11"/>
      <c r="WNY95" s="11"/>
      <c r="WNZ95" s="11"/>
      <c r="WOA95" s="11"/>
      <c r="WOB95" s="11"/>
      <c r="WOC95" s="11"/>
      <c r="WOD95" s="11"/>
      <c r="WOE95" s="11"/>
      <c r="WOF95" s="11"/>
      <c r="WOG95" s="11"/>
      <c r="WOH95" s="11"/>
      <c r="WOI95" s="11"/>
      <c r="WOJ95" s="11"/>
      <c r="WOK95" s="11"/>
      <c r="WOL95" s="11"/>
      <c r="WOM95" s="11"/>
      <c r="WON95" s="11"/>
      <c r="WOO95" s="11"/>
      <c r="WOP95" s="11"/>
      <c r="WOQ95" s="11"/>
      <c r="WOR95" s="11"/>
      <c r="WOS95" s="11"/>
      <c r="WOT95" s="11"/>
      <c r="WOU95" s="11"/>
      <c r="WOV95" s="11"/>
      <c r="WOW95" s="11"/>
      <c r="WOX95" s="11"/>
      <c r="WOY95" s="11"/>
      <c r="WOZ95" s="11"/>
      <c r="WPA95" s="11"/>
      <c r="WPB95" s="11"/>
      <c r="WPC95" s="11"/>
      <c r="WPD95" s="11"/>
      <c r="WPE95" s="11"/>
      <c r="WPF95" s="11"/>
      <c r="WPG95" s="11"/>
      <c r="WPH95" s="11"/>
      <c r="WPI95" s="11"/>
      <c r="WPJ95" s="11"/>
      <c r="WPK95" s="11"/>
      <c r="WPL95" s="11"/>
      <c r="WPM95" s="11"/>
      <c r="WPN95" s="11"/>
      <c r="WPO95" s="11"/>
      <c r="WPP95" s="11"/>
      <c r="WPQ95" s="11"/>
      <c r="WPR95" s="11"/>
      <c r="WPS95" s="11"/>
      <c r="WPT95" s="11"/>
      <c r="WPU95" s="11"/>
      <c r="WPV95" s="11"/>
      <c r="WPW95" s="11"/>
      <c r="WPX95" s="11"/>
      <c r="WPY95" s="11"/>
      <c r="WPZ95" s="11"/>
      <c r="WQA95" s="11"/>
      <c r="WQB95" s="11"/>
      <c r="WQC95" s="11"/>
      <c r="WQD95" s="11"/>
      <c r="WQE95" s="11"/>
      <c r="WQF95" s="11"/>
      <c r="WQG95" s="11"/>
      <c r="WQH95" s="11"/>
      <c r="WQI95" s="11"/>
      <c r="WQJ95" s="11"/>
      <c r="WQK95" s="11"/>
      <c r="WQL95" s="11"/>
      <c r="WQM95" s="11"/>
      <c r="WQN95" s="11"/>
      <c r="WQO95" s="11"/>
      <c r="WQP95" s="11"/>
      <c r="WQQ95" s="11"/>
      <c r="WQR95" s="11"/>
      <c r="WQS95" s="11"/>
      <c r="WQT95" s="11"/>
      <c r="WQU95" s="11"/>
      <c r="WQV95" s="11"/>
      <c r="WQW95" s="11"/>
      <c r="WQX95" s="11"/>
      <c r="WQY95" s="11"/>
      <c r="WQZ95" s="11"/>
      <c r="WRA95" s="11"/>
      <c r="WRB95" s="11"/>
      <c r="WRC95" s="11"/>
      <c r="WRD95" s="11"/>
      <c r="WRE95" s="11"/>
      <c r="WRF95" s="11"/>
      <c r="WRG95" s="11"/>
      <c r="WRH95" s="11"/>
      <c r="WRI95" s="11"/>
      <c r="WRJ95" s="11"/>
      <c r="WRK95" s="11"/>
      <c r="WRL95" s="11"/>
      <c r="WRM95" s="11"/>
      <c r="WRN95" s="11"/>
      <c r="WRO95" s="11"/>
      <c r="WRP95" s="11"/>
      <c r="WRQ95" s="11"/>
      <c r="WRR95" s="11"/>
      <c r="WRS95" s="11"/>
      <c r="WRT95" s="11"/>
      <c r="WRU95" s="11"/>
      <c r="WRV95" s="11"/>
      <c r="WRW95" s="11"/>
      <c r="WRX95" s="11"/>
      <c r="WRY95" s="11"/>
      <c r="WRZ95" s="11"/>
      <c r="WSA95" s="11"/>
      <c r="WSB95" s="11"/>
      <c r="WSC95" s="11"/>
      <c r="WSD95" s="11"/>
      <c r="WSE95" s="11"/>
      <c r="WSF95" s="11"/>
      <c r="WSG95" s="11"/>
      <c r="WSH95" s="11"/>
      <c r="WSI95" s="11"/>
      <c r="WSJ95" s="11"/>
      <c r="WSK95" s="11"/>
      <c r="WSL95" s="11"/>
      <c r="WSM95" s="11"/>
      <c r="WSN95" s="11"/>
      <c r="WSO95" s="11"/>
      <c r="WSP95" s="11"/>
      <c r="WSQ95" s="11"/>
      <c r="WSR95" s="11"/>
      <c r="WSS95" s="11"/>
      <c r="WST95" s="11"/>
      <c r="WSU95" s="11"/>
      <c r="WSV95" s="11"/>
      <c r="WSW95" s="11"/>
      <c r="WSX95" s="11"/>
      <c r="WSY95" s="11"/>
      <c r="WSZ95" s="11"/>
      <c r="WTA95" s="11"/>
      <c r="WTB95" s="11"/>
      <c r="WTC95" s="11"/>
      <c r="WTD95" s="11"/>
      <c r="WTE95" s="11"/>
      <c r="WTF95" s="11"/>
      <c r="WTG95" s="11"/>
      <c r="WTH95" s="11"/>
      <c r="WTI95" s="11"/>
      <c r="WTJ95" s="11"/>
      <c r="WTK95" s="11"/>
      <c r="WTL95" s="11"/>
      <c r="WTM95" s="11"/>
      <c r="WTN95" s="11"/>
      <c r="WTO95" s="11"/>
      <c r="WTP95" s="11"/>
      <c r="WTQ95" s="11"/>
      <c r="WTR95" s="11"/>
      <c r="WTS95" s="11"/>
      <c r="WTT95" s="11"/>
      <c r="WTU95" s="11"/>
      <c r="WTV95" s="11"/>
      <c r="WTW95" s="11"/>
      <c r="WTX95" s="11"/>
      <c r="WTY95" s="11"/>
      <c r="WTZ95" s="11"/>
      <c r="WUA95" s="11"/>
      <c r="WUB95" s="11"/>
      <c r="WUC95" s="11"/>
      <c r="WUD95" s="11"/>
      <c r="WUE95" s="11"/>
      <c r="WUF95" s="11"/>
      <c r="WUG95" s="11"/>
      <c r="WUH95" s="11"/>
      <c r="WUI95" s="11"/>
      <c r="WUJ95" s="11"/>
      <c r="WUK95" s="11"/>
      <c r="WUL95" s="11"/>
      <c r="WUM95" s="11"/>
      <c r="WUN95" s="11"/>
      <c r="WUO95" s="11"/>
      <c r="WUP95" s="11"/>
      <c r="WUQ95" s="11"/>
      <c r="WUR95" s="11"/>
      <c r="WUS95" s="11"/>
      <c r="WUT95" s="11"/>
      <c r="WUU95" s="11"/>
      <c r="WUV95" s="11"/>
      <c r="WUW95" s="11"/>
      <c r="WUX95" s="11"/>
      <c r="WUY95" s="11"/>
      <c r="WUZ95" s="11"/>
      <c r="WVA95" s="11"/>
      <c r="WVB95" s="11"/>
      <c r="WVC95" s="11"/>
      <c r="WVD95" s="11"/>
      <c r="WVE95" s="11"/>
      <c r="WVF95" s="11"/>
      <c r="WVG95" s="11"/>
      <c r="WVH95" s="11"/>
      <c r="WVI95" s="11"/>
      <c r="WVJ95" s="11"/>
      <c r="WVK95" s="11"/>
      <c r="WVL95" s="11"/>
      <c r="WVM95" s="11"/>
      <c r="WVN95" s="11"/>
      <c r="WVO95" s="11"/>
      <c r="WVP95" s="11"/>
      <c r="WVQ95" s="11"/>
      <c r="WVR95" s="11"/>
      <c r="WVS95" s="11"/>
      <c r="WVT95" s="11"/>
      <c r="WVU95" s="11"/>
      <c r="WVV95" s="11"/>
      <c r="WVW95" s="11"/>
      <c r="WVX95" s="11"/>
      <c r="WVY95" s="11"/>
      <c r="WVZ95" s="11"/>
      <c r="WWA95" s="11"/>
      <c r="WWB95" s="11"/>
      <c r="WWC95" s="11"/>
      <c r="WWD95" s="11"/>
      <c r="WWE95" s="11"/>
      <c r="WWF95" s="11"/>
      <c r="WWG95" s="11"/>
      <c r="WWH95" s="11"/>
      <c r="WWI95" s="11"/>
      <c r="WWJ95" s="11"/>
      <c r="WWK95" s="11"/>
      <c r="WWL95" s="11"/>
      <c r="WWM95" s="11"/>
      <c r="WWN95" s="11"/>
      <c r="WWO95" s="11"/>
      <c r="WWP95" s="11"/>
      <c r="WWQ95" s="11"/>
      <c r="WWR95" s="11"/>
      <c r="WWS95" s="11"/>
      <c r="WWT95" s="11"/>
      <c r="WWU95" s="11"/>
      <c r="WWV95" s="11"/>
      <c r="WWW95" s="11"/>
      <c r="WWX95" s="11"/>
      <c r="WWY95" s="11"/>
      <c r="WWZ95" s="11"/>
      <c r="WXA95" s="11"/>
      <c r="WXB95" s="11"/>
      <c r="WXC95" s="11"/>
      <c r="WXD95" s="11"/>
      <c r="WXE95" s="11"/>
      <c r="WXF95" s="11"/>
      <c r="WXG95" s="11"/>
      <c r="WXH95" s="11"/>
      <c r="WXI95" s="11"/>
      <c r="WXJ95" s="11"/>
      <c r="WXK95" s="11"/>
      <c r="WXL95" s="11"/>
      <c r="WXM95" s="11"/>
      <c r="WXN95" s="11"/>
      <c r="WXO95" s="11"/>
      <c r="WXP95" s="11"/>
      <c r="WXQ95" s="11"/>
      <c r="WXR95" s="11"/>
      <c r="WXS95" s="11"/>
      <c r="WXT95" s="11"/>
      <c r="WXU95" s="11"/>
      <c r="WXV95" s="11"/>
      <c r="WXW95" s="11"/>
      <c r="WXX95" s="11"/>
      <c r="WXY95" s="11"/>
      <c r="WXZ95" s="11"/>
      <c r="WYA95" s="11"/>
      <c r="WYB95" s="11"/>
      <c r="WYC95" s="11"/>
      <c r="WYD95" s="11"/>
      <c r="WYE95" s="11"/>
      <c r="WYF95" s="11"/>
      <c r="WYG95" s="11"/>
      <c r="WYH95" s="11"/>
      <c r="WYI95" s="11"/>
      <c r="WYJ95" s="11"/>
      <c r="WYK95" s="11"/>
      <c r="WYL95" s="11"/>
      <c r="WYM95" s="11"/>
      <c r="WYN95" s="11"/>
      <c r="WYO95" s="11"/>
      <c r="WYP95" s="11"/>
      <c r="WYQ95" s="11"/>
      <c r="WYR95" s="11"/>
      <c r="WYS95" s="11"/>
      <c r="WYT95" s="11"/>
      <c r="WYU95" s="11"/>
      <c r="WYV95" s="11"/>
      <c r="WYW95" s="11"/>
      <c r="WYX95" s="11"/>
      <c r="WYY95" s="11"/>
      <c r="WYZ95" s="11"/>
      <c r="WZA95" s="11"/>
      <c r="WZB95" s="11"/>
      <c r="WZC95" s="11"/>
      <c r="WZD95" s="11"/>
      <c r="WZE95" s="11"/>
      <c r="WZF95" s="11"/>
      <c r="WZG95" s="11"/>
      <c r="WZH95" s="11"/>
      <c r="WZI95" s="11"/>
      <c r="WZJ95" s="11"/>
      <c r="WZK95" s="11"/>
      <c r="WZL95" s="11"/>
      <c r="WZM95" s="11"/>
      <c r="WZN95" s="11"/>
      <c r="WZO95" s="11"/>
      <c r="WZP95" s="11"/>
      <c r="WZQ95" s="11"/>
      <c r="WZR95" s="11"/>
      <c r="WZS95" s="11"/>
      <c r="WZT95" s="11"/>
      <c r="WZU95" s="11"/>
      <c r="WZV95" s="11"/>
      <c r="WZW95" s="11"/>
      <c r="WZX95" s="11"/>
      <c r="WZY95" s="11"/>
      <c r="WZZ95" s="11"/>
      <c r="XAA95" s="11"/>
      <c r="XAB95" s="11"/>
      <c r="XAC95" s="11"/>
      <c r="XAD95" s="11"/>
      <c r="XAE95" s="11"/>
      <c r="XAF95" s="11"/>
      <c r="XAG95" s="11"/>
      <c r="XAH95" s="11"/>
      <c r="XAI95" s="11"/>
      <c r="XAJ95" s="11"/>
      <c r="XAK95" s="11"/>
      <c r="XAL95" s="11"/>
      <c r="XAM95" s="11"/>
      <c r="XAN95" s="11"/>
      <c r="XAO95" s="11"/>
      <c r="XAP95" s="11"/>
      <c r="XAQ95" s="11"/>
      <c r="XAR95" s="11"/>
      <c r="XAS95" s="11"/>
      <c r="XAT95" s="11"/>
      <c r="XAU95" s="11"/>
      <c r="XAV95" s="11"/>
      <c r="XAW95" s="11"/>
      <c r="XAX95" s="11"/>
      <c r="XAY95" s="11"/>
      <c r="XAZ95" s="11"/>
      <c r="XBA95" s="11"/>
      <c r="XBB95" s="11"/>
      <c r="XBC95" s="11"/>
      <c r="XBD95" s="11"/>
      <c r="XBE95" s="11"/>
      <c r="XBF95" s="11"/>
      <c r="XBG95" s="11"/>
      <c r="XBH95" s="11"/>
      <c r="XBI95" s="11"/>
      <c r="XBJ95" s="11"/>
      <c r="XBK95" s="11"/>
      <c r="XBL95" s="11"/>
      <c r="XBM95" s="11"/>
      <c r="XBN95" s="11"/>
      <c r="XBO95" s="11"/>
      <c r="XBP95" s="11"/>
      <c r="XBQ95" s="11"/>
      <c r="XBR95" s="11"/>
      <c r="XBS95" s="11"/>
      <c r="XBT95" s="11"/>
      <c r="XBU95" s="11"/>
      <c r="XBV95" s="11"/>
      <c r="XBW95" s="11"/>
      <c r="XBX95" s="11"/>
      <c r="XBY95" s="11"/>
      <c r="XBZ95" s="11"/>
      <c r="XCA95" s="11"/>
      <c r="XCB95" s="11"/>
      <c r="XCC95" s="11"/>
      <c r="XCD95" s="11"/>
      <c r="XCE95" s="11"/>
      <c r="XCF95" s="11"/>
      <c r="XCG95" s="11"/>
      <c r="XCH95" s="11"/>
      <c r="XCI95" s="11"/>
      <c r="XCJ95" s="11"/>
      <c r="XCK95" s="11"/>
      <c r="XCL95" s="11"/>
      <c r="XCM95" s="11"/>
      <c r="XCN95" s="11"/>
      <c r="XCO95" s="11"/>
      <c r="XCP95" s="11"/>
      <c r="XCQ95" s="11"/>
      <c r="XCR95" s="11"/>
      <c r="XCS95" s="11"/>
      <c r="XCT95" s="11"/>
      <c r="XCU95" s="11"/>
      <c r="XCV95" s="11"/>
      <c r="XCW95" s="11"/>
      <c r="XCX95" s="11"/>
      <c r="XCY95" s="11"/>
      <c r="XCZ95" s="11"/>
      <c r="XDA95" s="11"/>
      <c r="XDB95" s="11"/>
      <c r="XDC95" s="11"/>
      <c r="XDD95" s="11"/>
      <c r="XDE95" s="11"/>
      <c r="XDF95" s="11"/>
      <c r="XDG95" s="11"/>
      <c r="XDH95" s="11"/>
      <c r="XDI95" s="11"/>
      <c r="XDJ95" s="11"/>
      <c r="XDK95" s="11"/>
      <c r="XDL95" s="11"/>
      <c r="XDM95" s="11"/>
      <c r="XDN95" s="11"/>
      <c r="XDO95" s="11"/>
      <c r="XDP95" s="11"/>
      <c r="XDQ95" s="11"/>
      <c r="XDR95" s="11"/>
      <c r="XDS95" s="11"/>
      <c r="XDT95" s="11"/>
      <c r="XDU95" s="11"/>
      <c r="XDV95" s="11"/>
      <c r="XDW95" s="11"/>
      <c r="XDX95" s="11"/>
      <c r="XDY95" s="11"/>
      <c r="XDZ95" s="11"/>
      <c r="XEA95" s="11"/>
      <c r="XEB95" s="11"/>
      <c r="XEC95" s="11"/>
      <c r="XED95" s="11"/>
      <c r="XEE95" s="11"/>
      <c r="XEF95" s="11"/>
      <c r="XEG95" s="11"/>
      <c r="XEH95" s="11"/>
      <c r="XEI95" s="11"/>
      <c r="XEJ95" s="11"/>
      <c r="XEK95" s="11"/>
      <c r="XEL95" s="11"/>
      <c r="XEM95" s="11"/>
      <c r="XEN95" s="11"/>
      <c r="XEO95" s="11"/>
      <c r="XEP95" s="11"/>
      <c r="XEQ95" s="11"/>
      <c r="XER95" s="11"/>
      <c r="XES95" s="11"/>
      <c r="XET95" s="11"/>
      <c r="XEU95" s="11"/>
      <c r="XEV95" s="11"/>
      <c r="XEW95" s="11"/>
      <c r="XEX95" s="11"/>
      <c r="XEY95" s="11"/>
      <c r="XEZ95" s="11"/>
      <c r="XFA95" s="11"/>
      <c r="XFB95" s="11"/>
      <c r="XFC95" s="11"/>
      <c r="XFD95" s="11"/>
    </row>
    <row r="96" spans="1:16384" s="2" customFormat="1" ht="15" hidden="1" customHeight="1" x14ac:dyDescent="0.3">
      <c r="A96" s="11"/>
      <c r="B96" s="42">
        <v>6560500055</v>
      </c>
      <c r="C96" s="20" t="s">
        <v>173</v>
      </c>
      <c r="D96" s="71" t="s">
        <v>18</v>
      </c>
      <c r="E96" s="9">
        <f>+VLOOKUP(B96,'Recepcion de Producto'!$B$4:LF189,317,0)</f>
        <v>152</v>
      </c>
      <c r="F96" s="9">
        <f>+VLOOKUP(B96,'Salida de Producto'!$B$3:AFL189,843,0)</f>
        <v>14</v>
      </c>
      <c r="G96" s="81" t="s">
        <v>35</v>
      </c>
      <c r="H96" s="69">
        <f t="shared" si="20"/>
        <v>138</v>
      </c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12">
        <f>4+9*4</f>
        <v>40</v>
      </c>
      <c r="AK96" s="69"/>
      <c r="AL96" s="88">
        <f>11*4+3</f>
        <v>47</v>
      </c>
      <c r="AM96" s="88">
        <f>11*4+3</f>
        <v>47</v>
      </c>
      <c r="AN96" s="69"/>
      <c r="AO96" s="69"/>
      <c r="AP96" s="69"/>
      <c r="AQ96" s="69">
        <f t="shared" si="21"/>
        <v>134</v>
      </c>
      <c r="AR96" s="69">
        <v>0.20799999999999999</v>
      </c>
      <c r="AS96" s="102">
        <f t="shared" si="15"/>
        <v>27.872</v>
      </c>
      <c r="AT96" s="102">
        <f t="shared" si="16"/>
        <v>24.797153024911029</v>
      </c>
      <c r="AU96" s="46">
        <f>3+1</f>
        <v>4</v>
      </c>
      <c r="AV96" s="46">
        <f>IFERROR(VLOOKUP(B96,'Inventario Profit'!$A$2:$G$235,7,0),0)</f>
        <v>4</v>
      </c>
      <c r="AW96" s="46">
        <f t="shared" si="12"/>
        <v>0</v>
      </c>
      <c r="AX96" s="9" t="s">
        <v>1198</v>
      </c>
      <c r="AY96" s="2">
        <f t="shared" si="13"/>
        <v>0</v>
      </c>
      <c r="AZ96" s="2">
        <f>IFERROR(VLOOKUP(B96,'Inventario Profit'!$A$2:$I$230,9,0),0)</f>
        <v>138</v>
      </c>
      <c r="BA96" s="2">
        <f t="shared" si="14"/>
        <v>0</v>
      </c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  <c r="GS96" s="11"/>
      <c r="GT96" s="11"/>
      <c r="GU96" s="11"/>
      <c r="GV96" s="11"/>
      <c r="GW96" s="11"/>
      <c r="GX96" s="11"/>
      <c r="GY96" s="11"/>
      <c r="GZ96" s="11"/>
      <c r="HA96" s="11"/>
      <c r="HB96" s="11"/>
      <c r="HC96" s="11"/>
      <c r="HD96" s="11"/>
      <c r="HE96" s="11"/>
      <c r="HF96" s="11"/>
      <c r="HG96" s="11"/>
      <c r="HH96" s="11"/>
      <c r="HI96" s="11"/>
      <c r="HJ96" s="11"/>
      <c r="HK96" s="11"/>
      <c r="HL96" s="11"/>
      <c r="HM96" s="11"/>
      <c r="HN96" s="11"/>
      <c r="HO96" s="11"/>
      <c r="HP96" s="11"/>
      <c r="HQ96" s="11"/>
      <c r="HR96" s="11"/>
      <c r="HS96" s="11"/>
      <c r="HT96" s="11"/>
      <c r="HU96" s="11"/>
      <c r="HV96" s="11"/>
      <c r="HW96" s="11"/>
      <c r="HX96" s="11"/>
      <c r="HY96" s="11"/>
      <c r="HZ96" s="11"/>
      <c r="IA96" s="11"/>
      <c r="IB96" s="11"/>
      <c r="IC96" s="11"/>
      <c r="ID96" s="11"/>
      <c r="IE96" s="11"/>
      <c r="IF96" s="11"/>
      <c r="IG96" s="11"/>
      <c r="IH96" s="11"/>
      <c r="II96" s="11"/>
      <c r="IJ96" s="11"/>
      <c r="IK96" s="11"/>
      <c r="IL96" s="11"/>
      <c r="IM96" s="11"/>
      <c r="IN96" s="11"/>
      <c r="IO96" s="11"/>
      <c r="IP96" s="11"/>
      <c r="IQ96" s="11"/>
      <c r="IR96" s="11"/>
      <c r="IS96" s="11"/>
      <c r="IT96" s="11"/>
      <c r="IU96" s="11"/>
      <c r="IV96" s="11"/>
      <c r="IW96" s="11"/>
      <c r="IX96" s="11"/>
      <c r="IY96" s="11"/>
      <c r="IZ96" s="11"/>
      <c r="JA96" s="11"/>
      <c r="JB96" s="11"/>
      <c r="JC96" s="11"/>
      <c r="JD96" s="11"/>
      <c r="JE96" s="11"/>
      <c r="JF96" s="11"/>
      <c r="JG96" s="11"/>
      <c r="JH96" s="11"/>
      <c r="JI96" s="11"/>
      <c r="JJ96" s="11"/>
      <c r="JK96" s="11"/>
      <c r="JL96" s="11"/>
      <c r="JM96" s="11"/>
      <c r="JN96" s="11"/>
      <c r="JO96" s="11"/>
      <c r="JP96" s="11"/>
      <c r="JQ96" s="11"/>
      <c r="JR96" s="11"/>
      <c r="JS96" s="11"/>
      <c r="JT96" s="11"/>
      <c r="JU96" s="11"/>
      <c r="JV96" s="11"/>
      <c r="JW96" s="11"/>
      <c r="JX96" s="11"/>
      <c r="JY96" s="11"/>
      <c r="JZ96" s="11"/>
      <c r="KA96" s="11"/>
      <c r="KB96" s="11"/>
      <c r="KC96" s="11"/>
      <c r="KD96" s="11"/>
      <c r="KE96" s="11"/>
      <c r="KF96" s="11"/>
      <c r="KG96" s="11"/>
      <c r="KH96" s="11"/>
      <c r="KI96" s="11"/>
      <c r="KJ96" s="11"/>
      <c r="KK96" s="11"/>
      <c r="KL96" s="11"/>
      <c r="KM96" s="11"/>
      <c r="KN96" s="11"/>
      <c r="KO96" s="11"/>
      <c r="KP96" s="11"/>
      <c r="KQ96" s="11"/>
      <c r="KR96" s="11"/>
      <c r="KS96" s="11"/>
      <c r="KT96" s="11"/>
      <c r="KU96" s="11"/>
      <c r="KV96" s="11"/>
      <c r="KW96" s="11"/>
      <c r="KX96" s="11"/>
      <c r="KY96" s="11"/>
      <c r="KZ96" s="11"/>
      <c r="LA96" s="11"/>
      <c r="LB96" s="11"/>
      <c r="LC96" s="11"/>
      <c r="LD96" s="11"/>
      <c r="LE96" s="11"/>
      <c r="LF96" s="11"/>
      <c r="LG96" s="11"/>
      <c r="LH96" s="11"/>
      <c r="LI96" s="11"/>
      <c r="LJ96" s="11"/>
      <c r="LK96" s="11"/>
      <c r="LL96" s="11"/>
      <c r="LM96" s="11"/>
      <c r="LN96" s="11"/>
      <c r="LO96" s="11"/>
      <c r="LP96" s="11"/>
      <c r="LQ96" s="11"/>
      <c r="LR96" s="11"/>
      <c r="LS96" s="11"/>
      <c r="LT96" s="11"/>
      <c r="LU96" s="11"/>
      <c r="LV96" s="11"/>
      <c r="LW96" s="11"/>
      <c r="LX96" s="11"/>
      <c r="LY96" s="11"/>
      <c r="LZ96" s="11"/>
      <c r="MA96" s="11"/>
      <c r="MB96" s="11"/>
      <c r="MC96" s="11"/>
      <c r="MD96" s="11"/>
      <c r="ME96" s="11"/>
      <c r="MF96" s="11"/>
      <c r="MG96" s="11"/>
      <c r="MH96" s="11"/>
      <c r="MI96" s="11"/>
      <c r="MJ96" s="11"/>
      <c r="MK96" s="11"/>
      <c r="ML96" s="11"/>
      <c r="MM96" s="11"/>
      <c r="MN96" s="11"/>
      <c r="MO96" s="11"/>
      <c r="MP96" s="11"/>
      <c r="MQ96" s="11"/>
      <c r="MR96" s="11"/>
      <c r="MS96" s="11"/>
      <c r="MT96" s="11"/>
      <c r="MU96" s="11"/>
      <c r="MV96" s="11"/>
      <c r="MW96" s="11"/>
      <c r="MX96" s="11"/>
      <c r="MY96" s="11"/>
      <c r="MZ96" s="11"/>
      <c r="NA96" s="11"/>
      <c r="NB96" s="11"/>
      <c r="NC96" s="11"/>
      <c r="ND96" s="11"/>
      <c r="NE96" s="11"/>
      <c r="NF96" s="11"/>
      <c r="NG96" s="11"/>
      <c r="NH96" s="11"/>
      <c r="NI96" s="11"/>
      <c r="NJ96" s="11"/>
      <c r="NK96" s="11"/>
      <c r="NL96" s="11"/>
      <c r="NM96" s="11"/>
      <c r="NN96" s="11"/>
      <c r="NO96" s="11"/>
      <c r="NP96" s="11"/>
      <c r="NQ96" s="11"/>
      <c r="NR96" s="11"/>
      <c r="NS96" s="11"/>
      <c r="NT96" s="11"/>
      <c r="NU96" s="11"/>
      <c r="NV96" s="11"/>
      <c r="NW96" s="11"/>
      <c r="NX96" s="11"/>
      <c r="NY96" s="11"/>
      <c r="NZ96" s="11"/>
      <c r="OA96" s="11"/>
      <c r="OB96" s="11"/>
      <c r="OC96" s="11"/>
      <c r="OD96" s="11"/>
      <c r="OE96" s="11"/>
      <c r="OF96" s="11"/>
      <c r="OG96" s="11"/>
      <c r="OH96" s="11"/>
      <c r="OI96" s="11"/>
      <c r="OJ96" s="11"/>
      <c r="OK96" s="11"/>
      <c r="OL96" s="11"/>
      <c r="OM96" s="11"/>
      <c r="ON96" s="11"/>
      <c r="OO96" s="11"/>
      <c r="OP96" s="11"/>
      <c r="OQ96" s="11"/>
      <c r="OR96" s="11"/>
      <c r="OS96" s="11"/>
      <c r="OT96" s="11"/>
      <c r="OU96" s="11"/>
      <c r="OV96" s="11"/>
      <c r="OW96" s="11"/>
      <c r="OX96" s="11"/>
      <c r="OY96" s="11"/>
      <c r="OZ96" s="11"/>
      <c r="PA96" s="11"/>
      <c r="PB96" s="11"/>
      <c r="PC96" s="11"/>
      <c r="PD96" s="11"/>
      <c r="PE96" s="11"/>
      <c r="PF96" s="11"/>
      <c r="PG96" s="11"/>
      <c r="PH96" s="11"/>
      <c r="PI96" s="11"/>
      <c r="PJ96" s="11"/>
      <c r="PK96" s="11"/>
      <c r="PL96" s="11"/>
      <c r="PM96" s="11"/>
      <c r="PN96" s="11"/>
      <c r="PO96" s="11"/>
      <c r="PP96" s="11"/>
      <c r="PQ96" s="11"/>
      <c r="PR96" s="11"/>
      <c r="PS96" s="11"/>
      <c r="PT96" s="11"/>
      <c r="PU96" s="11"/>
      <c r="PV96" s="11"/>
      <c r="PW96" s="11"/>
      <c r="PX96" s="11"/>
      <c r="PY96" s="11"/>
      <c r="PZ96" s="11"/>
      <c r="QA96" s="11"/>
      <c r="QB96" s="11"/>
      <c r="QC96" s="11"/>
      <c r="QD96" s="11"/>
      <c r="QE96" s="11"/>
      <c r="QF96" s="11"/>
      <c r="QG96" s="11"/>
      <c r="QH96" s="11"/>
      <c r="QI96" s="11"/>
      <c r="QJ96" s="11"/>
      <c r="QK96" s="11"/>
      <c r="QL96" s="11"/>
      <c r="QM96" s="11"/>
      <c r="QN96" s="11"/>
      <c r="QO96" s="11"/>
      <c r="QP96" s="11"/>
      <c r="QQ96" s="11"/>
      <c r="QR96" s="11"/>
      <c r="QS96" s="11"/>
      <c r="QT96" s="11"/>
      <c r="QU96" s="11"/>
      <c r="QV96" s="11"/>
      <c r="QW96" s="11"/>
      <c r="QX96" s="11"/>
      <c r="QY96" s="11"/>
      <c r="QZ96" s="11"/>
      <c r="RA96" s="11"/>
      <c r="RB96" s="11"/>
      <c r="RC96" s="11"/>
      <c r="RD96" s="11"/>
      <c r="RE96" s="11"/>
      <c r="RF96" s="11"/>
      <c r="RG96" s="11"/>
      <c r="RH96" s="11"/>
      <c r="RI96" s="11"/>
      <c r="RJ96" s="11"/>
      <c r="RK96" s="11"/>
      <c r="RL96" s="11"/>
      <c r="RM96" s="11"/>
      <c r="RN96" s="11"/>
      <c r="RO96" s="11"/>
      <c r="RP96" s="11"/>
      <c r="RQ96" s="11"/>
      <c r="RR96" s="11"/>
      <c r="RS96" s="11"/>
      <c r="RT96" s="11"/>
      <c r="RU96" s="11"/>
      <c r="RV96" s="11"/>
      <c r="RW96" s="11"/>
      <c r="RX96" s="11"/>
      <c r="RY96" s="11"/>
      <c r="RZ96" s="11"/>
      <c r="SA96" s="11"/>
      <c r="SB96" s="11"/>
      <c r="SC96" s="11"/>
      <c r="SD96" s="11"/>
      <c r="SE96" s="11"/>
      <c r="SF96" s="11"/>
      <c r="SG96" s="11"/>
      <c r="SH96" s="11"/>
      <c r="SI96" s="11"/>
      <c r="SJ96" s="11"/>
      <c r="SK96" s="11"/>
      <c r="SL96" s="11"/>
      <c r="SM96" s="11"/>
      <c r="SN96" s="11"/>
      <c r="SO96" s="11"/>
      <c r="SP96" s="11"/>
      <c r="SQ96" s="11"/>
      <c r="SR96" s="11"/>
      <c r="SS96" s="11"/>
      <c r="ST96" s="11"/>
      <c r="SU96" s="11"/>
      <c r="SV96" s="11"/>
      <c r="SW96" s="11"/>
      <c r="SX96" s="11"/>
      <c r="SY96" s="11"/>
      <c r="SZ96" s="11"/>
      <c r="TA96" s="11"/>
      <c r="TB96" s="11"/>
      <c r="TC96" s="11"/>
      <c r="TD96" s="11"/>
      <c r="TE96" s="11"/>
      <c r="TF96" s="11"/>
      <c r="TG96" s="11"/>
      <c r="TH96" s="11"/>
      <c r="TI96" s="11"/>
      <c r="TJ96" s="11"/>
      <c r="TK96" s="11"/>
      <c r="TL96" s="11"/>
      <c r="TM96" s="11"/>
      <c r="TN96" s="11"/>
      <c r="TO96" s="11"/>
      <c r="TP96" s="11"/>
      <c r="TQ96" s="11"/>
      <c r="TR96" s="11"/>
      <c r="TS96" s="11"/>
      <c r="TT96" s="11"/>
      <c r="TU96" s="11"/>
      <c r="TV96" s="11"/>
      <c r="TW96" s="11"/>
      <c r="TX96" s="11"/>
      <c r="TY96" s="11"/>
      <c r="TZ96" s="11"/>
      <c r="UA96" s="11"/>
      <c r="UB96" s="11"/>
      <c r="UC96" s="11"/>
      <c r="UD96" s="11"/>
      <c r="UE96" s="11"/>
      <c r="UF96" s="11"/>
      <c r="UG96" s="11"/>
      <c r="UH96" s="11"/>
      <c r="UI96" s="11"/>
      <c r="UJ96" s="11"/>
      <c r="UK96" s="11"/>
      <c r="UL96" s="11"/>
      <c r="UM96" s="11"/>
      <c r="UN96" s="11"/>
      <c r="UO96" s="11"/>
      <c r="UP96" s="11"/>
      <c r="UQ96" s="11"/>
      <c r="UR96" s="11"/>
      <c r="US96" s="11"/>
      <c r="UT96" s="11"/>
      <c r="UU96" s="11"/>
      <c r="UV96" s="11"/>
      <c r="UW96" s="11"/>
      <c r="UX96" s="11"/>
      <c r="UY96" s="11"/>
      <c r="UZ96" s="11"/>
      <c r="VA96" s="11"/>
      <c r="VB96" s="11"/>
      <c r="VC96" s="11"/>
      <c r="VD96" s="11"/>
      <c r="VE96" s="11"/>
      <c r="VF96" s="11"/>
      <c r="VG96" s="11"/>
      <c r="VH96" s="11"/>
      <c r="VI96" s="11"/>
      <c r="VJ96" s="11"/>
      <c r="VK96" s="11"/>
      <c r="VL96" s="11"/>
      <c r="VM96" s="11"/>
      <c r="VN96" s="11"/>
      <c r="VO96" s="11"/>
      <c r="VP96" s="11"/>
      <c r="VQ96" s="11"/>
      <c r="VR96" s="11"/>
      <c r="VS96" s="11"/>
      <c r="VT96" s="11"/>
      <c r="VU96" s="11"/>
      <c r="VV96" s="11"/>
      <c r="VW96" s="11"/>
      <c r="VX96" s="11"/>
      <c r="VY96" s="11"/>
      <c r="VZ96" s="11"/>
      <c r="WA96" s="11"/>
      <c r="WB96" s="11"/>
      <c r="WC96" s="11"/>
      <c r="WD96" s="11"/>
      <c r="WE96" s="11"/>
      <c r="WF96" s="11"/>
      <c r="WG96" s="11"/>
      <c r="WH96" s="11"/>
      <c r="WI96" s="11"/>
      <c r="WJ96" s="11"/>
      <c r="WK96" s="11"/>
      <c r="WL96" s="11"/>
      <c r="WM96" s="11"/>
      <c r="WN96" s="11"/>
      <c r="WO96" s="11"/>
      <c r="WP96" s="11"/>
      <c r="WQ96" s="11"/>
      <c r="WR96" s="11"/>
      <c r="WS96" s="11"/>
      <c r="WT96" s="11"/>
      <c r="WU96" s="11"/>
      <c r="WV96" s="11"/>
      <c r="WW96" s="11"/>
      <c r="WX96" s="11"/>
      <c r="WY96" s="11"/>
      <c r="WZ96" s="11"/>
      <c r="XA96" s="11"/>
      <c r="XB96" s="11"/>
      <c r="XC96" s="11"/>
      <c r="XD96" s="11"/>
      <c r="XE96" s="11"/>
      <c r="XF96" s="11"/>
      <c r="XG96" s="11"/>
      <c r="XH96" s="11"/>
      <c r="XI96" s="11"/>
      <c r="XJ96" s="11"/>
      <c r="XK96" s="11"/>
      <c r="XL96" s="11"/>
      <c r="XM96" s="11"/>
      <c r="XN96" s="11"/>
      <c r="XO96" s="11"/>
      <c r="XP96" s="11"/>
      <c r="XQ96" s="11"/>
      <c r="XR96" s="11"/>
      <c r="XS96" s="11"/>
      <c r="XT96" s="11"/>
      <c r="XU96" s="11"/>
      <c r="XV96" s="11"/>
      <c r="XW96" s="11"/>
      <c r="XX96" s="11"/>
      <c r="XY96" s="11"/>
      <c r="XZ96" s="11"/>
      <c r="YA96" s="11"/>
      <c r="YB96" s="11"/>
      <c r="YC96" s="11"/>
      <c r="YD96" s="11"/>
      <c r="YE96" s="11"/>
      <c r="YF96" s="11"/>
      <c r="YG96" s="11"/>
      <c r="YH96" s="11"/>
      <c r="YI96" s="11"/>
      <c r="YJ96" s="11"/>
      <c r="YK96" s="11"/>
      <c r="YL96" s="11"/>
      <c r="YM96" s="11"/>
      <c r="YN96" s="11"/>
      <c r="YO96" s="11"/>
      <c r="YP96" s="11"/>
      <c r="YQ96" s="11"/>
      <c r="YR96" s="11"/>
      <c r="YS96" s="11"/>
      <c r="YT96" s="11"/>
      <c r="YU96" s="11"/>
      <c r="YV96" s="11"/>
      <c r="YW96" s="11"/>
      <c r="YX96" s="11"/>
      <c r="YY96" s="11"/>
      <c r="YZ96" s="11"/>
      <c r="ZA96" s="11"/>
      <c r="ZB96" s="11"/>
      <c r="ZC96" s="11"/>
      <c r="ZD96" s="11"/>
      <c r="ZE96" s="11"/>
      <c r="ZF96" s="11"/>
      <c r="ZG96" s="11"/>
      <c r="ZH96" s="11"/>
      <c r="ZI96" s="11"/>
      <c r="ZJ96" s="11"/>
      <c r="ZK96" s="11"/>
      <c r="ZL96" s="11"/>
      <c r="ZM96" s="11"/>
      <c r="ZN96" s="11"/>
      <c r="ZO96" s="11"/>
      <c r="ZP96" s="11"/>
      <c r="ZQ96" s="11"/>
      <c r="ZR96" s="11"/>
      <c r="ZS96" s="11"/>
      <c r="ZT96" s="11"/>
      <c r="ZU96" s="11"/>
      <c r="ZV96" s="11"/>
      <c r="ZW96" s="11"/>
      <c r="ZX96" s="11"/>
      <c r="ZY96" s="11"/>
      <c r="ZZ96" s="11"/>
      <c r="AAA96" s="11"/>
      <c r="AAB96" s="11"/>
      <c r="AAC96" s="11"/>
      <c r="AAD96" s="11"/>
      <c r="AAE96" s="11"/>
      <c r="AAF96" s="11"/>
      <c r="AAG96" s="11"/>
      <c r="AAH96" s="11"/>
      <c r="AAI96" s="11"/>
      <c r="AAJ96" s="11"/>
      <c r="AAK96" s="11"/>
      <c r="AAL96" s="11"/>
      <c r="AAM96" s="11"/>
      <c r="AAN96" s="11"/>
      <c r="AAO96" s="11"/>
      <c r="AAP96" s="11"/>
      <c r="AAQ96" s="11"/>
      <c r="AAR96" s="11"/>
      <c r="AAS96" s="11"/>
      <c r="AAT96" s="11"/>
      <c r="AAU96" s="11"/>
      <c r="AAV96" s="11"/>
      <c r="AAW96" s="11"/>
      <c r="AAX96" s="11"/>
      <c r="AAY96" s="11"/>
      <c r="AAZ96" s="11"/>
      <c r="ABA96" s="11"/>
      <c r="ABB96" s="11"/>
      <c r="ABC96" s="11"/>
      <c r="ABD96" s="11"/>
      <c r="ABE96" s="11"/>
      <c r="ABF96" s="11"/>
      <c r="ABG96" s="11"/>
      <c r="ABH96" s="11"/>
      <c r="ABI96" s="11"/>
      <c r="ABJ96" s="11"/>
      <c r="ABK96" s="11"/>
      <c r="ABL96" s="11"/>
      <c r="ABM96" s="11"/>
      <c r="ABN96" s="11"/>
      <c r="ABO96" s="11"/>
      <c r="ABP96" s="11"/>
      <c r="ABQ96" s="11"/>
      <c r="ABR96" s="11"/>
      <c r="ABS96" s="11"/>
      <c r="ABT96" s="11"/>
      <c r="ABU96" s="11"/>
      <c r="ABV96" s="11"/>
      <c r="ABW96" s="11"/>
      <c r="ABX96" s="11"/>
      <c r="ABY96" s="11"/>
      <c r="ABZ96" s="11"/>
      <c r="ACA96" s="11"/>
      <c r="ACB96" s="11"/>
      <c r="ACC96" s="11"/>
      <c r="ACD96" s="11"/>
      <c r="ACE96" s="11"/>
      <c r="ACF96" s="11"/>
      <c r="ACG96" s="11"/>
      <c r="ACH96" s="11"/>
      <c r="ACI96" s="11"/>
      <c r="ACJ96" s="11"/>
      <c r="ACK96" s="11"/>
      <c r="ACL96" s="11"/>
      <c r="ACM96" s="11"/>
      <c r="ACN96" s="11"/>
      <c r="ACO96" s="11"/>
      <c r="ACP96" s="11"/>
      <c r="ACQ96" s="11"/>
      <c r="ACR96" s="11"/>
      <c r="ACS96" s="11"/>
      <c r="ACT96" s="11"/>
      <c r="ACU96" s="11"/>
      <c r="ACV96" s="11"/>
      <c r="ACW96" s="11"/>
      <c r="ACX96" s="11"/>
      <c r="ACY96" s="11"/>
      <c r="ACZ96" s="11"/>
      <c r="ADA96" s="11"/>
      <c r="ADB96" s="11"/>
      <c r="ADC96" s="11"/>
      <c r="ADD96" s="11"/>
      <c r="ADE96" s="11"/>
      <c r="ADF96" s="11"/>
      <c r="ADG96" s="11"/>
      <c r="ADH96" s="11"/>
      <c r="ADI96" s="11"/>
      <c r="ADJ96" s="11"/>
      <c r="ADK96" s="11"/>
      <c r="ADL96" s="11"/>
      <c r="ADM96" s="11"/>
      <c r="ADN96" s="11"/>
      <c r="ADO96" s="11"/>
      <c r="ADP96" s="11"/>
      <c r="ADQ96" s="11"/>
      <c r="ADR96" s="11"/>
      <c r="ADS96" s="11"/>
      <c r="ADT96" s="11"/>
      <c r="ADU96" s="11"/>
      <c r="ADV96" s="11"/>
      <c r="ADW96" s="11"/>
      <c r="ADX96" s="11"/>
      <c r="ADY96" s="11"/>
      <c r="ADZ96" s="11"/>
      <c r="AEA96" s="11"/>
      <c r="AEB96" s="11"/>
      <c r="AEC96" s="11"/>
      <c r="AED96" s="11"/>
      <c r="AEE96" s="11"/>
      <c r="AEF96" s="11"/>
      <c r="AEG96" s="11"/>
      <c r="AEH96" s="11"/>
      <c r="AEI96" s="11"/>
      <c r="AEJ96" s="11"/>
      <c r="AEK96" s="11"/>
      <c r="AEL96" s="11"/>
      <c r="AEM96" s="11"/>
      <c r="AEN96" s="11"/>
      <c r="AEO96" s="11"/>
      <c r="AEP96" s="11"/>
      <c r="AEQ96" s="11"/>
      <c r="AER96" s="11"/>
      <c r="AES96" s="11"/>
      <c r="AET96" s="11"/>
      <c r="AEU96" s="11"/>
      <c r="AEV96" s="11"/>
      <c r="AEW96" s="11"/>
      <c r="AEX96" s="11"/>
      <c r="AEY96" s="11"/>
      <c r="AEZ96" s="11"/>
      <c r="AFA96" s="11"/>
      <c r="AFB96" s="11"/>
      <c r="AFC96" s="11"/>
      <c r="AFD96" s="11"/>
      <c r="AFE96" s="11"/>
      <c r="AFF96" s="11"/>
      <c r="AFG96" s="11"/>
      <c r="AFH96" s="11"/>
      <c r="AFI96" s="11"/>
      <c r="AFJ96" s="11"/>
      <c r="AFK96" s="11"/>
      <c r="AFL96" s="11"/>
      <c r="AFM96" s="11"/>
      <c r="AFN96" s="11"/>
      <c r="AFO96" s="11"/>
      <c r="AFP96" s="11"/>
      <c r="AFQ96" s="11"/>
      <c r="AFR96" s="11"/>
      <c r="AFS96" s="11"/>
      <c r="AFT96" s="11"/>
      <c r="AFU96" s="11"/>
      <c r="AFV96" s="11"/>
      <c r="AFW96" s="11"/>
      <c r="AFX96" s="11"/>
      <c r="AFY96" s="11"/>
      <c r="AFZ96" s="11"/>
      <c r="AGA96" s="11"/>
      <c r="AGB96" s="11"/>
      <c r="AGC96" s="11"/>
      <c r="AGD96" s="11"/>
      <c r="AGE96" s="11"/>
      <c r="AGF96" s="11"/>
      <c r="AGG96" s="11"/>
      <c r="AGH96" s="11"/>
      <c r="AGI96" s="11"/>
      <c r="AGJ96" s="11"/>
      <c r="AGK96" s="11"/>
      <c r="AGL96" s="11"/>
      <c r="AGM96" s="11"/>
      <c r="AGN96" s="11"/>
      <c r="AGO96" s="11"/>
      <c r="AGP96" s="11"/>
      <c r="AGQ96" s="11"/>
      <c r="AGR96" s="11"/>
      <c r="AGS96" s="11"/>
      <c r="AGT96" s="11"/>
      <c r="AGU96" s="11"/>
      <c r="AGV96" s="11"/>
      <c r="AGW96" s="11"/>
      <c r="AGX96" s="11"/>
      <c r="AGY96" s="11"/>
      <c r="AGZ96" s="11"/>
      <c r="AHA96" s="11"/>
      <c r="AHB96" s="11"/>
      <c r="AHC96" s="11"/>
      <c r="AHD96" s="11"/>
      <c r="AHE96" s="11"/>
      <c r="AHF96" s="11"/>
      <c r="AHG96" s="11"/>
      <c r="AHH96" s="11"/>
      <c r="AHI96" s="11"/>
      <c r="AHJ96" s="11"/>
      <c r="AHK96" s="11"/>
      <c r="AHL96" s="11"/>
      <c r="AHM96" s="11"/>
      <c r="AHN96" s="11"/>
      <c r="AHO96" s="11"/>
      <c r="AHP96" s="11"/>
      <c r="AHQ96" s="11"/>
      <c r="AHR96" s="11"/>
      <c r="AHS96" s="11"/>
      <c r="AHT96" s="11"/>
      <c r="AHU96" s="11"/>
      <c r="AHV96" s="11"/>
      <c r="AHW96" s="11"/>
      <c r="AHX96" s="11"/>
      <c r="AHY96" s="11"/>
      <c r="AHZ96" s="11"/>
      <c r="AIA96" s="11"/>
      <c r="AIB96" s="11"/>
      <c r="AIC96" s="11"/>
      <c r="AID96" s="11"/>
      <c r="AIE96" s="11"/>
      <c r="AIF96" s="11"/>
      <c r="AIG96" s="11"/>
      <c r="AIH96" s="11"/>
      <c r="AII96" s="11"/>
      <c r="AIJ96" s="11"/>
      <c r="AIK96" s="11"/>
      <c r="AIL96" s="11"/>
      <c r="AIM96" s="11"/>
      <c r="AIN96" s="11"/>
      <c r="AIO96" s="11"/>
      <c r="AIP96" s="11"/>
      <c r="AIQ96" s="11"/>
      <c r="AIR96" s="11"/>
      <c r="AIS96" s="11"/>
      <c r="AIT96" s="11"/>
      <c r="AIU96" s="11"/>
      <c r="AIV96" s="11"/>
      <c r="AIW96" s="11"/>
      <c r="AIX96" s="11"/>
      <c r="AIY96" s="11"/>
      <c r="AIZ96" s="11"/>
      <c r="AJA96" s="11"/>
      <c r="AJB96" s="11"/>
      <c r="AJC96" s="11"/>
      <c r="AJD96" s="11"/>
      <c r="AJE96" s="11"/>
      <c r="AJF96" s="11"/>
      <c r="AJG96" s="11"/>
      <c r="AJH96" s="11"/>
      <c r="AJI96" s="11"/>
      <c r="AJJ96" s="11"/>
      <c r="AJK96" s="11"/>
      <c r="AJL96" s="11"/>
      <c r="AJM96" s="11"/>
      <c r="AJN96" s="11"/>
      <c r="AJO96" s="11"/>
      <c r="AJP96" s="11"/>
      <c r="AJQ96" s="11"/>
      <c r="AJR96" s="11"/>
      <c r="AJS96" s="11"/>
      <c r="AJT96" s="11"/>
      <c r="AJU96" s="11"/>
      <c r="AJV96" s="11"/>
      <c r="AJW96" s="11"/>
      <c r="AJX96" s="11"/>
      <c r="AJY96" s="11"/>
      <c r="AJZ96" s="11"/>
      <c r="AKA96" s="11"/>
      <c r="AKB96" s="11"/>
      <c r="AKC96" s="11"/>
      <c r="AKD96" s="11"/>
      <c r="AKE96" s="11"/>
      <c r="AKF96" s="11"/>
      <c r="AKG96" s="11"/>
      <c r="AKH96" s="11"/>
      <c r="AKI96" s="11"/>
      <c r="AKJ96" s="11"/>
      <c r="AKK96" s="11"/>
      <c r="AKL96" s="11"/>
      <c r="AKM96" s="11"/>
      <c r="AKN96" s="11"/>
      <c r="AKO96" s="11"/>
      <c r="AKP96" s="11"/>
      <c r="AKQ96" s="11"/>
      <c r="AKR96" s="11"/>
      <c r="AKS96" s="11"/>
      <c r="AKT96" s="11"/>
      <c r="AKU96" s="11"/>
      <c r="AKV96" s="11"/>
      <c r="AKW96" s="11"/>
      <c r="AKX96" s="11"/>
      <c r="AKY96" s="11"/>
      <c r="AKZ96" s="11"/>
      <c r="ALA96" s="11"/>
      <c r="ALB96" s="11"/>
      <c r="ALC96" s="11"/>
      <c r="ALD96" s="11"/>
      <c r="ALE96" s="11"/>
      <c r="ALF96" s="11"/>
      <c r="ALG96" s="11"/>
      <c r="ALH96" s="11"/>
      <c r="ALI96" s="11"/>
      <c r="ALJ96" s="11"/>
      <c r="ALK96" s="11"/>
      <c r="ALL96" s="11"/>
      <c r="ALM96" s="11"/>
      <c r="ALN96" s="11"/>
      <c r="ALO96" s="11"/>
      <c r="ALP96" s="11"/>
      <c r="ALQ96" s="11"/>
      <c r="ALR96" s="11"/>
      <c r="ALS96" s="11"/>
      <c r="ALT96" s="11"/>
      <c r="ALU96" s="11"/>
      <c r="ALV96" s="11"/>
      <c r="ALW96" s="11"/>
      <c r="ALX96" s="11"/>
      <c r="ALY96" s="11"/>
      <c r="ALZ96" s="11"/>
      <c r="AMA96" s="11"/>
      <c r="AMB96" s="11"/>
      <c r="AMC96" s="11"/>
      <c r="AMD96" s="11"/>
      <c r="AME96" s="11"/>
      <c r="AMF96" s="11"/>
      <c r="AMG96" s="11"/>
      <c r="AMH96" s="11"/>
      <c r="AMI96" s="11"/>
      <c r="AMJ96" s="11"/>
      <c r="AMK96" s="11"/>
      <c r="AML96" s="11"/>
      <c r="AMM96" s="11"/>
      <c r="AMN96" s="11"/>
      <c r="AMO96" s="11"/>
      <c r="AMP96" s="11"/>
      <c r="AMQ96" s="11"/>
      <c r="AMR96" s="11"/>
      <c r="AMS96" s="11"/>
      <c r="AMT96" s="11"/>
      <c r="AMU96" s="11"/>
      <c r="AMV96" s="11"/>
      <c r="AMW96" s="11"/>
      <c r="AMX96" s="11"/>
      <c r="AMY96" s="11"/>
      <c r="AMZ96" s="11"/>
      <c r="ANA96" s="11"/>
      <c r="ANB96" s="11"/>
      <c r="ANC96" s="11"/>
      <c r="AND96" s="11"/>
      <c r="ANE96" s="11"/>
      <c r="ANF96" s="11"/>
      <c r="ANG96" s="11"/>
      <c r="ANH96" s="11"/>
      <c r="ANI96" s="11"/>
      <c r="ANJ96" s="11"/>
      <c r="ANK96" s="11"/>
      <c r="ANL96" s="11"/>
      <c r="ANM96" s="11"/>
      <c r="ANN96" s="11"/>
      <c r="ANO96" s="11"/>
      <c r="ANP96" s="11"/>
      <c r="ANQ96" s="11"/>
      <c r="ANR96" s="11"/>
      <c r="ANS96" s="11"/>
      <c r="ANT96" s="11"/>
      <c r="ANU96" s="11"/>
      <c r="ANV96" s="11"/>
      <c r="ANW96" s="11"/>
      <c r="ANX96" s="11"/>
      <c r="ANY96" s="11"/>
      <c r="ANZ96" s="11"/>
      <c r="AOA96" s="11"/>
      <c r="AOB96" s="11"/>
      <c r="AOC96" s="11"/>
      <c r="AOD96" s="11"/>
      <c r="AOE96" s="11"/>
      <c r="AOF96" s="11"/>
      <c r="AOG96" s="11"/>
      <c r="AOH96" s="11"/>
      <c r="AOI96" s="11"/>
      <c r="AOJ96" s="11"/>
      <c r="AOK96" s="11"/>
      <c r="AOL96" s="11"/>
      <c r="AOM96" s="11"/>
      <c r="AON96" s="11"/>
      <c r="AOO96" s="11"/>
      <c r="AOP96" s="11"/>
      <c r="AOQ96" s="11"/>
      <c r="AOR96" s="11"/>
      <c r="AOS96" s="11"/>
      <c r="AOT96" s="11"/>
      <c r="AOU96" s="11"/>
      <c r="AOV96" s="11"/>
      <c r="AOW96" s="11"/>
      <c r="AOX96" s="11"/>
      <c r="AOY96" s="11"/>
      <c r="AOZ96" s="11"/>
      <c r="APA96" s="11"/>
      <c r="APB96" s="11"/>
      <c r="APC96" s="11"/>
      <c r="APD96" s="11"/>
      <c r="APE96" s="11"/>
      <c r="APF96" s="11"/>
      <c r="APG96" s="11"/>
      <c r="APH96" s="11"/>
      <c r="API96" s="11"/>
      <c r="APJ96" s="11"/>
      <c r="APK96" s="11"/>
      <c r="APL96" s="11"/>
      <c r="APM96" s="11"/>
      <c r="APN96" s="11"/>
      <c r="APO96" s="11"/>
      <c r="APP96" s="11"/>
      <c r="APQ96" s="11"/>
      <c r="APR96" s="11"/>
      <c r="APS96" s="11"/>
      <c r="APT96" s="11"/>
      <c r="APU96" s="11"/>
      <c r="APV96" s="11"/>
      <c r="APW96" s="11"/>
      <c r="APX96" s="11"/>
      <c r="APY96" s="11"/>
      <c r="APZ96" s="11"/>
      <c r="AQA96" s="11"/>
      <c r="AQB96" s="11"/>
      <c r="AQC96" s="11"/>
      <c r="AQD96" s="11"/>
      <c r="AQE96" s="11"/>
      <c r="AQF96" s="11"/>
      <c r="AQG96" s="11"/>
      <c r="AQH96" s="11"/>
      <c r="AQI96" s="11"/>
      <c r="AQJ96" s="11"/>
      <c r="AQK96" s="11"/>
      <c r="AQL96" s="11"/>
      <c r="AQM96" s="11"/>
      <c r="AQN96" s="11"/>
      <c r="AQO96" s="11"/>
      <c r="AQP96" s="11"/>
      <c r="AQQ96" s="11"/>
      <c r="AQR96" s="11"/>
      <c r="AQS96" s="11"/>
      <c r="AQT96" s="11"/>
      <c r="AQU96" s="11"/>
      <c r="AQV96" s="11"/>
      <c r="AQW96" s="11"/>
      <c r="AQX96" s="11"/>
      <c r="AQY96" s="11"/>
      <c r="AQZ96" s="11"/>
      <c r="ARA96" s="11"/>
      <c r="ARB96" s="11"/>
      <c r="ARC96" s="11"/>
      <c r="ARD96" s="11"/>
      <c r="ARE96" s="11"/>
      <c r="ARF96" s="11"/>
      <c r="ARG96" s="11"/>
      <c r="ARH96" s="11"/>
      <c r="ARI96" s="11"/>
      <c r="ARJ96" s="11"/>
      <c r="ARK96" s="11"/>
      <c r="ARL96" s="11"/>
      <c r="ARM96" s="11"/>
      <c r="ARN96" s="11"/>
      <c r="ARO96" s="11"/>
      <c r="ARP96" s="11"/>
      <c r="ARQ96" s="11"/>
      <c r="ARR96" s="11"/>
      <c r="ARS96" s="11"/>
      <c r="ART96" s="11"/>
      <c r="ARU96" s="11"/>
      <c r="ARV96" s="11"/>
      <c r="ARW96" s="11"/>
      <c r="ARX96" s="11"/>
      <c r="ARY96" s="11"/>
      <c r="ARZ96" s="11"/>
      <c r="ASA96" s="11"/>
      <c r="ASB96" s="11"/>
      <c r="ASC96" s="11"/>
      <c r="ASD96" s="11"/>
      <c r="ASE96" s="11"/>
      <c r="ASF96" s="11"/>
      <c r="ASG96" s="11"/>
      <c r="ASH96" s="11"/>
      <c r="ASI96" s="11"/>
      <c r="ASJ96" s="11"/>
      <c r="ASK96" s="11"/>
      <c r="ASL96" s="11"/>
      <c r="ASM96" s="11"/>
      <c r="ASN96" s="11"/>
      <c r="ASO96" s="11"/>
      <c r="ASP96" s="11"/>
      <c r="ASQ96" s="11"/>
      <c r="ASR96" s="11"/>
      <c r="ASS96" s="11"/>
      <c r="AST96" s="11"/>
      <c r="ASU96" s="11"/>
      <c r="ASV96" s="11"/>
      <c r="ASW96" s="11"/>
      <c r="ASX96" s="11"/>
      <c r="ASY96" s="11"/>
      <c r="ASZ96" s="11"/>
      <c r="ATA96" s="11"/>
      <c r="ATB96" s="11"/>
      <c r="ATC96" s="11"/>
      <c r="ATD96" s="11"/>
      <c r="ATE96" s="11"/>
      <c r="ATF96" s="11"/>
      <c r="ATG96" s="11"/>
      <c r="ATH96" s="11"/>
      <c r="ATI96" s="11"/>
      <c r="ATJ96" s="11"/>
      <c r="ATK96" s="11"/>
      <c r="ATL96" s="11"/>
      <c r="ATM96" s="11"/>
      <c r="ATN96" s="11"/>
      <c r="ATO96" s="11"/>
      <c r="ATP96" s="11"/>
      <c r="ATQ96" s="11"/>
      <c r="ATR96" s="11"/>
      <c r="ATS96" s="11"/>
      <c r="ATT96" s="11"/>
      <c r="ATU96" s="11"/>
      <c r="ATV96" s="11"/>
      <c r="ATW96" s="11"/>
      <c r="ATX96" s="11"/>
      <c r="ATY96" s="11"/>
      <c r="ATZ96" s="11"/>
      <c r="AUA96" s="11"/>
      <c r="AUB96" s="11"/>
      <c r="AUC96" s="11"/>
      <c r="AUD96" s="11"/>
      <c r="AUE96" s="11"/>
      <c r="AUF96" s="11"/>
      <c r="AUG96" s="11"/>
      <c r="AUH96" s="11"/>
      <c r="AUI96" s="11"/>
      <c r="AUJ96" s="11"/>
      <c r="AUK96" s="11"/>
      <c r="AUL96" s="11"/>
      <c r="AUM96" s="11"/>
      <c r="AUN96" s="11"/>
      <c r="AUO96" s="11"/>
      <c r="AUP96" s="11"/>
      <c r="AUQ96" s="11"/>
      <c r="AUR96" s="11"/>
      <c r="AUS96" s="11"/>
      <c r="AUT96" s="11"/>
      <c r="AUU96" s="11"/>
      <c r="AUV96" s="11"/>
      <c r="AUW96" s="11"/>
      <c r="AUX96" s="11"/>
      <c r="AUY96" s="11"/>
      <c r="AUZ96" s="11"/>
      <c r="AVA96" s="11"/>
      <c r="AVB96" s="11"/>
      <c r="AVC96" s="11"/>
      <c r="AVD96" s="11"/>
      <c r="AVE96" s="11"/>
      <c r="AVF96" s="11"/>
      <c r="AVG96" s="11"/>
      <c r="AVH96" s="11"/>
      <c r="AVI96" s="11"/>
      <c r="AVJ96" s="11"/>
      <c r="AVK96" s="11"/>
      <c r="AVL96" s="11"/>
      <c r="AVM96" s="11"/>
      <c r="AVN96" s="11"/>
      <c r="AVO96" s="11"/>
      <c r="AVP96" s="11"/>
      <c r="AVQ96" s="11"/>
      <c r="AVR96" s="11"/>
      <c r="AVS96" s="11"/>
      <c r="AVT96" s="11"/>
      <c r="AVU96" s="11"/>
      <c r="AVV96" s="11"/>
      <c r="AVW96" s="11"/>
      <c r="AVX96" s="11"/>
      <c r="AVY96" s="11"/>
      <c r="AVZ96" s="11"/>
      <c r="AWA96" s="11"/>
      <c r="AWB96" s="11"/>
      <c r="AWC96" s="11"/>
      <c r="AWD96" s="11"/>
      <c r="AWE96" s="11"/>
      <c r="AWF96" s="11"/>
      <c r="AWG96" s="11"/>
      <c r="AWH96" s="11"/>
      <c r="AWI96" s="11"/>
      <c r="AWJ96" s="11"/>
      <c r="AWK96" s="11"/>
      <c r="AWL96" s="11"/>
      <c r="AWM96" s="11"/>
      <c r="AWN96" s="11"/>
      <c r="AWO96" s="11"/>
      <c r="AWP96" s="11"/>
      <c r="AWQ96" s="11"/>
      <c r="AWR96" s="11"/>
      <c r="AWS96" s="11"/>
      <c r="AWT96" s="11"/>
      <c r="AWU96" s="11"/>
      <c r="AWV96" s="11"/>
      <c r="AWW96" s="11"/>
      <c r="AWX96" s="11"/>
      <c r="AWY96" s="11"/>
      <c r="AWZ96" s="11"/>
      <c r="AXA96" s="11"/>
      <c r="AXB96" s="11"/>
      <c r="AXC96" s="11"/>
      <c r="AXD96" s="11"/>
      <c r="AXE96" s="11"/>
      <c r="AXF96" s="11"/>
      <c r="AXG96" s="11"/>
      <c r="AXH96" s="11"/>
      <c r="AXI96" s="11"/>
      <c r="AXJ96" s="11"/>
      <c r="AXK96" s="11"/>
      <c r="AXL96" s="11"/>
      <c r="AXM96" s="11"/>
      <c r="AXN96" s="11"/>
      <c r="AXO96" s="11"/>
      <c r="AXP96" s="11"/>
      <c r="AXQ96" s="11"/>
      <c r="AXR96" s="11"/>
      <c r="AXS96" s="11"/>
      <c r="AXT96" s="11"/>
      <c r="AXU96" s="11"/>
      <c r="AXV96" s="11"/>
      <c r="AXW96" s="11"/>
      <c r="AXX96" s="11"/>
      <c r="AXY96" s="11"/>
      <c r="AXZ96" s="11"/>
      <c r="AYA96" s="11"/>
      <c r="AYB96" s="11"/>
      <c r="AYC96" s="11"/>
      <c r="AYD96" s="11"/>
      <c r="AYE96" s="11"/>
      <c r="AYF96" s="11"/>
      <c r="AYG96" s="11"/>
      <c r="AYH96" s="11"/>
      <c r="AYI96" s="11"/>
      <c r="AYJ96" s="11"/>
      <c r="AYK96" s="11"/>
      <c r="AYL96" s="11"/>
      <c r="AYM96" s="11"/>
      <c r="AYN96" s="11"/>
      <c r="AYO96" s="11"/>
      <c r="AYP96" s="11"/>
      <c r="AYQ96" s="11"/>
      <c r="AYR96" s="11"/>
      <c r="AYS96" s="11"/>
      <c r="AYT96" s="11"/>
      <c r="AYU96" s="11"/>
      <c r="AYV96" s="11"/>
      <c r="AYW96" s="11"/>
      <c r="AYX96" s="11"/>
      <c r="AYY96" s="11"/>
      <c r="AYZ96" s="11"/>
      <c r="AZA96" s="11"/>
      <c r="AZB96" s="11"/>
      <c r="AZC96" s="11"/>
      <c r="AZD96" s="11"/>
      <c r="AZE96" s="11"/>
      <c r="AZF96" s="11"/>
      <c r="AZG96" s="11"/>
      <c r="AZH96" s="11"/>
      <c r="AZI96" s="11"/>
      <c r="AZJ96" s="11"/>
      <c r="AZK96" s="11"/>
      <c r="AZL96" s="11"/>
      <c r="AZM96" s="11"/>
      <c r="AZN96" s="11"/>
      <c r="AZO96" s="11"/>
      <c r="AZP96" s="11"/>
      <c r="AZQ96" s="11"/>
      <c r="AZR96" s="11"/>
      <c r="AZS96" s="11"/>
      <c r="AZT96" s="11"/>
      <c r="AZU96" s="11"/>
      <c r="AZV96" s="11"/>
      <c r="AZW96" s="11"/>
      <c r="AZX96" s="11"/>
      <c r="AZY96" s="11"/>
      <c r="AZZ96" s="11"/>
      <c r="BAA96" s="11"/>
      <c r="BAB96" s="11"/>
      <c r="BAC96" s="11"/>
      <c r="BAD96" s="11"/>
      <c r="BAE96" s="11"/>
      <c r="BAF96" s="11"/>
      <c r="BAG96" s="11"/>
      <c r="BAH96" s="11"/>
      <c r="BAI96" s="11"/>
      <c r="BAJ96" s="11"/>
      <c r="BAK96" s="11"/>
      <c r="BAL96" s="11"/>
      <c r="BAM96" s="11"/>
      <c r="BAN96" s="11"/>
      <c r="BAO96" s="11"/>
      <c r="BAP96" s="11"/>
      <c r="BAQ96" s="11"/>
      <c r="BAR96" s="11"/>
      <c r="BAS96" s="11"/>
      <c r="BAT96" s="11"/>
      <c r="BAU96" s="11"/>
      <c r="BAV96" s="11"/>
      <c r="BAW96" s="11"/>
      <c r="BAX96" s="11"/>
      <c r="BAY96" s="11"/>
      <c r="BAZ96" s="11"/>
      <c r="BBA96" s="11"/>
      <c r="BBB96" s="11"/>
      <c r="BBC96" s="11"/>
      <c r="BBD96" s="11"/>
      <c r="BBE96" s="11"/>
      <c r="BBF96" s="11"/>
      <c r="BBG96" s="11"/>
      <c r="BBH96" s="11"/>
      <c r="BBI96" s="11"/>
      <c r="BBJ96" s="11"/>
      <c r="BBK96" s="11"/>
      <c r="BBL96" s="11"/>
      <c r="BBM96" s="11"/>
      <c r="BBN96" s="11"/>
      <c r="BBO96" s="11"/>
      <c r="BBP96" s="11"/>
      <c r="BBQ96" s="11"/>
      <c r="BBR96" s="11"/>
      <c r="BBS96" s="11"/>
      <c r="BBT96" s="11"/>
      <c r="BBU96" s="11"/>
      <c r="BBV96" s="11"/>
      <c r="BBW96" s="11"/>
      <c r="BBX96" s="11"/>
      <c r="BBY96" s="11"/>
      <c r="BBZ96" s="11"/>
      <c r="BCA96" s="11"/>
      <c r="BCB96" s="11"/>
      <c r="BCC96" s="11"/>
      <c r="BCD96" s="11"/>
      <c r="BCE96" s="11"/>
      <c r="BCF96" s="11"/>
      <c r="BCG96" s="11"/>
      <c r="BCH96" s="11"/>
      <c r="BCI96" s="11"/>
      <c r="BCJ96" s="11"/>
      <c r="BCK96" s="11"/>
      <c r="BCL96" s="11"/>
      <c r="BCM96" s="11"/>
      <c r="BCN96" s="11"/>
      <c r="BCO96" s="11"/>
      <c r="BCP96" s="11"/>
      <c r="BCQ96" s="11"/>
      <c r="BCR96" s="11"/>
      <c r="BCS96" s="11"/>
      <c r="BCT96" s="11"/>
      <c r="BCU96" s="11"/>
      <c r="BCV96" s="11"/>
      <c r="BCW96" s="11"/>
      <c r="BCX96" s="11"/>
      <c r="BCY96" s="11"/>
      <c r="BCZ96" s="11"/>
      <c r="BDA96" s="11"/>
      <c r="BDB96" s="11"/>
      <c r="BDC96" s="11"/>
      <c r="BDD96" s="11"/>
      <c r="BDE96" s="11"/>
      <c r="BDF96" s="11"/>
      <c r="BDG96" s="11"/>
      <c r="BDH96" s="11"/>
      <c r="BDI96" s="11"/>
      <c r="BDJ96" s="11"/>
      <c r="BDK96" s="11"/>
      <c r="BDL96" s="11"/>
      <c r="BDM96" s="11"/>
      <c r="BDN96" s="11"/>
      <c r="BDO96" s="11"/>
      <c r="BDP96" s="11"/>
      <c r="BDQ96" s="11"/>
      <c r="BDR96" s="11"/>
      <c r="BDS96" s="11"/>
      <c r="BDT96" s="11"/>
      <c r="BDU96" s="11"/>
      <c r="BDV96" s="11"/>
      <c r="BDW96" s="11"/>
      <c r="BDX96" s="11"/>
      <c r="BDY96" s="11"/>
      <c r="BDZ96" s="11"/>
      <c r="BEA96" s="11"/>
      <c r="BEB96" s="11"/>
      <c r="BEC96" s="11"/>
      <c r="BED96" s="11"/>
      <c r="BEE96" s="11"/>
      <c r="BEF96" s="11"/>
      <c r="BEG96" s="11"/>
      <c r="BEH96" s="11"/>
      <c r="BEI96" s="11"/>
      <c r="BEJ96" s="11"/>
      <c r="BEK96" s="11"/>
      <c r="BEL96" s="11"/>
      <c r="BEM96" s="11"/>
      <c r="BEN96" s="11"/>
      <c r="BEO96" s="11"/>
      <c r="BEP96" s="11"/>
      <c r="BEQ96" s="11"/>
      <c r="BER96" s="11"/>
      <c r="BES96" s="11"/>
      <c r="BET96" s="11"/>
      <c r="BEU96" s="11"/>
      <c r="BEV96" s="11"/>
      <c r="BEW96" s="11"/>
      <c r="BEX96" s="11"/>
      <c r="BEY96" s="11"/>
      <c r="BEZ96" s="11"/>
      <c r="BFA96" s="11"/>
      <c r="BFB96" s="11"/>
      <c r="BFC96" s="11"/>
      <c r="BFD96" s="11"/>
      <c r="BFE96" s="11"/>
      <c r="BFF96" s="11"/>
      <c r="BFG96" s="11"/>
      <c r="BFH96" s="11"/>
      <c r="BFI96" s="11"/>
      <c r="BFJ96" s="11"/>
      <c r="BFK96" s="11"/>
      <c r="BFL96" s="11"/>
      <c r="BFM96" s="11"/>
      <c r="BFN96" s="11"/>
      <c r="BFO96" s="11"/>
      <c r="BFP96" s="11"/>
      <c r="BFQ96" s="11"/>
      <c r="BFR96" s="11"/>
      <c r="BFS96" s="11"/>
      <c r="BFT96" s="11"/>
      <c r="BFU96" s="11"/>
      <c r="BFV96" s="11"/>
      <c r="BFW96" s="11"/>
      <c r="BFX96" s="11"/>
      <c r="BFY96" s="11"/>
      <c r="BFZ96" s="11"/>
      <c r="BGA96" s="11"/>
      <c r="BGB96" s="11"/>
      <c r="BGC96" s="11"/>
      <c r="BGD96" s="11"/>
      <c r="BGE96" s="11"/>
      <c r="BGF96" s="11"/>
      <c r="BGG96" s="11"/>
      <c r="BGH96" s="11"/>
      <c r="BGI96" s="11"/>
      <c r="BGJ96" s="11"/>
      <c r="BGK96" s="11"/>
      <c r="BGL96" s="11"/>
      <c r="BGM96" s="11"/>
      <c r="BGN96" s="11"/>
      <c r="BGO96" s="11"/>
      <c r="BGP96" s="11"/>
      <c r="BGQ96" s="11"/>
      <c r="BGR96" s="11"/>
      <c r="BGS96" s="11"/>
      <c r="BGT96" s="11"/>
      <c r="BGU96" s="11"/>
      <c r="BGV96" s="11"/>
      <c r="BGW96" s="11"/>
      <c r="BGX96" s="11"/>
      <c r="BGY96" s="11"/>
      <c r="BGZ96" s="11"/>
      <c r="BHA96" s="11"/>
      <c r="BHB96" s="11"/>
      <c r="BHC96" s="11"/>
      <c r="BHD96" s="11"/>
      <c r="BHE96" s="11"/>
      <c r="BHF96" s="11"/>
      <c r="BHG96" s="11"/>
      <c r="BHH96" s="11"/>
      <c r="BHI96" s="11"/>
      <c r="BHJ96" s="11"/>
      <c r="BHK96" s="11"/>
      <c r="BHL96" s="11"/>
      <c r="BHM96" s="11"/>
      <c r="BHN96" s="11"/>
      <c r="BHO96" s="11"/>
      <c r="BHP96" s="11"/>
      <c r="BHQ96" s="11"/>
      <c r="BHR96" s="11"/>
      <c r="BHS96" s="11"/>
      <c r="BHT96" s="11"/>
      <c r="BHU96" s="11"/>
      <c r="BHV96" s="11"/>
      <c r="BHW96" s="11"/>
      <c r="BHX96" s="11"/>
      <c r="BHY96" s="11"/>
      <c r="BHZ96" s="11"/>
      <c r="BIA96" s="11"/>
      <c r="BIB96" s="11"/>
      <c r="BIC96" s="11"/>
      <c r="BID96" s="11"/>
      <c r="BIE96" s="11"/>
      <c r="BIF96" s="11"/>
      <c r="BIG96" s="11"/>
      <c r="BIH96" s="11"/>
      <c r="BII96" s="11"/>
      <c r="BIJ96" s="11"/>
      <c r="BIK96" s="11"/>
      <c r="BIL96" s="11"/>
      <c r="BIM96" s="11"/>
      <c r="BIN96" s="11"/>
      <c r="BIO96" s="11"/>
      <c r="BIP96" s="11"/>
      <c r="BIQ96" s="11"/>
      <c r="BIR96" s="11"/>
      <c r="BIS96" s="11"/>
      <c r="BIT96" s="11"/>
      <c r="BIU96" s="11"/>
      <c r="BIV96" s="11"/>
      <c r="BIW96" s="11"/>
      <c r="BIX96" s="11"/>
      <c r="BIY96" s="11"/>
      <c r="BIZ96" s="11"/>
      <c r="BJA96" s="11"/>
      <c r="BJB96" s="11"/>
      <c r="BJC96" s="11"/>
      <c r="BJD96" s="11"/>
      <c r="BJE96" s="11"/>
      <c r="BJF96" s="11"/>
      <c r="BJG96" s="11"/>
      <c r="BJH96" s="11"/>
      <c r="BJI96" s="11"/>
      <c r="BJJ96" s="11"/>
      <c r="BJK96" s="11"/>
      <c r="BJL96" s="11"/>
      <c r="BJM96" s="11"/>
      <c r="BJN96" s="11"/>
      <c r="BJO96" s="11"/>
      <c r="BJP96" s="11"/>
      <c r="BJQ96" s="11"/>
      <c r="BJR96" s="11"/>
      <c r="BJS96" s="11"/>
      <c r="BJT96" s="11"/>
      <c r="BJU96" s="11"/>
      <c r="BJV96" s="11"/>
      <c r="BJW96" s="11"/>
      <c r="BJX96" s="11"/>
      <c r="BJY96" s="11"/>
      <c r="BJZ96" s="11"/>
      <c r="BKA96" s="11"/>
      <c r="BKB96" s="11"/>
      <c r="BKC96" s="11"/>
      <c r="BKD96" s="11"/>
      <c r="BKE96" s="11"/>
      <c r="BKF96" s="11"/>
      <c r="BKG96" s="11"/>
      <c r="BKH96" s="11"/>
      <c r="BKI96" s="11"/>
      <c r="BKJ96" s="11"/>
      <c r="BKK96" s="11"/>
      <c r="BKL96" s="11"/>
      <c r="BKM96" s="11"/>
      <c r="BKN96" s="11"/>
      <c r="BKO96" s="11"/>
      <c r="BKP96" s="11"/>
      <c r="BKQ96" s="11"/>
      <c r="BKR96" s="11"/>
      <c r="BKS96" s="11"/>
      <c r="BKT96" s="11"/>
      <c r="BKU96" s="11"/>
      <c r="BKV96" s="11"/>
      <c r="BKW96" s="11"/>
      <c r="BKX96" s="11"/>
      <c r="BKY96" s="11"/>
      <c r="BKZ96" s="11"/>
      <c r="BLA96" s="11"/>
      <c r="BLB96" s="11"/>
      <c r="BLC96" s="11"/>
      <c r="BLD96" s="11"/>
      <c r="BLE96" s="11"/>
      <c r="BLF96" s="11"/>
      <c r="BLG96" s="11"/>
      <c r="BLH96" s="11"/>
      <c r="BLI96" s="11"/>
      <c r="BLJ96" s="11"/>
      <c r="BLK96" s="11"/>
      <c r="BLL96" s="11"/>
      <c r="BLM96" s="11"/>
      <c r="BLN96" s="11"/>
      <c r="BLO96" s="11"/>
      <c r="BLP96" s="11"/>
      <c r="BLQ96" s="11"/>
      <c r="BLR96" s="11"/>
      <c r="BLS96" s="11"/>
      <c r="BLT96" s="11"/>
      <c r="BLU96" s="11"/>
      <c r="BLV96" s="11"/>
      <c r="BLW96" s="11"/>
      <c r="BLX96" s="11"/>
      <c r="BLY96" s="11"/>
      <c r="BLZ96" s="11"/>
      <c r="BMA96" s="11"/>
      <c r="BMB96" s="11"/>
      <c r="BMC96" s="11"/>
      <c r="BMD96" s="11"/>
      <c r="BME96" s="11"/>
      <c r="BMF96" s="11"/>
      <c r="BMG96" s="11"/>
      <c r="BMH96" s="11"/>
      <c r="BMI96" s="11"/>
      <c r="BMJ96" s="11"/>
      <c r="BMK96" s="11"/>
      <c r="BML96" s="11"/>
      <c r="BMM96" s="11"/>
      <c r="BMN96" s="11"/>
      <c r="BMO96" s="11"/>
      <c r="BMP96" s="11"/>
      <c r="BMQ96" s="11"/>
      <c r="BMR96" s="11"/>
      <c r="BMS96" s="11"/>
      <c r="BMT96" s="11"/>
      <c r="BMU96" s="11"/>
      <c r="BMV96" s="11"/>
      <c r="BMW96" s="11"/>
      <c r="BMX96" s="11"/>
      <c r="BMY96" s="11"/>
      <c r="BMZ96" s="11"/>
      <c r="BNA96" s="11"/>
      <c r="BNB96" s="11"/>
      <c r="BNC96" s="11"/>
      <c r="BND96" s="11"/>
      <c r="BNE96" s="11"/>
      <c r="BNF96" s="11"/>
      <c r="BNG96" s="11"/>
      <c r="BNH96" s="11"/>
      <c r="BNI96" s="11"/>
      <c r="BNJ96" s="11"/>
      <c r="BNK96" s="11"/>
      <c r="BNL96" s="11"/>
      <c r="BNM96" s="11"/>
      <c r="BNN96" s="11"/>
      <c r="BNO96" s="11"/>
      <c r="BNP96" s="11"/>
      <c r="BNQ96" s="11"/>
      <c r="BNR96" s="11"/>
      <c r="BNS96" s="11"/>
      <c r="BNT96" s="11"/>
      <c r="BNU96" s="11"/>
      <c r="BNV96" s="11"/>
      <c r="BNW96" s="11"/>
      <c r="BNX96" s="11"/>
      <c r="BNY96" s="11"/>
      <c r="BNZ96" s="11"/>
      <c r="BOA96" s="11"/>
      <c r="BOB96" s="11"/>
      <c r="BOC96" s="11"/>
      <c r="BOD96" s="11"/>
      <c r="BOE96" s="11"/>
      <c r="BOF96" s="11"/>
      <c r="BOG96" s="11"/>
      <c r="BOH96" s="11"/>
      <c r="BOI96" s="11"/>
      <c r="BOJ96" s="11"/>
      <c r="BOK96" s="11"/>
      <c r="BOL96" s="11"/>
      <c r="BOM96" s="11"/>
      <c r="BON96" s="11"/>
      <c r="BOO96" s="11"/>
      <c r="BOP96" s="11"/>
      <c r="BOQ96" s="11"/>
      <c r="BOR96" s="11"/>
      <c r="BOS96" s="11"/>
      <c r="BOT96" s="11"/>
      <c r="BOU96" s="11"/>
      <c r="BOV96" s="11"/>
      <c r="BOW96" s="11"/>
      <c r="BOX96" s="11"/>
      <c r="BOY96" s="11"/>
      <c r="BOZ96" s="11"/>
      <c r="BPA96" s="11"/>
      <c r="BPB96" s="11"/>
      <c r="BPC96" s="11"/>
      <c r="BPD96" s="11"/>
      <c r="BPE96" s="11"/>
      <c r="BPF96" s="11"/>
      <c r="BPG96" s="11"/>
      <c r="BPH96" s="11"/>
      <c r="BPI96" s="11"/>
      <c r="BPJ96" s="11"/>
      <c r="BPK96" s="11"/>
      <c r="BPL96" s="11"/>
      <c r="BPM96" s="11"/>
      <c r="BPN96" s="11"/>
      <c r="BPO96" s="11"/>
      <c r="BPP96" s="11"/>
      <c r="BPQ96" s="11"/>
      <c r="BPR96" s="11"/>
      <c r="BPS96" s="11"/>
      <c r="BPT96" s="11"/>
      <c r="BPU96" s="11"/>
      <c r="BPV96" s="11"/>
      <c r="BPW96" s="11"/>
      <c r="BPX96" s="11"/>
      <c r="BPY96" s="11"/>
      <c r="BPZ96" s="11"/>
      <c r="BQA96" s="11"/>
      <c r="BQB96" s="11"/>
      <c r="BQC96" s="11"/>
      <c r="BQD96" s="11"/>
      <c r="BQE96" s="11"/>
      <c r="BQF96" s="11"/>
      <c r="BQG96" s="11"/>
      <c r="BQH96" s="11"/>
      <c r="BQI96" s="11"/>
      <c r="BQJ96" s="11"/>
      <c r="BQK96" s="11"/>
      <c r="BQL96" s="11"/>
      <c r="BQM96" s="11"/>
      <c r="BQN96" s="11"/>
      <c r="BQO96" s="11"/>
      <c r="BQP96" s="11"/>
      <c r="BQQ96" s="11"/>
      <c r="BQR96" s="11"/>
      <c r="BQS96" s="11"/>
      <c r="BQT96" s="11"/>
      <c r="BQU96" s="11"/>
      <c r="BQV96" s="11"/>
      <c r="BQW96" s="11"/>
      <c r="BQX96" s="11"/>
      <c r="BQY96" s="11"/>
      <c r="BQZ96" s="11"/>
      <c r="BRA96" s="11"/>
      <c r="BRB96" s="11"/>
      <c r="BRC96" s="11"/>
      <c r="BRD96" s="11"/>
      <c r="BRE96" s="11"/>
      <c r="BRF96" s="11"/>
      <c r="BRG96" s="11"/>
      <c r="BRH96" s="11"/>
      <c r="BRI96" s="11"/>
      <c r="BRJ96" s="11"/>
      <c r="BRK96" s="11"/>
      <c r="BRL96" s="11"/>
      <c r="BRM96" s="11"/>
      <c r="BRN96" s="11"/>
      <c r="BRO96" s="11"/>
      <c r="BRP96" s="11"/>
      <c r="BRQ96" s="11"/>
      <c r="BRR96" s="11"/>
      <c r="BRS96" s="11"/>
      <c r="BRT96" s="11"/>
      <c r="BRU96" s="11"/>
      <c r="BRV96" s="11"/>
      <c r="BRW96" s="11"/>
      <c r="BRX96" s="11"/>
      <c r="BRY96" s="11"/>
      <c r="BRZ96" s="11"/>
      <c r="BSA96" s="11"/>
      <c r="BSB96" s="11"/>
      <c r="BSC96" s="11"/>
      <c r="BSD96" s="11"/>
      <c r="BSE96" s="11"/>
      <c r="BSF96" s="11"/>
      <c r="BSG96" s="11"/>
      <c r="BSH96" s="11"/>
      <c r="BSI96" s="11"/>
      <c r="BSJ96" s="11"/>
      <c r="BSK96" s="11"/>
      <c r="BSL96" s="11"/>
      <c r="BSM96" s="11"/>
      <c r="BSN96" s="11"/>
      <c r="BSO96" s="11"/>
      <c r="BSP96" s="11"/>
      <c r="BSQ96" s="11"/>
      <c r="BSR96" s="11"/>
      <c r="BSS96" s="11"/>
      <c r="BST96" s="11"/>
      <c r="BSU96" s="11"/>
      <c r="BSV96" s="11"/>
      <c r="BSW96" s="11"/>
      <c r="BSX96" s="11"/>
      <c r="BSY96" s="11"/>
      <c r="BSZ96" s="11"/>
      <c r="BTA96" s="11"/>
      <c r="BTB96" s="11"/>
      <c r="BTC96" s="11"/>
      <c r="BTD96" s="11"/>
      <c r="BTE96" s="11"/>
      <c r="BTF96" s="11"/>
      <c r="BTG96" s="11"/>
      <c r="BTH96" s="11"/>
      <c r="BTI96" s="11"/>
      <c r="BTJ96" s="11"/>
      <c r="BTK96" s="11"/>
      <c r="BTL96" s="11"/>
      <c r="BTM96" s="11"/>
      <c r="BTN96" s="11"/>
      <c r="BTO96" s="11"/>
      <c r="BTP96" s="11"/>
      <c r="BTQ96" s="11"/>
      <c r="BTR96" s="11"/>
      <c r="BTS96" s="11"/>
      <c r="BTT96" s="11"/>
      <c r="BTU96" s="11"/>
      <c r="BTV96" s="11"/>
      <c r="BTW96" s="11"/>
      <c r="BTX96" s="11"/>
      <c r="BTY96" s="11"/>
      <c r="BTZ96" s="11"/>
      <c r="BUA96" s="11"/>
      <c r="BUB96" s="11"/>
      <c r="BUC96" s="11"/>
      <c r="BUD96" s="11"/>
      <c r="BUE96" s="11"/>
      <c r="BUF96" s="11"/>
      <c r="BUG96" s="11"/>
      <c r="BUH96" s="11"/>
      <c r="BUI96" s="11"/>
      <c r="BUJ96" s="11"/>
      <c r="BUK96" s="11"/>
      <c r="BUL96" s="11"/>
      <c r="BUM96" s="11"/>
      <c r="BUN96" s="11"/>
      <c r="BUO96" s="11"/>
      <c r="BUP96" s="11"/>
      <c r="BUQ96" s="11"/>
      <c r="BUR96" s="11"/>
      <c r="BUS96" s="11"/>
      <c r="BUT96" s="11"/>
      <c r="BUU96" s="11"/>
      <c r="BUV96" s="11"/>
      <c r="BUW96" s="11"/>
      <c r="BUX96" s="11"/>
      <c r="BUY96" s="11"/>
      <c r="BUZ96" s="11"/>
      <c r="BVA96" s="11"/>
      <c r="BVB96" s="11"/>
      <c r="BVC96" s="11"/>
      <c r="BVD96" s="11"/>
      <c r="BVE96" s="11"/>
      <c r="BVF96" s="11"/>
      <c r="BVG96" s="11"/>
      <c r="BVH96" s="11"/>
      <c r="BVI96" s="11"/>
      <c r="BVJ96" s="11"/>
      <c r="BVK96" s="11"/>
      <c r="BVL96" s="11"/>
      <c r="BVM96" s="11"/>
      <c r="BVN96" s="11"/>
      <c r="BVO96" s="11"/>
      <c r="BVP96" s="11"/>
      <c r="BVQ96" s="11"/>
      <c r="BVR96" s="11"/>
      <c r="BVS96" s="11"/>
      <c r="BVT96" s="11"/>
      <c r="BVU96" s="11"/>
      <c r="BVV96" s="11"/>
      <c r="BVW96" s="11"/>
      <c r="BVX96" s="11"/>
      <c r="BVY96" s="11"/>
      <c r="BVZ96" s="11"/>
      <c r="BWA96" s="11"/>
      <c r="BWB96" s="11"/>
      <c r="BWC96" s="11"/>
      <c r="BWD96" s="11"/>
      <c r="BWE96" s="11"/>
      <c r="BWF96" s="11"/>
      <c r="BWG96" s="11"/>
      <c r="BWH96" s="11"/>
      <c r="BWI96" s="11"/>
      <c r="BWJ96" s="11"/>
      <c r="BWK96" s="11"/>
      <c r="BWL96" s="11"/>
      <c r="BWM96" s="11"/>
      <c r="BWN96" s="11"/>
      <c r="BWO96" s="11"/>
      <c r="BWP96" s="11"/>
      <c r="BWQ96" s="11"/>
      <c r="BWR96" s="11"/>
      <c r="BWS96" s="11"/>
      <c r="BWT96" s="11"/>
      <c r="BWU96" s="11"/>
      <c r="BWV96" s="11"/>
      <c r="BWW96" s="11"/>
      <c r="BWX96" s="11"/>
      <c r="BWY96" s="11"/>
      <c r="BWZ96" s="11"/>
      <c r="BXA96" s="11"/>
      <c r="BXB96" s="11"/>
      <c r="BXC96" s="11"/>
      <c r="BXD96" s="11"/>
      <c r="BXE96" s="11"/>
      <c r="BXF96" s="11"/>
      <c r="BXG96" s="11"/>
      <c r="BXH96" s="11"/>
      <c r="BXI96" s="11"/>
      <c r="BXJ96" s="11"/>
      <c r="BXK96" s="11"/>
      <c r="BXL96" s="11"/>
      <c r="BXM96" s="11"/>
      <c r="BXN96" s="11"/>
      <c r="BXO96" s="11"/>
      <c r="BXP96" s="11"/>
      <c r="BXQ96" s="11"/>
      <c r="BXR96" s="11"/>
      <c r="BXS96" s="11"/>
      <c r="BXT96" s="11"/>
      <c r="BXU96" s="11"/>
      <c r="BXV96" s="11"/>
      <c r="BXW96" s="11"/>
      <c r="BXX96" s="11"/>
      <c r="BXY96" s="11"/>
      <c r="BXZ96" s="11"/>
      <c r="BYA96" s="11"/>
      <c r="BYB96" s="11"/>
      <c r="BYC96" s="11"/>
      <c r="BYD96" s="11"/>
      <c r="BYE96" s="11"/>
      <c r="BYF96" s="11"/>
      <c r="BYG96" s="11"/>
      <c r="BYH96" s="11"/>
      <c r="BYI96" s="11"/>
      <c r="BYJ96" s="11"/>
      <c r="BYK96" s="11"/>
      <c r="BYL96" s="11"/>
      <c r="BYM96" s="11"/>
      <c r="BYN96" s="11"/>
      <c r="BYO96" s="11"/>
      <c r="BYP96" s="11"/>
      <c r="BYQ96" s="11"/>
      <c r="BYR96" s="11"/>
      <c r="BYS96" s="11"/>
      <c r="BYT96" s="11"/>
      <c r="BYU96" s="11"/>
      <c r="BYV96" s="11"/>
      <c r="BYW96" s="11"/>
      <c r="BYX96" s="11"/>
      <c r="BYY96" s="11"/>
      <c r="BYZ96" s="11"/>
      <c r="BZA96" s="11"/>
      <c r="BZB96" s="11"/>
      <c r="BZC96" s="11"/>
      <c r="BZD96" s="11"/>
      <c r="BZE96" s="11"/>
      <c r="BZF96" s="11"/>
      <c r="BZG96" s="11"/>
      <c r="BZH96" s="11"/>
      <c r="BZI96" s="11"/>
      <c r="BZJ96" s="11"/>
      <c r="BZK96" s="11"/>
      <c r="BZL96" s="11"/>
      <c r="BZM96" s="11"/>
      <c r="BZN96" s="11"/>
      <c r="BZO96" s="11"/>
      <c r="BZP96" s="11"/>
      <c r="BZQ96" s="11"/>
      <c r="BZR96" s="11"/>
      <c r="BZS96" s="11"/>
      <c r="BZT96" s="11"/>
      <c r="BZU96" s="11"/>
      <c r="BZV96" s="11"/>
      <c r="BZW96" s="11"/>
      <c r="BZX96" s="11"/>
      <c r="BZY96" s="11"/>
      <c r="BZZ96" s="11"/>
      <c r="CAA96" s="11"/>
      <c r="CAB96" s="11"/>
      <c r="CAC96" s="11"/>
      <c r="CAD96" s="11"/>
      <c r="CAE96" s="11"/>
      <c r="CAF96" s="11"/>
      <c r="CAG96" s="11"/>
      <c r="CAH96" s="11"/>
      <c r="CAI96" s="11"/>
      <c r="CAJ96" s="11"/>
      <c r="CAK96" s="11"/>
      <c r="CAL96" s="11"/>
      <c r="CAM96" s="11"/>
      <c r="CAN96" s="11"/>
      <c r="CAO96" s="11"/>
      <c r="CAP96" s="11"/>
      <c r="CAQ96" s="11"/>
      <c r="CAR96" s="11"/>
      <c r="CAS96" s="11"/>
      <c r="CAT96" s="11"/>
      <c r="CAU96" s="11"/>
      <c r="CAV96" s="11"/>
      <c r="CAW96" s="11"/>
      <c r="CAX96" s="11"/>
      <c r="CAY96" s="11"/>
      <c r="CAZ96" s="11"/>
      <c r="CBA96" s="11"/>
      <c r="CBB96" s="11"/>
      <c r="CBC96" s="11"/>
      <c r="CBD96" s="11"/>
      <c r="CBE96" s="11"/>
      <c r="CBF96" s="11"/>
      <c r="CBG96" s="11"/>
      <c r="CBH96" s="11"/>
      <c r="CBI96" s="11"/>
      <c r="CBJ96" s="11"/>
      <c r="CBK96" s="11"/>
      <c r="CBL96" s="11"/>
      <c r="CBM96" s="11"/>
      <c r="CBN96" s="11"/>
      <c r="CBO96" s="11"/>
      <c r="CBP96" s="11"/>
      <c r="CBQ96" s="11"/>
      <c r="CBR96" s="11"/>
      <c r="CBS96" s="11"/>
      <c r="CBT96" s="11"/>
      <c r="CBU96" s="11"/>
      <c r="CBV96" s="11"/>
      <c r="CBW96" s="11"/>
      <c r="CBX96" s="11"/>
      <c r="CBY96" s="11"/>
      <c r="CBZ96" s="11"/>
      <c r="CCA96" s="11"/>
      <c r="CCB96" s="11"/>
      <c r="CCC96" s="11"/>
      <c r="CCD96" s="11"/>
      <c r="CCE96" s="11"/>
      <c r="CCF96" s="11"/>
      <c r="CCG96" s="11"/>
      <c r="CCH96" s="11"/>
      <c r="CCI96" s="11"/>
      <c r="CCJ96" s="11"/>
      <c r="CCK96" s="11"/>
      <c r="CCL96" s="11"/>
      <c r="CCM96" s="11"/>
      <c r="CCN96" s="11"/>
      <c r="CCO96" s="11"/>
      <c r="CCP96" s="11"/>
      <c r="CCQ96" s="11"/>
      <c r="CCR96" s="11"/>
      <c r="CCS96" s="11"/>
      <c r="CCT96" s="11"/>
      <c r="CCU96" s="11"/>
      <c r="CCV96" s="11"/>
      <c r="CCW96" s="11"/>
      <c r="CCX96" s="11"/>
      <c r="CCY96" s="11"/>
      <c r="CCZ96" s="11"/>
      <c r="CDA96" s="11"/>
      <c r="CDB96" s="11"/>
      <c r="CDC96" s="11"/>
      <c r="CDD96" s="11"/>
      <c r="CDE96" s="11"/>
      <c r="CDF96" s="11"/>
      <c r="CDG96" s="11"/>
      <c r="CDH96" s="11"/>
      <c r="CDI96" s="11"/>
      <c r="CDJ96" s="11"/>
      <c r="CDK96" s="11"/>
      <c r="CDL96" s="11"/>
      <c r="CDM96" s="11"/>
      <c r="CDN96" s="11"/>
      <c r="CDO96" s="11"/>
      <c r="CDP96" s="11"/>
      <c r="CDQ96" s="11"/>
      <c r="CDR96" s="11"/>
      <c r="CDS96" s="11"/>
      <c r="CDT96" s="11"/>
      <c r="CDU96" s="11"/>
      <c r="CDV96" s="11"/>
      <c r="CDW96" s="11"/>
      <c r="CDX96" s="11"/>
      <c r="CDY96" s="11"/>
      <c r="CDZ96" s="11"/>
      <c r="CEA96" s="11"/>
      <c r="CEB96" s="11"/>
      <c r="CEC96" s="11"/>
      <c r="CED96" s="11"/>
      <c r="CEE96" s="11"/>
      <c r="CEF96" s="11"/>
      <c r="CEG96" s="11"/>
      <c r="CEH96" s="11"/>
      <c r="CEI96" s="11"/>
      <c r="CEJ96" s="11"/>
      <c r="CEK96" s="11"/>
      <c r="CEL96" s="11"/>
      <c r="CEM96" s="11"/>
      <c r="CEN96" s="11"/>
      <c r="CEO96" s="11"/>
      <c r="CEP96" s="11"/>
      <c r="CEQ96" s="11"/>
      <c r="CER96" s="11"/>
      <c r="CES96" s="11"/>
      <c r="CET96" s="11"/>
      <c r="CEU96" s="11"/>
      <c r="CEV96" s="11"/>
      <c r="CEW96" s="11"/>
      <c r="CEX96" s="11"/>
      <c r="CEY96" s="11"/>
      <c r="CEZ96" s="11"/>
      <c r="CFA96" s="11"/>
      <c r="CFB96" s="11"/>
      <c r="CFC96" s="11"/>
      <c r="CFD96" s="11"/>
      <c r="CFE96" s="11"/>
      <c r="CFF96" s="11"/>
      <c r="CFG96" s="11"/>
      <c r="CFH96" s="11"/>
      <c r="CFI96" s="11"/>
      <c r="CFJ96" s="11"/>
      <c r="CFK96" s="11"/>
      <c r="CFL96" s="11"/>
      <c r="CFM96" s="11"/>
      <c r="CFN96" s="11"/>
      <c r="CFO96" s="11"/>
      <c r="CFP96" s="11"/>
      <c r="CFQ96" s="11"/>
      <c r="CFR96" s="11"/>
      <c r="CFS96" s="11"/>
      <c r="CFT96" s="11"/>
      <c r="CFU96" s="11"/>
      <c r="CFV96" s="11"/>
      <c r="CFW96" s="11"/>
      <c r="CFX96" s="11"/>
      <c r="CFY96" s="11"/>
      <c r="CFZ96" s="11"/>
      <c r="CGA96" s="11"/>
      <c r="CGB96" s="11"/>
      <c r="CGC96" s="11"/>
      <c r="CGD96" s="11"/>
      <c r="CGE96" s="11"/>
      <c r="CGF96" s="11"/>
      <c r="CGG96" s="11"/>
      <c r="CGH96" s="11"/>
      <c r="CGI96" s="11"/>
      <c r="CGJ96" s="11"/>
      <c r="CGK96" s="11"/>
      <c r="CGL96" s="11"/>
      <c r="CGM96" s="11"/>
      <c r="CGN96" s="11"/>
      <c r="CGO96" s="11"/>
      <c r="CGP96" s="11"/>
      <c r="CGQ96" s="11"/>
      <c r="CGR96" s="11"/>
      <c r="CGS96" s="11"/>
      <c r="CGT96" s="11"/>
      <c r="CGU96" s="11"/>
      <c r="CGV96" s="11"/>
      <c r="CGW96" s="11"/>
      <c r="CGX96" s="11"/>
      <c r="CGY96" s="11"/>
      <c r="CGZ96" s="11"/>
      <c r="CHA96" s="11"/>
      <c r="CHB96" s="11"/>
      <c r="CHC96" s="11"/>
      <c r="CHD96" s="11"/>
      <c r="CHE96" s="11"/>
      <c r="CHF96" s="11"/>
      <c r="CHG96" s="11"/>
      <c r="CHH96" s="11"/>
      <c r="CHI96" s="11"/>
      <c r="CHJ96" s="11"/>
      <c r="CHK96" s="11"/>
      <c r="CHL96" s="11"/>
      <c r="CHM96" s="11"/>
      <c r="CHN96" s="11"/>
      <c r="CHO96" s="11"/>
      <c r="CHP96" s="11"/>
      <c r="CHQ96" s="11"/>
      <c r="CHR96" s="11"/>
      <c r="CHS96" s="11"/>
      <c r="CHT96" s="11"/>
      <c r="CHU96" s="11"/>
      <c r="CHV96" s="11"/>
      <c r="CHW96" s="11"/>
      <c r="CHX96" s="11"/>
      <c r="CHY96" s="11"/>
      <c r="CHZ96" s="11"/>
      <c r="CIA96" s="11"/>
      <c r="CIB96" s="11"/>
      <c r="CIC96" s="11"/>
      <c r="CID96" s="11"/>
      <c r="CIE96" s="11"/>
      <c r="CIF96" s="11"/>
      <c r="CIG96" s="11"/>
      <c r="CIH96" s="11"/>
      <c r="CII96" s="11"/>
      <c r="CIJ96" s="11"/>
      <c r="CIK96" s="11"/>
      <c r="CIL96" s="11"/>
      <c r="CIM96" s="11"/>
      <c r="CIN96" s="11"/>
      <c r="CIO96" s="11"/>
      <c r="CIP96" s="11"/>
      <c r="CIQ96" s="11"/>
      <c r="CIR96" s="11"/>
      <c r="CIS96" s="11"/>
      <c r="CIT96" s="11"/>
      <c r="CIU96" s="11"/>
      <c r="CIV96" s="11"/>
      <c r="CIW96" s="11"/>
      <c r="CIX96" s="11"/>
      <c r="CIY96" s="11"/>
      <c r="CIZ96" s="11"/>
      <c r="CJA96" s="11"/>
      <c r="CJB96" s="11"/>
      <c r="CJC96" s="11"/>
      <c r="CJD96" s="11"/>
      <c r="CJE96" s="11"/>
      <c r="CJF96" s="11"/>
      <c r="CJG96" s="11"/>
      <c r="CJH96" s="11"/>
      <c r="CJI96" s="11"/>
      <c r="CJJ96" s="11"/>
      <c r="CJK96" s="11"/>
      <c r="CJL96" s="11"/>
      <c r="CJM96" s="11"/>
      <c r="CJN96" s="11"/>
      <c r="CJO96" s="11"/>
      <c r="CJP96" s="11"/>
      <c r="CJQ96" s="11"/>
      <c r="CJR96" s="11"/>
      <c r="CJS96" s="11"/>
      <c r="CJT96" s="11"/>
      <c r="CJU96" s="11"/>
      <c r="CJV96" s="11"/>
      <c r="CJW96" s="11"/>
      <c r="CJX96" s="11"/>
      <c r="CJY96" s="11"/>
      <c r="CJZ96" s="11"/>
      <c r="CKA96" s="11"/>
      <c r="CKB96" s="11"/>
      <c r="CKC96" s="11"/>
      <c r="CKD96" s="11"/>
      <c r="CKE96" s="11"/>
      <c r="CKF96" s="11"/>
      <c r="CKG96" s="11"/>
      <c r="CKH96" s="11"/>
      <c r="CKI96" s="11"/>
      <c r="CKJ96" s="11"/>
      <c r="CKK96" s="11"/>
      <c r="CKL96" s="11"/>
      <c r="CKM96" s="11"/>
      <c r="CKN96" s="11"/>
      <c r="CKO96" s="11"/>
      <c r="CKP96" s="11"/>
      <c r="CKQ96" s="11"/>
      <c r="CKR96" s="11"/>
      <c r="CKS96" s="11"/>
      <c r="CKT96" s="11"/>
      <c r="CKU96" s="11"/>
      <c r="CKV96" s="11"/>
      <c r="CKW96" s="11"/>
      <c r="CKX96" s="11"/>
      <c r="CKY96" s="11"/>
      <c r="CKZ96" s="11"/>
      <c r="CLA96" s="11"/>
      <c r="CLB96" s="11"/>
      <c r="CLC96" s="11"/>
      <c r="CLD96" s="11"/>
      <c r="CLE96" s="11"/>
      <c r="CLF96" s="11"/>
      <c r="CLG96" s="11"/>
      <c r="CLH96" s="11"/>
      <c r="CLI96" s="11"/>
      <c r="CLJ96" s="11"/>
      <c r="CLK96" s="11"/>
      <c r="CLL96" s="11"/>
      <c r="CLM96" s="11"/>
      <c r="CLN96" s="11"/>
      <c r="CLO96" s="11"/>
      <c r="CLP96" s="11"/>
      <c r="CLQ96" s="11"/>
      <c r="CLR96" s="11"/>
      <c r="CLS96" s="11"/>
      <c r="CLT96" s="11"/>
      <c r="CLU96" s="11"/>
      <c r="CLV96" s="11"/>
      <c r="CLW96" s="11"/>
      <c r="CLX96" s="11"/>
      <c r="CLY96" s="11"/>
      <c r="CLZ96" s="11"/>
      <c r="CMA96" s="11"/>
      <c r="CMB96" s="11"/>
      <c r="CMC96" s="11"/>
      <c r="CMD96" s="11"/>
      <c r="CME96" s="11"/>
      <c r="CMF96" s="11"/>
      <c r="CMG96" s="11"/>
      <c r="CMH96" s="11"/>
      <c r="CMI96" s="11"/>
      <c r="CMJ96" s="11"/>
      <c r="CMK96" s="11"/>
      <c r="CML96" s="11"/>
      <c r="CMM96" s="11"/>
      <c r="CMN96" s="11"/>
      <c r="CMO96" s="11"/>
      <c r="CMP96" s="11"/>
      <c r="CMQ96" s="11"/>
      <c r="CMR96" s="11"/>
      <c r="CMS96" s="11"/>
      <c r="CMT96" s="11"/>
      <c r="CMU96" s="11"/>
      <c r="CMV96" s="11"/>
      <c r="CMW96" s="11"/>
      <c r="CMX96" s="11"/>
      <c r="CMY96" s="11"/>
      <c r="CMZ96" s="11"/>
      <c r="CNA96" s="11"/>
      <c r="CNB96" s="11"/>
      <c r="CNC96" s="11"/>
      <c r="CND96" s="11"/>
      <c r="CNE96" s="11"/>
      <c r="CNF96" s="11"/>
      <c r="CNG96" s="11"/>
      <c r="CNH96" s="11"/>
      <c r="CNI96" s="11"/>
      <c r="CNJ96" s="11"/>
      <c r="CNK96" s="11"/>
      <c r="CNL96" s="11"/>
      <c r="CNM96" s="11"/>
      <c r="CNN96" s="11"/>
      <c r="CNO96" s="11"/>
      <c r="CNP96" s="11"/>
      <c r="CNQ96" s="11"/>
      <c r="CNR96" s="11"/>
      <c r="CNS96" s="11"/>
      <c r="CNT96" s="11"/>
      <c r="CNU96" s="11"/>
      <c r="CNV96" s="11"/>
      <c r="CNW96" s="11"/>
      <c r="CNX96" s="11"/>
      <c r="CNY96" s="11"/>
      <c r="CNZ96" s="11"/>
      <c r="COA96" s="11"/>
      <c r="COB96" s="11"/>
      <c r="COC96" s="11"/>
      <c r="COD96" s="11"/>
      <c r="COE96" s="11"/>
      <c r="COF96" s="11"/>
      <c r="COG96" s="11"/>
      <c r="COH96" s="11"/>
      <c r="COI96" s="11"/>
      <c r="COJ96" s="11"/>
      <c r="COK96" s="11"/>
      <c r="COL96" s="11"/>
      <c r="COM96" s="11"/>
      <c r="CON96" s="11"/>
      <c r="COO96" s="11"/>
      <c r="COP96" s="11"/>
      <c r="COQ96" s="11"/>
      <c r="COR96" s="11"/>
      <c r="COS96" s="11"/>
      <c r="COT96" s="11"/>
      <c r="COU96" s="11"/>
      <c r="COV96" s="11"/>
      <c r="COW96" s="11"/>
      <c r="COX96" s="11"/>
      <c r="COY96" s="11"/>
      <c r="COZ96" s="11"/>
      <c r="CPA96" s="11"/>
      <c r="CPB96" s="11"/>
      <c r="CPC96" s="11"/>
      <c r="CPD96" s="11"/>
      <c r="CPE96" s="11"/>
      <c r="CPF96" s="11"/>
      <c r="CPG96" s="11"/>
      <c r="CPH96" s="11"/>
      <c r="CPI96" s="11"/>
      <c r="CPJ96" s="11"/>
      <c r="CPK96" s="11"/>
      <c r="CPL96" s="11"/>
      <c r="CPM96" s="11"/>
      <c r="CPN96" s="11"/>
      <c r="CPO96" s="11"/>
      <c r="CPP96" s="11"/>
      <c r="CPQ96" s="11"/>
      <c r="CPR96" s="11"/>
      <c r="CPS96" s="11"/>
      <c r="CPT96" s="11"/>
      <c r="CPU96" s="11"/>
      <c r="CPV96" s="11"/>
      <c r="CPW96" s="11"/>
      <c r="CPX96" s="11"/>
      <c r="CPY96" s="11"/>
      <c r="CPZ96" s="11"/>
      <c r="CQA96" s="11"/>
      <c r="CQB96" s="11"/>
      <c r="CQC96" s="11"/>
      <c r="CQD96" s="11"/>
      <c r="CQE96" s="11"/>
      <c r="CQF96" s="11"/>
      <c r="CQG96" s="11"/>
      <c r="CQH96" s="11"/>
      <c r="CQI96" s="11"/>
      <c r="CQJ96" s="11"/>
      <c r="CQK96" s="11"/>
      <c r="CQL96" s="11"/>
      <c r="CQM96" s="11"/>
      <c r="CQN96" s="11"/>
      <c r="CQO96" s="11"/>
      <c r="CQP96" s="11"/>
      <c r="CQQ96" s="11"/>
      <c r="CQR96" s="11"/>
      <c r="CQS96" s="11"/>
      <c r="CQT96" s="11"/>
      <c r="CQU96" s="11"/>
      <c r="CQV96" s="11"/>
      <c r="CQW96" s="11"/>
      <c r="CQX96" s="11"/>
      <c r="CQY96" s="11"/>
      <c r="CQZ96" s="11"/>
      <c r="CRA96" s="11"/>
      <c r="CRB96" s="11"/>
      <c r="CRC96" s="11"/>
      <c r="CRD96" s="11"/>
      <c r="CRE96" s="11"/>
      <c r="CRF96" s="11"/>
      <c r="CRG96" s="11"/>
      <c r="CRH96" s="11"/>
      <c r="CRI96" s="11"/>
      <c r="CRJ96" s="11"/>
      <c r="CRK96" s="11"/>
      <c r="CRL96" s="11"/>
      <c r="CRM96" s="11"/>
      <c r="CRN96" s="11"/>
      <c r="CRO96" s="11"/>
      <c r="CRP96" s="11"/>
      <c r="CRQ96" s="11"/>
      <c r="CRR96" s="11"/>
      <c r="CRS96" s="11"/>
      <c r="CRT96" s="11"/>
      <c r="CRU96" s="11"/>
      <c r="CRV96" s="11"/>
      <c r="CRW96" s="11"/>
      <c r="CRX96" s="11"/>
      <c r="CRY96" s="11"/>
      <c r="CRZ96" s="11"/>
      <c r="CSA96" s="11"/>
      <c r="CSB96" s="11"/>
      <c r="CSC96" s="11"/>
      <c r="CSD96" s="11"/>
      <c r="CSE96" s="11"/>
      <c r="CSF96" s="11"/>
      <c r="CSG96" s="11"/>
      <c r="CSH96" s="11"/>
      <c r="CSI96" s="11"/>
      <c r="CSJ96" s="11"/>
      <c r="CSK96" s="11"/>
      <c r="CSL96" s="11"/>
      <c r="CSM96" s="11"/>
      <c r="CSN96" s="11"/>
      <c r="CSO96" s="11"/>
      <c r="CSP96" s="11"/>
      <c r="CSQ96" s="11"/>
      <c r="CSR96" s="11"/>
      <c r="CSS96" s="11"/>
      <c r="CST96" s="11"/>
      <c r="CSU96" s="11"/>
      <c r="CSV96" s="11"/>
      <c r="CSW96" s="11"/>
      <c r="CSX96" s="11"/>
      <c r="CSY96" s="11"/>
      <c r="CSZ96" s="11"/>
      <c r="CTA96" s="11"/>
      <c r="CTB96" s="11"/>
      <c r="CTC96" s="11"/>
      <c r="CTD96" s="11"/>
      <c r="CTE96" s="11"/>
      <c r="CTF96" s="11"/>
      <c r="CTG96" s="11"/>
      <c r="CTH96" s="11"/>
      <c r="CTI96" s="11"/>
      <c r="CTJ96" s="11"/>
      <c r="CTK96" s="11"/>
      <c r="CTL96" s="11"/>
      <c r="CTM96" s="11"/>
      <c r="CTN96" s="11"/>
      <c r="CTO96" s="11"/>
      <c r="CTP96" s="11"/>
      <c r="CTQ96" s="11"/>
      <c r="CTR96" s="11"/>
      <c r="CTS96" s="11"/>
      <c r="CTT96" s="11"/>
      <c r="CTU96" s="11"/>
      <c r="CTV96" s="11"/>
      <c r="CTW96" s="11"/>
      <c r="CTX96" s="11"/>
      <c r="CTY96" s="11"/>
      <c r="CTZ96" s="11"/>
      <c r="CUA96" s="11"/>
      <c r="CUB96" s="11"/>
      <c r="CUC96" s="11"/>
      <c r="CUD96" s="11"/>
      <c r="CUE96" s="11"/>
      <c r="CUF96" s="11"/>
      <c r="CUG96" s="11"/>
      <c r="CUH96" s="11"/>
      <c r="CUI96" s="11"/>
      <c r="CUJ96" s="11"/>
      <c r="CUK96" s="11"/>
      <c r="CUL96" s="11"/>
      <c r="CUM96" s="11"/>
      <c r="CUN96" s="11"/>
      <c r="CUO96" s="11"/>
      <c r="CUP96" s="11"/>
      <c r="CUQ96" s="11"/>
      <c r="CUR96" s="11"/>
      <c r="CUS96" s="11"/>
      <c r="CUT96" s="11"/>
      <c r="CUU96" s="11"/>
      <c r="CUV96" s="11"/>
      <c r="CUW96" s="11"/>
      <c r="CUX96" s="11"/>
      <c r="CUY96" s="11"/>
      <c r="CUZ96" s="11"/>
      <c r="CVA96" s="11"/>
      <c r="CVB96" s="11"/>
      <c r="CVC96" s="11"/>
      <c r="CVD96" s="11"/>
      <c r="CVE96" s="11"/>
      <c r="CVF96" s="11"/>
      <c r="CVG96" s="11"/>
      <c r="CVH96" s="11"/>
      <c r="CVI96" s="11"/>
      <c r="CVJ96" s="11"/>
      <c r="CVK96" s="11"/>
      <c r="CVL96" s="11"/>
      <c r="CVM96" s="11"/>
      <c r="CVN96" s="11"/>
      <c r="CVO96" s="11"/>
      <c r="CVP96" s="11"/>
      <c r="CVQ96" s="11"/>
      <c r="CVR96" s="11"/>
      <c r="CVS96" s="11"/>
      <c r="CVT96" s="11"/>
      <c r="CVU96" s="11"/>
      <c r="CVV96" s="11"/>
      <c r="CVW96" s="11"/>
      <c r="CVX96" s="11"/>
      <c r="CVY96" s="11"/>
      <c r="CVZ96" s="11"/>
      <c r="CWA96" s="11"/>
      <c r="CWB96" s="11"/>
      <c r="CWC96" s="11"/>
      <c r="CWD96" s="11"/>
      <c r="CWE96" s="11"/>
      <c r="CWF96" s="11"/>
      <c r="CWG96" s="11"/>
      <c r="CWH96" s="11"/>
      <c r="CWI96" s="11"/>
      <c r="CWJ96" s="11"/>
      <c r="CWK96" s="11"/>
      <c r="CWL96" s="11"/>
      <c r="CWM96" s="11"/>
      <c r="CWN96" s="11"/>
      <c r="CWO96" s="11"/>
      <c r="CWP96" s="11"/>
      <c r="CWQ96" s="11"/>
      <c r="CWR96" s="11"/>
      <c r="CWS96" s="11"/>
      <c r="CWT96" s="11"/>
      <c r="CWU96" s="11"/>
      <c r="CWV96" s="11"/>
      <c r="CWW96" s="11"/>
      <c r="CWX96" s="11"/>
      <c r="CWY96" s="11"/>
      <c r="CWZ96" s="11"/>
      <c r="CXA96" s="11"/>
      <c r="CXB96" s="11"/>
      <c r="CXC96" s="11"/>
      <c r="CXD96" s="11"/>
      <c r="CXE96" s="11"/>
      <c r="CXF96" s="11"/>
      <c r="CXG96" s="11"/>
      <c r="CXH96" s="11"/>
      <c r="CXI96" s="11"/>
      <c r="CXJ96" s="11"/>
      <c r="CXK96" s="11"/>
      <c r="CXL96" s="11"/>
      <c r="CXM96" s="11"/>
      <c r="CXN96" s="11"/>
      <c r="CXO96" s="11"/>
      <c r="CXP96" s="11"/>
      <c r="CXQ96" s="11"/>
      <c r="CXR96" s="11"/>
      <c r="CXS96" s="11"/>
      <c r="CXT96" s="11"/>
      <c r="CXU96" s="11"/>
      <c r="CXV96" s="11"/>
      <c r="CXW96" s="11"/>
      <c r="CXX96" s="11"/>
      <c r="CXY96" s="11"/>
      <c r="CXZ96" s="11"/>
      <c r="CYA96" s="11"/>
      <c r="CYB96" s="11"/>
      <c r="CYC96" s="11"/>
      <c r="CYD96" s="11"/>
      <c r="CYE96" s="11"/>
      <c r="CYF96" s="11"/>
      <c r="CYG96" s="11"/>
      <c r="CYH96" s="11"/>
      <c r="CYI96" s="11"/>
      <c r="CYJ96" s="11"/>
      <c r="CYK96" s="11"/>
      <c r="CYL96" s="11"/>
      <c r="CYM96" s="11"/>
      <c r="CYN96" s="11"/>
      <c r="CYO96" s="11"/>
      <c r="CYP96" s="11"/>
      <c r="CYQ96" s="11"/>
      <c r="CYR96" s="11"/>
      <c r="CYS96" s="11"/>
      <c r="CYT96" s="11"/>
      <c r="CYU96" s="11"/>
      <c r="CYV96" s="11"/>
      <c r="CYW96" s="11"/>
      <c r="CYX96" s="11"/>
      <c r="CYY96" s="11"/>
      <c r="CYZ96" s="11"/>
      <c r="CZA96" s="11"/>
      <c r="CZB96" s="11"/>
      <c r="CZC96" s="11"/>
      <c r="CZD96" s="11"/>
      <c r="CZE96" s="11"/>
      <c r="CZF96" s="11"/>
      <c r="CZG96" s="11"/>
      <c r="CZH96" s="11"/>
      <c r="CZI96" s="11"/>
      <c r="CZJ96" s="11"/>
      <c r="CZK96" s="11"/>
      <c r="CZL96" s="11"/>
      <c r="CZM96" s="11"/>
      <c r="CZN96" s="11"/>
      <c r="CZO96" s="11"/>
      <c r="CZP96" s="11"/>
      <c r="CZQ96" s="11"/>
      <c r="CZR96" s="11"/>
      <c r="CZS96" s="11"/>
      <c r="CZT96" s="11"/>
      <c r="CZU96" s="11"/>
      <c r="CZV96" s="11"/>
      <c r="CZW96" s="11"/>
      <c r="CZX96" s="11"/>
      <c r="CZY96" s="11"/>
      <c r="CZZ96" s="11"/>
      <c r="DAA96" s="11"/>
      <c r="DAB96" s="11"/>
      <c r="DAC96" s="11"/>
      <c r="DAD96" s="11"/>
      <c r="DAE96" s="11"/>
      <c r="DAF96" s="11"/>
      <c r="DAG96" s="11"/>
      <c r="DAH96" s="11"/>
      <c r="DAI96" s="11"/>
      <c r="DAJ96" s="11"/>
      <c r="DAK96" s="11"/>
      <c r="DAL96" s="11"/>
      <c r="DAM96" s="11"/>
      <c r="DAN96" s="11"/>
      <c r="DAO96" s="11"/>
      <c r="DAP96" s="11"/>
      <c r="DAQ96" s="11"/>
      <c r="DAR96" s="11"/>
      <c r="DAS96" s="11"/>
      <c r="DAT96" s="11"/>
      <c r="DAU96" s="11"/>
      <c r="DAV96" s="11"/>
      <c r="DAW96" s="11"/>
      <c r="DAX96" s="11"/>
      <c r="DAY96" s="11"/>
      <c r="DAZ96" s="11"/>
      <c r="DBA96" s="11"/>
      <c r="DBB96" s="11"/>
      <c r="DBC96" s="11"/>
      <c r="DBD96" s="11"/>
      <c r="DBE96" s="11"/>
      <c r="DBF96" s="11"/>
      <c r="DBG96" s="11"/>
      <c r="DBH96" s="11"/>
      <c r="DBI96" s="11"/>
      <c r="DBJ96" s="11"/>
      <c r="DBK96" s="11"/>
      <c r="DBL96" s="11"/>
      <c r="DBM96" s="11"/>
      <c r="DBN96" s="11"/>
      <c r="DBO96" s="11"/>
      <c r="DBP96" s="11"/>
      <c r="DBQ96" s="11"/>
      <c r="DBR96" s="11"/>
      <c r="DBS96" s="11"/>
      <c r="DBT96" s="11"/>
      <c r="DBU96" s="11"/>
      <c r="DBV96" s="11"/>
      <c r="DBW96" s="11"/>
      <c r="DBX96" s="11"/>
      <c r="DBY96" s="11"/>
      <c r="DBZ96" s="11"/>
      <c r="DCA96" s="11"/>
      <c r="DCB96" s="11"/>
      <c r="DCC96" s="11"/>
      <c r="DCD96" s="11"/>
      <c r="DCE96" s="11"/>
      <c r="DCF96" s="11"/>
      <c r="DCG96" s="11"/>
      <c r="DCH96" s="11"/>
      <c r="DCI96" s="11"/>
      <c r="DCJ96" s="11"/>
      <c r="DCK96" s="11"/>
      <c r="DCL96" s="11"/>
      <c r="DCM96" s="11"/>
      <c r="DCN96" s="11"/>
      <c r="DCO96" s="11"/>
      <c r="DCP96" s="11"/>
      <c r="DCQ96" s="11"/>
      <c r="DCR96" s="11"/>
      <c r="DCS96" s="11"/>
      <c r="DCT96" s="11"/>
      <c r="DCU96" s="11"/>
      <c r="DCV96" s="11"/>
      <c r="DCW96" s="11"/>
      <c r="DCX96" s="11"/>
      <c r="DCY96" s="11"/>
      <c r="DCZ96" s="11"/>
      <c r="DDA96" s="11"/>
      <c r="DDB96" s="11"/>
      <c r="DDC96" s="11"/>
      <c r="DDD96" s="11"/>
      <c r="DDE96" s="11"/>
      <c r="DDF96" s="11"/>
      <c r="DDG96" s="11"/>
      <c r="DDH96" s="11"/>
      <c r="DDI96" s="11"/>
      <c r="DDJ96" s="11"/>
      <c r="DDK96" s="11"/>
      <c r="DDL96" s="11"/>
      <c r="DDM96" s="11"/>
      <c r="DDN96" s="11"/>
      <c r="DDO96" s="11"/>
      <c r="DDP96" s="11"/>
      <c r="DDQ96" s="11"/>
      <c r="DDR96" s="11"/>
      <c r="DDS96" s="11"/>
      <c r="DDT96" s="11"/>
      <c r="DDU96" s="11"/>
      <c r="DDV96" s="11"/>
      <c r="DDW96" s="11"/>
      <c r="DDX96" s="11"/>
      <c r="DDY96" s="11"/>
      <c r="DDZ96" s="11"/>
      <c r="DEA96" s="11"/>
      <c r="DEB96" s="11"/>
      <c r="DEC96" s="11"/>
      <c r="DED96" s="11"/>
      <c r="DEE96" s="11"/>
      <c r="DEF96" s="11"/>
      <c r="DEG96" s="11"/>
      <c r="DEH96" s="11"/>
      <c r="DEI96" s="11"/>
      <c r="DEJ96" s="11"/>
      <c r="DEK96" s="11"/>
      <c r="DEL96" s="11"/>
      <c r="DEM96" s="11"/>
      <c r="DEN96" s="11"/>
      <c r="DEO96" s="11"/>
      <c r="DEP96" s="11"/>
      <c r="DEQ96" s="11"/>
      <c r="DER96" s="11"/>
      <c r="DES96" s="11"/>
      <c r="DET96" s="11"/>
      <c r="DEU96" s="11"/>
      <c r="DEV96" s="11"/>
      <c r="DEW96" s="11"/>
      <c r="DEX96" s="11"/>
      <c r="DEY96" s="11"/>
      <c r="DEZ96" s="11"/>
      <c r="DFA96" s="11"/>
      <c r="DFB96" s="11"/>
      <c r="DFC96" s="11"/>
      <c r="DFD96" s="11"/>
      <c r="DFE96" s="11"/>
      <c r="DFF96" s="11"/>
      <c r="DFG96" s="11"/>
      <c r="DFH96" s="11"/>
      <c r="DFI96" s="11"/>
      <c r="DFJ96" s="11"/>
      <c r="DFK96" s="11"/>
      <c r="DFL96" s="11"/>
      <c r="DFM96" s="11"/>
      <c r="DFN96" s="11"/>
      <c r="DFO96" s="11"/>
      <c r="DFP96" s="11"/>
      <c r="DFQ96" s="11"/>
      <c r="DFR96" s="11"/>
      <c r="DFS96" s="11"/>
      <c r="DFT96" s="11"/>
      <c r="DFU96" s="11"/>
      <c r="DFV96" s="11"/>
      <c r="DFW96" s="11"/>
      <c r="DFX96" s="11"/>
      <c r="DFY96" s="11"/>
      <c r="DFZ96" s="11"/>
      <c r="DGA96" s="11"/>
      <c r="DGB96" s="11"/>
      <c r="DGC96" s="11"/>
      <c r="DGD96" s="11"/>
      <c r="DGE96" s="11"/>
      <c r="DGF96" s="11"/>
      <c r="DGG96" s="11"/>
      <c r="DGH96" s="11"/>
      <c r="DGI96" s="11"/>
      <c r="DGJ96" s="11"/>
      <c r="DGK96" s="11"/>
      <c r="DGL96" s="11"/>
      <c r="DGM96" s="11"/>
      <c r="DGN96" s="11"/>
      <c r="DGO96" s="11"/>
      <c r="DGP96" s="11"/>
      <c r="DGQ96" s="11"/>
      <c r="DGR96" s="11"/>
      <c r="DGS96" s="11"/>
      <c r="DGT96" s="11"/>
      <c r="DGU96" s="11"/>
      <c r="DGV96" s="11"/>
      <c r="DGW96" s="11"/>
      <c r="DGX96" s="11"/>
      <c r="DGY96" s="11"/>
      <c r="DGZ96" s="11"/>
      <c r="DHA96" s="11"/>
      <c r="DHB96" s="11"/>
      <c r="DHC96" s="11"/>
      <c r="DHD96" s="11"/>
      <c r="DHE96" s="11"/>
      <c r="DHF96" s="11"/>
      <c r="DHG96" s="11"/>
      <c r="DHH96" s="11"/>
      <c r="DHI96" s="11"/>
      <c r="DHJ96" s="11"/>
      <c r="DHK96" s="11"/>
      <c r="DHL96" s="11"/>
      <c r="DHM96" s="11"/>
      <c r="DHN96" s="11"/>
      <c r="DHO96" s="11"/>
      <c r="DHP96" s="11"/>
      <c r="DHQ96" s="11"/>
      <c r="DHR96" s="11"/>
      <c r="DHS96" s="11"/>
      <c r="DHT96" s="11"/>
      <c r="DHU96" s="11"/>
      <c r="DHV96" s="11"/>
      <c r="DHW96" s="11"/>
      <c r="DHX96" s="11"/>
      <c r="DHY96" s="11"/>
      <c r="DHZ96" s="11"/>
      <c r="DIA96" s="11"/>
      <c r="DIB96" s="11"/>
      <c r="DIC96" s="11"/>
      <c r="DID96" s="11"/>
      <c r="DIE96" s="11"/>
      <c r="DIF96" s="11"/>
      <c r="DIG96" s="11"/>
      <c r="DIH96" s="11"/>
      <c r="DII96" s="11"/>
      <c r="DIJ96" s="11"/>
      <c r="DIK96" s="11"/>
      <c r="DIL96" s="11"/>
      <c r="DIM96" s="11"/>
      <c r="DIN96" s="11"/>
      <c r="DIO96" s="11"/>
      <c r="DIP96" s="11"/>
      <c r="DIQ96" s="11"/>
      <c r="DIR96" s="11"/>
      <c r="DIS96" s="11"/>
      <c r="DIT96" s="11"/>
      <c r="DIU96" s="11"/>
      <c r="DIV96" s="11"/>
      <c r="DIW96" s="11"/>
      <c r="DIX96" s="11"/>
      <c r="DIY96" s="11"/>
      <c r="DIZ96" s="11"/>
      <c r="DJA96" s="11"/>
      <c r="DJB96" s="11"/>
      <c r="DJC96" s="11"/>
      <c r="DJD96" s="11"/>
      <c r="DJE96" s="11"/>
      <c r="DJF96" s="11"/>
      <c r="DJG96" s="11"/>
      <c r="DJH96" s="11"/>
      <c r="DJI96" s="11"/>
      <c r="DJJ96" s="11"/>
      <c r="DJK96" s="11"/>
      <c r="DJL96" s="11"/>
      <c r="DJM96" s="11"/>
      <c r="DJN96" s="11"/>
      <c r="DJO96" s="11"/>
      <c r="DJP96" s="11"/>
      <c r="DJQ96" s="11"/>
      <c r="DJR96" s="11"/>
      <c r="DJS96" s="11"/>
      <c r="DJT96" s="11"/>
      <c r="DJU96" s="11"/>
      <c r="DJV96" s="11"/>
      <c r="DJW96" s="11"/>
      <c r="DJX96" s="11"/>
      <c r="DJY96" s="11"/>
      <c r="DJZ96" s="11"/>
      <c r="DKA96" s="11"/>
      <c r="DKB96" s="11"/>
      <c r="DKC96" s="11"/>
      <c r="DKD96" s="11"/>
      <c r="DKE96" s="11"/>
      <c r="DKF96" s="11"/>
      <c r="DKG96" s="11"/>
      <c r="DKH96" s="11"/>
      <c r="DKI96" s="11"/>
      <c r="DKJ96" s="11"/>
      <c r="DKK96" s="11"/>
      <c r="DKL96" s="11"/>
      <c r="DKM96" s="11"/>
      <c r="DKN96" s="11"/>
      <c r="DKO96" s="11"/>
      <c r="DKP96" s="11"/>
      <c r="DKQ96" s="11"/>
      <c r="DKR96" s="11"/>
      <c r="DKS96" s="11"/>
      <c r="DKT96" s="11"/>
      <c r="DKU96" s="11"/>
      <c r="DKV96" s="11"/>
      <c r="DKW96" s="11"/>
      <c r="DKX96" s="11"/>
      <c r="DKY96" s="11"/>
      <c r="DKZ96" s="11"/>
      <c r="DLA96" s="11"/>
      <c r="DLB96" s="11"/>
      <c r="DLC96" s="11"/>
      <c r="DLD96" s="11"/>
      <c r="DLE96" s="11"/>
      <c r="DLF96" s="11"/>
      <c r="DLG96" s="11"/>
      <c r="DLH96" s="11"/>
      <c r="DLI96" s="11"/>
      <c r="DLJ96" s="11"/>
      <c r="DLK96" s="11"/>
      <c r="DLL96" s="11"/>
      <c r="DLM96" s="11"/>
      <c r="DLN96" s="11"/>
      <c r="DLO96" s="11"/>
      <c r="DLP96" s="11"/>
      <c r="DLQ96" s="11"/>
      <c r="DLR96" s="11"/>
      <c r="DLS96" s="11"/>
      <c r="DLT96" s="11"/>
      <c r="DLU96" s="11"/>
      <c r="DLV96" s="11"/>
      <c r="DLW96" s="11"/>
      <c r="DLX96" s="11"/>
      <c r="DLY96" s="11"/>
      <c r="DLZ96" s="11"/>
      <c r="DMA96" s="11"/>
      <c r="DMB96" s="11"/>
      <c r="DMC96" s="11"/>
      <c r="DMD96" s="11"/>
      <c r="DME96" s="11"/>
      <c r="DMF96" s="11"/>
      <c r="DMG96" s="11"/>
      <c r="DMH96" s="11"/>
      <c r="DMI96" s="11"/>
      <c r="DMJ96" s="11"/>
      <c r="DMK96" s="11"/>
      <c r="DML96" s="11"/>
      <c r="DMM96" s="11"/>
      <c r="DMN96" s="11"/>
      <c r="DMO96" s="11"/>
      <c r="DMP96" s="11"/>
      <c r="DMQ96" s="11"/>
      <c r="DMR96" s="11"/>
      <c r="DMS96" s="11"/>
      <c r="DMT96" s="11"/>
      <c r="DMU96" s="11"/>
      <c r="DMV96" s="11"/>
      <c r="DMW96" s="11"/>
      <c r="DMX96" s="11"/>
      <c r="DMY96" s="11"/>
      <c r="DMZ96" s="11"/>
      <c r="DNA96" s="11"/>
      <c r="DNB96" s="11"/>
      <c r="DNC96" s="11"/>
      <c r="DND96" s="11"/>
      <c r="DNE96" s="11"/>
      <c r="DNF96" s="11"/>
      <c r="DNG96" s="11"/>
      <c r="DNH96" s="11"/>
      <c r="DNI96" s="11"/>
      <c r="DNJ96" s="11"/>
      <c r="DNK96" s="11"/>
      <c r="DNL96" s="11"/>
      <c r="DNM96" s="11"/>
      <c r="DNN96" s="11"/>
      <c r="DNO96" s="11"/>
      <c r="DNP96" s="11"/>
      <c r="DNQ96" s="11"/>
      <c r="DNR96" s="11"/>
      <c r="DNS96" s="11"/>
      <c r="DNT96" s="11"/>
      <c r="DNU96" s="11"/>
      <c r="DNV96" s="11"/>
      <c r="DNW96" s="11"/>
      <c r="DNX96" s="11"/>
      <c r="DNY96" s="11"/>
      <c r="DNZ96" s="11"/>
      <c r="DOA96" s="11"/>
      <c r="DOB96" s="11"/>
      <c r="DOC96" s="11"/>
      <c r="DOD96" s="11"/>
      <c r="DOE96" s="11"/>
      <c r="DOF96" s="11"/>
      <c r="DOG96" s="11"/>
      <c r="DOH96" s="11"/>
      <c r="DOI96" s="11"/>
      <c r="DOJ96" s="11"/>
      <c r="DOK96" s="11"/>
      <c r="DOL96" s="11"/>
      <c r="DOM96" s="11"/>
      <c r="DON96" s="11"/>
      <c r="DOO96" s="11"/>
      <c r="DOP96" s="11"/>
      <c r="DOQ96" s="11"/>
      <c r="DOR96" s="11"/>
      <c r="DOS96" s="11"/>
      <c r="DOT96" s="11"/>
      <c r="DOU96" s="11"/>
      <c r="DOV96" s="11"/>
      <c r="DOW96" s="11"/>
      <c r="DOX96" s="11"/>
      <c r="DOY96" s="11"/>
      <c r="DOZ96" s="11"/>
      <c r="DPA96" s="11"/>
      <c r="DPB96" s="11"/>
      <c r="DPC96" s="11"/>
      <c r="DPD96" s="11"/>
      <c r="DPE96" s="11"/>
      <c r="DPF96" s="11"/>
      <c r="DPG96" s="11"/>
      <c r="DPH96" s="11"/>
      <c r="DPI96" s="11"/>
      <c r="DPJ96" s="11"/>
      <c r="DPK96" s="11"/>
      <c r="DPL96" s="11"/>
      <c r="DPM96" s="11"/>
      <c r="DPN96" s="11"/>
      <c r="DPO96" s="11"/>
      <c r="DPP96" s="11"/>
      <c r="DPQ96" s="11"/>
      <c r="DPR96" s="11"/>
      <c r="DPS96" s="11"/>
      <c r="DPT96" s="11"/>
      <c r="DPU96" s="11"/>
      <c r="DPV96" s="11"/>
      <c r="DPW96" s="11"/>
      <c r="DPX96" s="11"/>
      <c r="DPY96" s="11"/>
      <c r="DPZ96" s="11"/>
      <c r="DQA96" s="11"/>
      <c r="DQB96" s="11"/>
      <c r="DQC96" s="11"/>
      <c r="DQD96" s="11"/>
      <c r="DQE96" s="11"/>
      <c r="DQF96" s="11"/>
      <c r="DQG96" s="11"/>
      <c r="DQH96" s="11"/>
      <c r="DQI96" s="11"/>
      <c r="DQJ96" s="11"/>
      <c r="DQK96" s="11"/>
      <c r="DQL96" s="11"/>
      <c r="DQM96" s="11"/>
      <c r="DQN96" s="11"/>
      <c r="DQO96" s="11"/>
      <c r="DQP96" s="11"/>
      <c r="DQQ96" s="11"/>
      <c r="DQR96" s="11"/>
      <c r="DQS96" s="11"/>
      <c r="DQT96" s="11"/>
      <c r="DQU96" s="11"/>
      <c r="DQV96" s="11"/>
      <c r="DQW96" s="11"/>
      <c r="DQX96" s="11"/>
      <c r="DQY96" s="11"/>
      <c r="DQZ96" s="11"/>
      <c r="DRA96" s="11"/>
      <c r="DRB96" s="11"/>
      <c r="DRC96" s="11"/>
      <c r="DRD96" s="11"/>
      <c r="DRE96" s="11"/>
      <c r="DRF96" s="11"/>
      <c r="DRG96" s="11"/>
      <c r="DRH96" s="11"/>
      <c r="DRI96" s="11"/>
      <c r="DRJ96" s="11"/>
      <c r="DRK96" s="11"/>
      <c r="DRL96" s="11"/>
      <c r="DRM96" s="11"/>
      <c r="DRN96" s="11"/>
      <c r="DRO96" s="11"/>
      <c r="DRP96" s="11"/>
      <c r="DRQ96" s="11"/>
      <c r="DRR96" s="11"/>
      <c r="DRS96" s="11"/>
      <c r="DRT96" s="11"/>
      <c r="DRU96" s="11"/>
      <c r="DRV96" s="11"/>
      <c r="DRW96" s="11"/>
      <c r="DRX96" s="11"/>
      <c r="DRY96" s="11"/>
      <c r="DRZ96" s="11"/>
      <c r="DSA96" s="11"/>
      <c r="DSB96" s="11"/>
      <c r="DSC96" s="11"/>
      <c r="DSD96" s="11"/>
      <c r="DSE96" s="11"/>
      <c r="DSF96" s="11"/>
      <c r="DSG96" s="11"/>
      <c r="DSH96" s="11"/>
      <c r="DSI96" s="11"/>
      <c r="DSJ96" s="11"/>
      <c r="DSK96" s="11"/>
      <c r="DSL96" s="11"/>
      <c r="DSM96" s="11"/>
      <c r="DSN96" s="11"/>
      <c r="DSO96" s="11"/>
      <c r="DSP96" s="11"/>
      <c r="DSQ96" s="11"/>
      <c r="DSR96" s="11"/>
      <c r="DSS96" s="11"/>
      <c r="DST96" s="11"/>
      <c r="DSU96" s="11"/>
      <c r="DSV96" s="11"/>
      <c r="DSW96" s="11"/>
      <c r="DSX96" s="11"/>
      <c r="DSY96" s="11"/>
      <c r="DSZ96" s="11"/>
      <c r="DTA96" s="11"/>
      <c r="DTB96" s="11"/>
      <c r="DTC96" s="11"/>
      <c r="DTD96" s="11"/>
      <c r="DTE96" s="11"/>
      <c r="DTF96" s="11"/>
      <c r="DTG96" s="11"/>
      <c r="DTH96" s="11"/>
      <c r="DTI96" s="11"/>
      <c r="DTJ96" s="11"/>
      <c r="DTK96" s="11"/>
      <c r="DTL96" s="11"/>
      <c r="DTM96" s="11"/>
      <c r="DTN96" s="11"/>
      <c r="DTO96" s="11"/>
      <c r="DTP96" s="11"/>
      <c r="DTQ96" s="11"/>
      <c r="DTR96" s="11"/>
      <c r="DTS96" s="11"/>
      <c r="DTT96" s="11"/>
      <c r="DTU96" s="11"/>
      <c r="DTV96" s="11"/>
      <c r="DTW96" s="11"/>
      <c r="DTX96" s="11"/>
      <c r="DTY96" s="11"/>
      <c r="DTZ96" s="11"/>
      <c r="DUA96" s="11"/>
      <c r="DUB96" s="11"/>
      <c r="DUC96" s="11"/>
      <c r="DUD96" s="11"/>
      <c r="DUE96" s="11"/>
      <c r="DUF96" s="11"/>
      <c r="DUG96" s="11"/>
      <c r="DUH96" s="11"/>
      <c r="DUI96" s="11"/>
      <c r="DUJ96" s="11"/>
      <c r="DUK96" s="11"/>
      <c r="DUL96" s="11"/>
      <c r="DUM96" s="11"/>
      <c r="DUN96" s="11"/>
      <c r="DUO96" s="11"/>
      <c r="DUP96" s="11"/>
      <c r="DUQ96" s="11"/>
      <c r="DUR96" s="11"/>
      <c r="DUS96" s="11"/>
      <c r="DUT96" s="11"/>
      <c r="DUU96" s="11"/>
      <c r="DUV96" s="11"/>
      <c r="DUW96" s="11"/>
      <c r="DUX96" s="11"/>
      <c r="DUY96" s="11"/>
      <c r="DUZ96" s="11"/>
      <c r="DVA96" s="11"/>
      <c r="DVB96" s="11"/>
      <c r="DVC96" s="11"/>
      <c r="DVD96" s="11"/>
      <c r="DVE96" s="11"/>
      <c r="DVF96" s="11"/>
      <c r="DVG96" s="11"/>
      <c r="DVH96" s="11"/>
      <c r="DVI96" s="11"/>
      <c r="DVJ96" s="11"/>
      <c r="DVK96" s="11"/>
      <c r="DVL96" s="11"/>
      <c r="DVM96" s="11"/>
      <c r="DVN96" s="11"/>
      <c r="DVO96" s="11"/>
      <c r="DVP96" s="11"/>
      <c r="DVQ96" s="11"/>
      <c r="DVR96" s="11"/>
      <c r="DVS96" s="11"/>
      <c r="DVT96" s="11"/>
      <c r="DVU96" s="11"/>
      <c r="DVV96" s="11"/>
      <c r="DVW96" s="11"/>
      <c r="DVX96" s="11"/>
      <c r="DVY96" s="11"/>
      <c r="DVZ96" s="11"/>
      <c r="DWA96" s="11"/>
      <c r="DWB96" s="11"/>
      <c r="DWC96" s="11"/>
      <c r="DWD96" s="11"/>
      <c r="DWE96" s="11"/>
      <c r="DWF96" s="11"/>
      <c r="DWG96" s="11"/>
      <c r="DWH96" s="11"/>
      <c r="DWI96" s="11"/>
      <c r="DWJ96" s="11"/>
      <c r="DWK96" s="11"/>
      <c r="DWL96" s="11"/>
      <c r="DWM96" s="11"/>
      <c r="DWN96" s="11"/>
      <c r="DWO96" s="11"/>
      <c r="DWP96" s="11"/>
      <c r="DWQ96" s="11"/>
      <c r="DWR96" s="11"/>
      <c r="DWS96" s="11"/>
      <c r="DWT96" s="11"/>
      <c r="DWU96" s="11"/>
      <c r="DWV96" s="11"/>
      <c r="DWW96" s="11"/>
      <c r="DWX96" s="11"/>
      <c r="DWY96" s="11"/>
      <c r="DWZ96" s="11"/>
      <c r="DXA96" s="11"/>
      <c r="DXB96" s="11"/>
      <c r="DXC96" s="11"/>
      <c r="DXD96" s="11"/>
      <c r="DXE96" s="11"/>
      <c r="DXF96" s="11"/>
      <c r="DXG96" s="11"/>
      <c r="DXH96" s="11"/>
      <c r="DXI96" s="11"/>
      <c r="DXJ96" s="11"/>
      <c r="DXK96" s="11"/>
      <c r="DXL96" s="11"/>
      <c r="DXM96" s="11"/>
      <c r="DXN96" s="11"/>
      <c r="DXO96" s="11"/>
      <c r="DXP96" s="11"/>
      <c r="DXQ96" s="11"/>
      <c r="DXR96" s="11"/>
      <c r="DXS96" s="11"/>
      <c r="DXT96" s="11"/>
      <c r="DXU96" s="11"/>
      <c r="DXV96" s="11"/>
      <c r="DXW96" s="11"/>
      <c r="DXX96" s="11"/>
      <c r="DXY96" s="11"/>
      <c r="DXZ96" s="11"/>
      <c r="DYA96" s="11"/>
      <c r="DYB96" s="11"/>
      <c r="DYC96" s="11"/>
      <c r="DYD96" s="11"/>
      <c r="DYE96" s="11"/>
      <c r="DYF96" s="11"/>
      <c r="DYG96" s="11"/>
      <c r="DYH96" s="11"/>
      <c r="DYI96" s="11"/>
      <c r="DYJ96" s="11"/>
      <c r="DYK96" s="11"/>
      <c r="DYL96" s="11"/>
      <c r="DYM96" s="11"/>
      <c r="DYN96" s="11"/>
      <c r="DYO96" s="11"/>
      <c r="DYP96" s="11"/>
      <c r="DYQ96" s="11"/>
      <c r="DYR96" s="11"/>
      <c r="DYS96" s="11"/>
      <c r="DYT96" s="11"/>
      <c r="DYU96" s="11"/>
      <c r="DYV96" s="11"/>
      <c r="DYW96" s="11"/>
      <c r="DYX96" s="11"/>
      <c r="DYY96" s="11"/>
      <c r="DYZ96" s="11"/>
      <c r="DZA96" s="11"/>
      <c r="DZB96" s="11"/>
      <c r="DZC96" s="11"/>
      <c r="DZD96" s="11"/>
      <c r="DZE96" s="11"/>
      <c r="DZF96" s="11"/>
      <c r="DZG96" s="11"/>
      <c r="DZH96" s="11"/>
      <c r="DZI96" s="11"/>
      <c r="DZJ96" s="11"/>
      <c r="DZK96" s="11"/>
      <c r="DZL96" s="11"/>
      <c r="DZM96" s="11"/>
      <c r="DZN96" s="11"/>
      <c r="DZO96" s="11"/>
      <c r="DZP96" s="11"/>
      <c r="DZQ96" s="11"/>
      <c r="DZR96" s="11"/>
      <c r="DZS96" s="11"/>
      <c r="DZT96" s="11"/>
      <c r="DZU96" s="11"/>
      <c r="DZV96" s="11"/>
      <c r="DZW96" s="11"/>
      <c r="DZX96" s="11"/>
      <c r="DZY96" s="11"/>
      <c r="DZZ96" s="11"/>
      <c r="EAA96" s="11"/>
      <c r="EAB96" s="11"/>
      <c r="EAC96" s="11"/>
      <c r="EAD96" s="11"/>
      <c r="EAE96" s="11"/>
      <c r="EAF96" s="11"/>
      <c r="EAG96" s="11"/>
      <c r="EAH96" s="11"/>
      <c r="EAI96" s="11"/>
      <c r="EAJ96" s="11"/>
      <c r="EAK96" s="11"/>
      <c r="EAL96" s="11"/>
      <c r="EAM96" s="11"/>
      <c r="EAN96" s="11"/>
      <c r="EAO96" s="11"/>
      <c r="EAP96" s="11"/>
      <c r="EAQ96" s="11"/>
      <c r="EAR96" s="11"/>
      <c r="EAS96" s="11"/>
      <c r="EAT96" s="11"/>
      <c r="EAU96" s="11"/>
      <c r="EAV96" s="11"/>
      <c r="EAW96" s="11"/>
      <c r="EAX96" s="11"/>
      <c r="EAY96" s="11"/>
      <c r="EAZ96" s="11"/>
      <c r="EBA96" s="11"/>
      <c r="EBB96" s="11"/>
      <c r="EBC96" s="11"/>
      <c r="EBD96" s="11"/>
      <c r="EBE96" s="11"/>
      <c r="EBF96" s="11"/>
      <c r="EBG96" s="11"/>
      <c r="EBH96" s="11"/>
      <c r="EBI96" s="11"/>
      <c r="EBJ96" s="11"/>
      <c r="EBK96" s="11"/>
      <c r="EBL96" s="11"/>
      <c r="EBM96" s="11"/>
      <c r="EBN96" s="11"/>
      <c r="EBO96" s="11"/>
      <c r="EBP96" s="11"/>
      <c r="EBQ96" s="11"/>
      <c r="EBR96" s="11"/>
      <c r="EBS96" s="11"/>
      <c r="EBT96" s="11"/>
      <c r="EBU96" s="11"/>
      <c r="EBV96" s="11"/>
      <c r="EBW96" s="11"/>
      <c r="EBX96" s="11"/>
      <c r="EBY96" s="11"/>
      <c r="EBZ96" s="11"/>
      <c r="ECA96" s="11"/>
      <c r="ECB96" s="11"/>
      <c r="ECC96" s="11"/>
      <c r="ECD96" s="11"/>
      <c r="ECE96" s="11"/>
      <c r="ECF96" s="11"/>
      <c r="ECG96" s="11"/>
      <c r="ECH96" s="11"/>
      <c r="ECI96" s="11"/>
      <c r="ECJ96" s="11"/>
      <c r="ECK96" s="11"/>
      <c r="ECL96" s="11"/>
      <c r="ECM96" s="11"/>
      <c r="ECN96" s="11"/>
      <c r="ECO96" s="11"/>
      <c r="ECP96" s="11"/>
      <c r="ECQ96" s="11"/>
      <c r="ECR96" s="11"/>
      <c r="ECS96" s="11"/>
      <c r="ECT96" s="11"/>
      <c r="ECU96" s="11"/>
      <c r="ECV96" s="11"/>
      <c r="ECW96" s="11"/>
      <c r="ECX96" s="11"/>
      <c r="ECY96" s="11"/>
      <c r="ECZ96" s="11"/>
      <c r="EDA96" s="11"/>
      <c r="EDB96" s="11"/>
      <c r="EDC96" s="11"/>
      <c r="EDD96" s="11"/>
      <c r="EDE96" s="11"/>
      <c r="EDF96" s="11"/>
      <c r="EDG96" s="11"/>
      <c r="EDH96" s="11"/>
      <c r="EDI96" s="11"/>
      <c r="EDJ96" s="11"/>
      <c r="EDK96" s="11"/>
      <c r="EDL96" s="11"/>
      <c r="EDM96" s="11"/>
      <c r="EDN96" s="11"/>
      <c r="EDO96" s="11"/>
      <c r="EDP96" s="11"/>
      <c r="EDQ96" s="11"/>
      <c r="EDR96" s="11"/>
      <c r="EDS96" s="11"/>
      <c r="EDT96" s="11"/>
      <c r="EDU96" s="11"/>
      <c r="EDV96" s="11"/>
      <c r="EDW96" s="11"/>
      <c r="EDX96" s="11"/>
      <c r="EDY96" s="11"/>
      <c r="EDZ96" s="11"/>
      <c r="EEA96" s="11"/>
      <c r="EEB96" s="11"/>
      <c r="EEC96" s="11"/>
      <c r="EED96" s="11"/>
      <c r="EEE96" s="11"/>
      <c r="EEF96" s="11"/>
      <c r="EEG96" s="11"/>
      <c r="EEH96" s="11"/>
      <c r="EEI96" s="11"/>
      <c r="EEJ96" s="11"/>
      <c r="EEK96" s="11"/>
      <c r="EEL96" s="11"/>
      <c r="EEM96" s="11"/>
      <c r="EEN96" s="11"/>
      <c r="EEO96" s="11"/>
      <c r="EEP96" s="11"/>
      <c r="EEQ96" s="11"/>
      <c r="EER96" s="11"/>
      <c r="EES96" s="11"/>
      <c r="EET96" s="11"/>
      <c r="EEU96" s="11"/>
      <c r="EEV96" s="11"/>
      <c r="EEW96" s="11"/>
      <c r="EEX96" s="11"/>
      <c r="EEY96" s="11"/>
      <c r="EEZ96" s="11"/>
      <c r="EFA96" s="11"/>
      <c r="EFB96" s="11"/>
      <c r="EFC96" s="11"/>
      <c r="EFD96" s="11"/>
      <c r="EFE96" s="11"/>
      <c r="EFF96" s="11"/>
      <c r="EFG96" s="11"/>
      <c r="EFH96" s="11"/>
      <c r="EFI96" s="11"/>
      <c r="EFJ96" s="11"/>
      <c r="EFK96" s="11"/>
      <c r="EFL96" s="11"/>
      <c r="EFM96" s="11"/>
      <c r="EFN96" s="11"/>
      <c r="EFO96" s="11"/>
      <c r="EFP96" s="11"/>
      <c r="EFQ96" s="11"/>
      <c r="EFR96" s="11"/>
      <c r="EFS96" s="11"/>
      <c r="EFT96" s="11"/>
      <c r="EFU96" s="11"/>
      <c r="EFV96" s="11"/>
      <c r="EFW96" s="11"/>
      <c r="EFX96" s="11"/>
      <c r="EFY96" s="11"/>
      <c r="EFZ96" s="11"/>
      <c r="EGA96" s="11"/>
      <c r="EGB96" s="11"/>
      <c r="EGC96" s="11"/>
      <c r="EGD96" s="11"/>
      <c r="EGE96" s="11"/>
      <c r="EGF96" s="11"/>
      <c r="EGG96" s="11"/>
      <c r="EGH96" s="11"/>
      <c r="EGI96" s="11"/>
      <c r="EGJ96" s="11"/>
      <c r="EGK96" s="11"/>
      <c r="EGL96" s="11"/>
      <c r="EGM96" s="11"/>
      <c r="EGN96" s="11"/>
      <c r="EGO96" s="11"/>
      <c r="EGP96" s="11"/>
      <c r="EGQ96" s="11"/>
      <c r="EGR96" s="11"/>
      <c r="EGS96" s="11"/>
      <c r="EGT96" s="11"/>
      <c r="EGU96" s="11"/>
      <c r="EGV96" s="11"/>
      <c r="EGW96" s="11"/>
      <c r="EGX96" s="11"/>
      <c r="EGY96" s="11"/>
      <c r="EGZ96" s="11"/>
      <c r="EHA96" s="11"/>
      <c r="EHB96" s="11"/>
      <c r="EHC96" s="11"/>
      <c r="EHD96" s="11"/>
      <c r="EHE96" s="11"/>
      <c r="EHF96" s="11"/>
      <c r="EHG96" s="11"/>
      <c r="EHH96" s="11"/>
      <c r="EHI96" s="11"/>
      <c r="EHJ96" s="11"/>
      <c r="EHK96" s="11"/>
      <c r="EHL96" s="11"/>
      <c r="EHM96" s="11"/>
      <c r="EHN96" s="11"/>
      <c r="EHO96" s="11"/>
      <c r="EHP96" s="11"/>
      <c r="EHQ96" s="11"/>
      <c r="EHR96" s="11"/>
      <c r="EHS96" s="11"/>
      <c r="EHT96" s="11"/>
      <c r="EHU96" s="11"/>
      <c r="EHV96" s="11"/>
      <c r="EHW96" s="11"/>
      <c r="EHX96" s="11"/>
      <c r="EHY96" s="11"/>
      <c r="EHZ96" s="11"/>
      <c r="EIA96" s="11"/>
      <c r="EIB96" s="11"/>
      <c r="EIC96" s="11"/>
      <c r="EID96" s="11"/>
      <c r="EIE96" s="11"/>
      <c r="EIF96" s="11"/>
      <c r="EIG96" s="11"/>
      <c r="EIH96" s="11"/>
      <c r="EII96" s="11"/>
      <c r="EIJ96" s="11"/>
      <c r="EIK96" s="11"/>
      <c r="EIL96" s="11"/>
      <c r="EIM96" s="11"/>
      <c r="EIN96" s="11"/>
      <c r="EIO96" s="11"/>
      <c r="EIP96" s="11"/>
      <c r="EIQ96" s="11"/>
      <c r="EIR96" s="11"/>
      <c r="EIS96" s="11"/>
      <c r="EIT96" s="11"/>
      <c r="EIU96" s="11"/>
      <c r="EIV96" s="11"/>
      <c r="EIW96" s="11"/>
      <c r="EIX96" s="11"/>
      <c r="EIY96" s="11"/>
      <c r="EIZ96" s="11"/>
      <c r="EJA96" s="11"/>
      <c r="EJB96" s="11"/>
      <c r="EJC96" s="11"/>
      <c r="EJD96" s="11"/>
      <c r="EJE96" s="11"/>
      <c r="EJF96" s="11"/>
      <c r="EJG96" s="11"/>
      <c r="EJH96" s="11"/>
      <c r="EJI96" s="11"/>
      <c r="EJJ96" s="11"/>
      <c r="EJK96" s="11"/>
      <c r="EJL96" s="11"/>
      <c r="EJM96" s="11"/>
      <c r="EJN96" s="11"/>
      <c r="EJO96" s="11"/>
      <c r="EJP96" s="11"/>
      <c r="EJQ96" s="11"/>
      <c r="EJR96" s="11"/>
      <c r="EJS96" s="11"/>
      <c r="EJT96" s="11"/>
      <c r="EJU96" s="11"/>
      <c r="EJV96" s="11"/>
      <c r="EJW96" s="11"/>
      <c r="EJX96" s="11"/>
      <c r="EJY96" s="11"/>
      <c r="EJZ96" s="11"/>
      <c r="EKA96" s="11"/>
      <c r="EKB96" s="11"/>
      <c r="EKC96" s="11"/>
      <c r="EKD96" s="11"/>
      <c r="EKE96" s="11"/>
      <c r="EKF96" s="11"/>
      <c r="EKG96" s="11"/>
      <c r="EKH96" s="11"/>
      <c r="EKI96" s="11"/>
      <c r="EKJ96" s="11"/>
      <c r="EKK96" s="11"/>
      <c r="EKL96" s="11"/>
      <c r="EKM96" s="11"/>
      <c r="EKN96" s="11"/>
      <c r="EKO96" s="11"/>
      <c r="EKP96" s="11"/>
      <c r="EKQ96" s="11"/>
      <c r="EKR96" s="11"/>
      <c r="EKS96" s="11"/>
      <c r="EKT96" s="11"/>
      <c r="EKU96" s="11"/>
      <c r="EKV96" s="11"/>
      <c r="EKW96" s="11"/>
      <c r="EKX96" s="11"/>
      <c r="EKY96" s="11"/>
      <c r="EKZ96" s="11"/>
      <c r="ELA96" s="11"/>
      <c r="ELB96" s="11"/>
      <c r="ELC96" s="11"/>
      <c r="ELD96" s="11"/>
      <c r="ELE96" s="11"/>
      <c r="ELF96" s="11"/>
      <c r="ELG96" s="11"/>
      <c r="ELH96" s="11"/>
      <c r="ELI96" s="11"/>
      <c r="ELJ96" s="11"/>
      <c r="ELK96" s="11"/>
      <c r="ELL96" s="11"/>
      <c r="ELM96" s="11"/>
      <c r="ELN96" s="11"/>
      <c r="ELO96" s="11"/>
      <c r="ELP96" s="11"/>
      <c r="ELQ96" s="11"/>
      <c r="ELR96" s="11"/>
      <c r="ELS96" s="11"/>
      <c r="ELT96" s="11"/>
      <c r="ELU96" s="11"/>
      <c r="ELV96" s="11"/>
      <c r="ELW96" s="11"/>
      <c r="ELX96" s="11"/>
      <c r="ELY96" s="11"/>
      <c r="ELZ96" s="11"/>
      <c r="EMA96" s="11"/>
      <c r="EMB96" s="11"/>
      <c r="EMC96" s="11"/>
      <c r="EMD96" s="11"/>
      <c r="EME96" s="11"/>
      <c r="EMF96" s="11"/>
      <c r="EMG96" s="11"/>
      <c r="EMH96" s="11"/>
      <c r="EMI96" s="11"/>
      <c r="EMJ96" s="11"/>
      <c r="EMK96" s="11"/>
      <c r="EML96" s="11"/>
      <c r="EMM96" s="11"/>
      <c r="EMN96" s="11"/>
      <c r="EMO96" s="11"/>
      <c r="EMP96" s="11"/>
      <c r="EMQ96" s="11"/>
      <c r="EMR96" s="11"/>
      <c r="EMS96" s="11"/>
      <c r="EMT96" s="11"/>
      <c r="EMU96" s="11"/>
      <c r="EMV96" s="11"/>
      <c r="EMW96" s="11"/>
      <c r="EMX96" s="11"/>
      <c r="EMY96" s="11"/>
      <c r="EMZ96" s="11"/>
      <c r="ENA96" s="11"/>
      <c r="ENB96" s="11"/>
      <c r="ENC96" s="11"/>
      <c r="END96" s="11"/>
      <c r="ENE96" s="11"/>
      <c r="ENF96" s="11"/>
      <c r="ENG96" s="11"/>
      <c r="ENH96" s="11"/>
      <c r="ENI96" s="11"/>
      <c r="ENJ96" s="11"/>
      <c r="ENK96" s="11"/>
      <c r="ENL96" s="11"/>
      <c r="ENM96" s="11"/>
      <c r="ENN96" s="11"/>
      <c r="ENO96" s="11"/>
      <c r="ENP96" s="11"/>
      <c r="ENQ96" s="11"/>
      <c r="ENR96" s="11"/>
      <c r="ENS96" s="11"/>
      <c r="ENT96" s="11"/>
      <c r="ENU96" s="11"/>
      <c r="ENV96" s="11"/>
      <c r="ENW96" s="11"/>
      <c r="ENX96" s="11"/>
      <c r="ENY96" s="11"/>
      <c r="ENZ96" s="11"/>
      <c r="EOA96" s="11"/>
      <c r="EOB96" s="11"/>
      <c r="EOC96" s="11"/>
      <c r="EOD96" s="11"/>
      <c r="EOE96" s="11"/>
      <c r="EOF96" s="11"/>
      <c r="EOG96" s="11"/>
      <c r="EOH96" s="11"/>
      <c r="EOI96" s="11"/>
      <c r="EOJ96" s="11"/>
      <c r="EOK96" s="11"/>
      <c r="EOL96" s="11"/>
      <c r="EOM96" s="11"/>
      <c r="EON96" s="11"/>
      <c r="EOO96" s="11"/>
      <c r="EOP96" s="11"/>
      <c r="EOQ96" s="11"/>
      <c r="EOR96" s="11"/>
      <c r="EOS96" s="11"/>
      <c r="EOT96" s="11"/>
      <c r="EOU96" s="11"/>
      <c r="EOV96" s="11"/>
      <c r="EOW96" s="11"/>
      <c r="EOX96" s="11"/>
      <c r="EOY96" s="11"/>
      <c r="EOZ96" s="11"/>
      <c r="EPA96" s="11"/>
      <c r="EPB96" s="11"/>
      <c r="EPC96" s="11"/>
      <c r="EPD96" s="11"/>
      <c r="EPE96" s="11"/>
      <c r="EPF96" s="11"/>
      <c r="EPG96" s="11"/>
      <c r="EPH96" s="11"/>
      <c r="EPI96" s="11"/>
      <c r="EPJ96" s="11"/>
      <c r="EPK96" s="11"/>
      <c r="EPL96" s="11"/>
      <c r="EPM96" s="11"/>
      <c r="EPN96" s="11"/>
      <c r="EPO96" s="11"/>
      <c r="EPP96" s="11"/>
      <c r="EPQ96" s="11"/>
      <c r="EPR96" s="11"/>
      <c r="EPS96" s="11"/>
      <c r="EPT96" s="11"/>
      <c r="EPU96" s="11"/>
      <c r="EPV96" s="11"/>
      <c r="EPW96" s="11"/>
      <c r="EPX96" s="11"/>
      <c r="EPY96" s="11"/>
      <c r="EPZ96" s="11"/>
      <c r="EQA96" s="11"/>
      <c r="EQB96" s="11"/>
      <c r="EQC96" s="11"/>
      <c r="EQD96" s="11"/>
      <c r="EQE96" s="11"/>
      <c r="EQF96" s="11"/>
      <c r="EQG96" s="11"/>
      <c r="EQH96" s="11"/>
      <c r="EQI96" s="11"/>
      <c r="EQJ96" s="11"/>
      <c r="EQK96" s="11"/>
      <c r="EQL96" s="11"/>
      <c r="EQM96" s="11"/>
      <c r="EQN96" s="11"/>
      <c r="EQO96" s="11"/>
      <c r="EQP96" s="11"/>
      <c r="EQQ96" s="11"/>
      <c r="EQR96" s="11"/>
      <c r="EQS96" s="11"/>
      <c r="EQT96" s="11"/>
      <c r="EQU96" s="11"/>
      <c r="EQV96" s="11"/>
      <c r="EQW96" s="11"/>
      <c r="EQX96" s="11"/>
      <c r="EQY96" s="11"/>
      <c r="EQZ96" s="11"/>
      <c r="ERA96" s="11"/>
      <c r="ERB96" s="11"/>
      <c r="ERC96" s="11"/>
      <c r="ERD96" s="11"/>
      <c r="ERE96" s="11"/>
      <c r="ERF96" s="11"/>
      <c r="ERG96" s="11"/>
      <c r="ERH96" s="11"/>
      <c r="ERI96" s="11"/>
      <c r="ERJ96" s="11"/>
      <c r="ERK96" s="11"/>
      <c r="ERL96" s="11"/>
      <c r="ERM96" s="11"/>
      <c r="ERN96" s="11"/>
      <c r="ERO96" s="11"/>
      <c r="ERP96" s="11"/>
      <c r="ERQ96" s="11"/>
      <c r="ERR96" s="11"/>
      <c r="ERS96" s="11"/>
      <c r="ERT96" s="11"/>
      <c r="ERU96" s="11"/>
      <c r="ERV96" s="11"/>
      <c r="ERW96" s="11"/>
      <c r="ERX96" s="11"/>
      <c r="ERY96" s="11"/>
      <c r="ERZ96" s="11"/>
      <c r="ESA96" s="11"/>
      <c r="ESB96" s="11"/>
      <c r="ESC96" s="11"/>
      <c r="ESD96" s="11"/>
      <c r="ESE96" s="11"/>
      <c r="ESF96" s="11"/>
      <c r="ESG96" s="11"/>
      <c r="ESH96" s="11"/>
      <c r="ESI96" s="11"/>
      <c r="ESJ96" s="11"/>
      <c r="ESK96" s="11"/>
      <c r="ESL96" s="11"/>
      <c r="ESM96" s="11"/>
      <c r="ESN96" s="11"/>
      <c r="ESO96" s="11"/>
      <c r="ESP96" s="11"/>
      <c r="ESQ96" s="11"/>
      <c r="ESR96" s="11"/>
      <c r="ESS96" s="11"/>
      <c r="EST96" s="11"/>
      <c r="ESU96" s="11"/>
      <c r="ESV96" s="11"/>
      <c r="ESW96" s="11"/>
      <c r="ESX96" s="11"/>
      <c r="ESY96" s="11"/>
      <c r="ESZ96" s="11"/>
      <c r="ETA96" s="11"/>
      <c r="ETB96" s="11"/>
      <c r="ETC96" s="11"/>
      <c r="ETD96" s="11"/>
      <c r="ETE96" s="11"/>
      <c r="ETF96" s="11"/>
      <c r="ETG96" s="11"/>
      <c r="ETH96" s="11"/>
      <c r="ETI96" s="11"/>
      <c r="ETJ96" s="11"/>
      <c r="ETK96" s="11"/>
      <c r="ETL96" s="11"/>
      <c r="ETM96" s="11"/>
      <c r="ETN96" s="11"/>
      <c r="ETO96" s="11"/>
      <c r="ETP96" s="11"/>
      <c r="ETQ96" s="11"/>
      <c r="ETR96" s="11"/>
      <c r="ETS96" s="11"/>
      <c r="ETT96" s="11"/>
      <c r="ETU96" s="11"/>
      <c r="ETV96" s="11"/>
      <c r="ETW96" s="11"/>
      <c r="ETX96" s="11"/>
      <c r="ETY96" s="11"/>
      <c r="ETZ96" s="11"/>
      <c r="EUA96" s="11"/>
      <c r="EUB96" s="11"/>
      <c r="EUC96" s="11"/>
      <c r="EUD96" s="11"/>
      <c r="EUE96" s="11"/>
      <c r="EUF96" s="11"/>
      <c r="EUG96" s="11"/>
      <c r="EUH96" s="11"/>
      <c r="EUI96" s="11"/>
      <c r="EUJ96" s="11"/>
      <c r="EUK96" s="11"/>
      <c r="EUL96" s="11"/>
      <c r="EUM96" s="11"/>
      <c r="EUN96" s="11"/>
      <c r="EUO96" s="11"/>
      <c r="EUP96" s="11"/>
      <c r="EUQ96" s="11"/>
      <c r="EUR96" s="11"/>
      <c r="EUS96" s="11"/>
      <c r="EUT96" s="11"/>
      <c r="EUU96" s="11"/>
      <c r="EUV96" s="11"/>
      <c r="EUW96" s="11"/>
      <c r="EUX96" s="11"/>
      <c r="EUY96" s="11"/>
      <c r="EUZ96" s="11"/>
      <c r="EVA96" s="11"/>
      <c r="EVB96" s="11"/>
      <c r="EVC96" s="11"/>
      <c r="EVD96" s="11"/>
      <c r="EVE96" s="11"/>
      <c r="EVF96" s="11"/>
      <c r="EVG96" s="11"/>
      <c r="EVH96" s="11"/>
      <c r="EVI96" s="11"/>
      <c r="EVJ96" s="11"/>
      <c r="EVK96" s="11"/>
      <c r="EVL96" s="11"/>
      <c r="EVM96" s="11"/>
      <c r="EVN96" s="11"/>
      <c r="EVO96" s="11"/>
      <c r="EVP96" s="11"/>
      <c r="EVQ96" s="11"/>
      <c r="EVR96" s="11"/>
      <c r="EVS96" s="11"/>
      <c r="EVT96" s="11"/>
      <c r="EVU96" s="11"/>
      <c r="EVV96" s="11"/>
      <c r="EVW96" s="11"/>
      <c r="EVX96" s="11"/>
      <c r="EVY96" s="11"/>
      <c r="EVZ96" s="11"/>
      <c r="EWA96" s="11"/>
      <c r="EWB96" s="11"/>
      <c r="EWC96" s="11"/>
      <c r="EWD96" s="11"/>
      <c r="EWE96" s="11"/>
      <c r="EWF96" s="11"/>
      <c r="EWG96" s="11"/>
      <c r="EWH96" s="11"/>
      <c r="EWI96" s="11"/>
      <c r="EWJ96" s="11"/>
      <c r="EWK96" s="11"/>
      <c r="EWL96" s="11"/>
      <c r="EWM96" s="11"/>
      <c r="EWN96" s="11"/>
      <c r="EWO96" s="11"/>
      <c r="EWP96" s="11"/>
      <c r="EWQ96" s="11"/>
      <c r="EWR96" s="11"/>
      <c r="EWS96" s="11"/>
      <c r="EWT96" s="11"/>
      <c r="EWU96" s="11"/>
      <c r="EWV96" s="11"/>
      <c r="EWW96" s="11"/>
      <c r="EWX96" s="11"/>
      <c r="EWY96" s="11"/>
      <c r="EWZ96" s="11"/>
      <c r="EXA96" s="11"/>
      <c r="EXB96" s="11"/>
      <c r="EXC96" s="11"/>
      <c r="EXD96" s="11"/>
      <c r="EXE96" s="11"/>
      <c r="EXF96" s="11"/>
      <c r="EXG96" s="11"/>
      <c r="EXH96" s="11"/>
      <c r="EXI96" s="11"/>
      <c r="EXJ96" s="11"/>
      <c r="EXK96" s="11"/>
      <c r="EXL96" s="11"/>
      <c r="EXM96" s="11"/>
      <c r="EXN96" s="11"/>
      <c r="EXO96" s="11"/>
      <c r="EXP96" s="11"/>
      <c r="EXQ96" s="11"/>
      <c r="EXR96" s="11"/>
      <c r="EXS96" s="11"/>
      <c r="EXT96" s="11"/>
      <c r="EXU96" s="11"/>
      <c r="EXV96" s="11"/>
      <c r="EXW96" s="11"/>
      <c r="EXX96" s="11"/>
      <c r="EXY96" s="11"/>
      <c r="EXZ96" s="11"/>
      <c r="EYA96" s="11"/>
      <c r="EYB96" s="11"/>
      <c r="EYC96" s="11"/>
      <c r="EYD96" s="11"/>
      <c r="EYE96" s="11"/>
      <c r="EYF96" s="11"/>
      <c r="EYG96" s="11"/>
      <c r="EYH96" s="11"/>
      <c r="EYI96" s="11"/>
      <c r="EYJ96" s="11"/>
      <c r="EYK96" s="11"/>
      <c r="EYL96" s="11"/>
      <c r="EYM96" s="11"/>
      <c r="EYN96" s="11"/>
      <c r="EYO96" s="11"/>
      <c r="EYP96" s="11"/>
      <c r="EYQ96" s="11"/>
      <c r="EYR96" s="11"/>
      <c r="EYS96" s="11"/>
      <c r="EYT96" s="11"/>
      <c r="EYU96" s="11"/>
      <c r="EYV96" s="11"/>
      <c r="EYW96" s="11"/>
      <c r="EYX96" s="11"/>
      <c r="EYY96" s="11"/>
      <c r="EYZ96" s="11"/>
      <c r="EZA96" s="11"/>
      <c r="EZB96" s="11"/>
      <c r="EZC96" s="11"/>
      <c r="EZD96" s="11"/>
      <c r="EZE96" s="11"/>
      <c r="EZF96" s="11"/>
      <c r="EZG96" s="11"/>
      <c r="EZH96" s="11"/>
      <c r="EZI96" s="11"/>
      <c r="EZJ96" s="11"/>
      <c r="EZK96" s="11"/>
      <c r="EZL96" s="11"/>
      <c r="EZM96" s="11"/>
      <c r="EZN96" s="11"/>
      <c r="EZO96" s="11"/>
      <c r="EZP96" s="11"/>
      <c r="EZQ96" s="11"/>
      <c r="EZR96" s="11"/>
      <c r="EZS96" s="11"/>
      <c r="EZT96" s="11"/>
      <c r="EZU96" s="11"/>
      <c r="EZV96" s="11"/>
      <c r="EZW96" s="11"/>
      <c r="EZX96" s="11"/>
      <c r="EZY96" s="11"/>
      <c r="EZZ96" s="11"/>
      <c r="FAA96" s="11"/>
      <c r="FAB96" s="11"/>
      <c r="FAC96" s="11"/>
      <c r="FAD96" s="11"/>
      <c r="FAE96" s="11"/>
      <c r="FAF96" s="11"/>
      <c r="FAG96" s="11"/>
      <c r="FAH96" s="11"/>
      <c r="FAI96" s="11"/>
      <c r="FAJ96" s="11"/>
      <c r="FAK96" s="11"/>
      <c r="FAL96" s="11"/>
      <c r="FAM96" s="11"/>
      <c r="FAN96" s="11"/>
      <c r="FAO96" s="11"/>
      <c r="FAP96" s="11"/>
      <c r="FAQ96" s="11"/>
      <c r="FAR96" s="11"/>
      <c r="FAS96" s="11"/>
      <c r="FAT96" s="11"/>
      <c r="FAU96" s="11"/>
      <c r="FAV96" s="11"/>
      <c r="FAW96" s="11"/>
      <c r="FAX96" s="11"/>
      <c r="FAY96" s="11"/>
      <c r="FAZ96" s="11"/>
      <c r="FBA96" s="11"/>
      <c r="FBB96" s="11"/>
      <c r="FBC96" s="11"/>
      <c r="FBD96" s="11"/>
      <c r="FBE96" s="11"/>
      <c r="FBF96" s="11"/>
      <c r="FBG96" s="11"/>
      <c r="FBH96" s="11"/>
      <c r="FBI96" s="11"/>
      <c r="FBJ96" s="11"/>
      <c r="FBK96" s="11"/>
      <c r="FBL96" s="11"/>
      <c r="FBM96" s="11"/>
      <c r="FBN96" s="11"/>
      <c r="FBO96" s="11"/>
      <c r="FBP96" s="11"/>
      <c r="FBQ96" s="11"/>
      <c r="FBR96" s="11"/>
      <c r="FBS96" s="11"/>
      <c r="FBT96" s="11"/>
      <c r="FBU96" s="11"/>
      <c r="FBV96" s="11"/>
      <c r="FBW96" s="11"/>
      <c r="FBX96" s="11"/>
      <c r="FBY96" s="11"/>
      <c r="FBZ96" s="11"/>
      <c r="FCA96" s="11"/>
      <c r="FCB96" s="11"/>
      <c r="FCC96" s="11"/>
      <c r="FCD96" s="11"/>
      <c r="FCE96" s="11"/>
      <c r="FCF96" s="11"/>
      <c r="FCG96" s="11"/>
      <c r="FCH96" s="11"/>
      <c r="FCI96" s="11"/>
      <c r="FCJ96" s="11"/>
      <c r="FCK96" s="11"/>
      <c r="FCL96" s="11"/>
      <c r="FCM96" s="11"/>
      <c r="FCN96" s="11"/>
      <c r="FCO96" s="11"/>
      <c r="FCP96" s="11"/>
      <c r="FCQ96" s="11"/>
      <c r="FCR96" s="11"/>
      <c r="FCS96" s="11"/>
      <c r="FCT96" s="11"/>
      <c r="FCU96" s="11"/>
      <c r="FCV96" s="11"/>
      <c r="FCW96" s="11"/>
      <c r="FCX96" s="11"/>
      <c r="FCY96" s="11"/>
      <c r="FCZ96" s="11"/>
      <c r="FDA96" s="11"/>
      <c r="FDB96" s="11"/>
      <c r="FDC96" s="11"/>
      <c r="FDD96" s="11"/>
      <c r="FDE96" s="11"/>
      <c r="FDF96" s="11"/>
      <c r="FDG96" s="11"/>
      <c r="FDH96" s="11"/>
      <c r="FDI96" s="11"/>
      <c r="FDJ96" s="11"/>
      <c r="FDK96" s="11"/>
      <c r="FDL96" s="11"/>
      <c r="FDM96" s="11"/>
      <c r="FDN96" s="11"/>
      <c r="FDO96" s="11"/>
      <c r="FDP96" s="11"/>
      <c r="FDQ96" s="11"/>
      <c r="FDR96" s="11"/>
      <c r="FDS96" s="11"/>
      <c r="FDT96" s="11"/>
      <c r="FDU96" s="11"/>
      <c r="FDV96" s="11"/>
      <c r="FDW96" s="11"/>
      <c r="FDX96" s="11"/>
      <c r="FDY96" s="11"/>
      <c r="FDZ96" s="11"/>
      <c r="FEA96" s="11"/>
      <c r="FEB96" s="11"/>
      <c r="FEC96" s="11"/>
      <c r="FED96" s="11"/>
      <c r="FEE96" s="11"/>
      <c r="FEF96" s="11"/>
      <c r="FEG96" s="11"/>
      <c r="FEH96" s="11"/>
      <c r="FEI96" s="11"/>
      <c r="FEJ96" s="11"/>
      <c r="FEK96" s="11"/>
      <c r="FEL96" s="11"/>
      <c r="FEM96" s="11"/>
      <c r="FEN96" s="11"/>
      <c r="FEO96" s="11"/>
      <c r="FEP96" s="11"/>
      <c r="FEQ96" s="11"/>
      <c r="FER96" s="11"/>
      <c r="FES96" s="11"/>
      <c r="FET96" s="11"/>
      <c r="FEU96" s="11"/>
      <c r="FEV96" s="11"/>
      <c r="FEW96" s="11"/>
      <c r="FEX96" s="11"/>
      <c r="FEY96" s="11"/>
      <c r="FEZ96" s="11"/>
      <c r="FFA96" s="11"/>
      <c r="FFB96" s="11"/>
      <c r="FFC96" s="11"/>
      <c r="FFD96" s="11"/>
      <c r="FFE96" s="11"/>
      <c r="FFF96" s="11"/>
      <c r="FFG96" s="11"/>
      <c r="FFH96" s="11"/>
      <c r="FFI96" s="11"/>
      <c r="FFJ96" s="11"/>
      <c r="FFK96" s="11"/>
      <c r="FFL96" s="11"/>
      <c r="FFM96" s="11"/>
      <c r="FFN96" s="11"/>
      <c r="FFO96" s="11"/>
      <c r="FFP96" s="11"/>
      <c r="FFQ96" s="11"/>
      <c r="FFR96" s="11"/>
      <c r="FFS96" s="11"/>
      <c r="FFT96" s="11"/>
      <c r="FFU96" s="11"/>
      <c r="FFV96" s="11"/>
      <c r="FFW96" s="11"/>
      <c r="FFX96" s="11"/>
      <c r="FFY96" s="11"/>
      <c r="FFZ96" s="11"/>
      <c r="FGA96" s="11"/>
      <c r="FGB96" s="11"/>
      <c r="FGC96" s="11"/>
      <c r="FGD96" s="11"/>
      <c r="FGE96" s="11"/>
      <c r="FGF96" s="11"/>
      <c r="FGG96" s="11"/>
      <c r="FGH96" s="11"/>
      <c r="FGI96" s="11"/>
      <c r="FGJ96" s="11"/>
      <c r="FGK96" s="11"/>
      <c r="FGL96" s="11"/>
      <c r="FGM96" s="11"/>
      <c r="FGN96" s="11"/>
      <c r="FGO96" s="11"/>
      <c r="FGP96" s="11"/>
      <c r="FGQ96" s="11"/>
      <c r="FGR96" s="11"/>
      <c r="FGS96" s="11"/>
      <c r="FGT96" s="11"/>
      <c r="FGU96" s="11"/>
      <c r="FGV96" s="11"/>
      <c r="FGW96" s="11"/>
      <c r="FGX96" s="11"/>
      <c r="FGY96" s="11"/>
      <c r="FGZ96" s="11"/>
      <c r="FHA96" s="11"/>
      <c r="FHB96" s="11"/>
      <c r="FHC96" s="11"/>
      <c r="FHD96" s="11"/>
      <c r="FHE96" s="11"/>
      <c r="FHF96" s="11"/>
      <c r="FHG96" s="11"/>
      <c r="FHH96" s="11"/>
      <c r="FHI96" s="11"/>
      <c r="FHJ96" s="11"/>
      <c r="FHK96" s="11"/>
      <c r="FHL96" s="11"/>
      <c r="FHM96" s="11"/>
      <c r="FHN96" s="11"/>
      <c r="FHO96" s="11"/>
      <c r="FHP96" s="11"/>
      <c r="FHQ96" s="11"/>
      <c r="FHR96" s="11"/>
      <c r="FHS96" s="11"/>
      <c r="FHT96" s="11"/>
      <c r="FHU96" s="11"/>
      <c r="FHV96" s="11"/>
      <c r="FHW96" s="11"/>
      <c r="FHX96" s="11"/>
      <c r="FHY96" s="11"/>
      <c r="FHZ96" s="11"/>
      <c r="FIA96" s="11"/>
      <c r="FIB96" s="11"/>
      <c r="FIC96" s="11"/>
      <c r="FID96" s="11"/>
      <c r="FIE96" s="11"/>
      <c r="FIF96" s="11"/>
      <c r="FIG96" s="11"/>
      <c r="FIH96" s="11"/>
      <c r="FII96" s="11"/>
      <c r="FIJ96" s="11"/>
      <c r="FIK96" s="11"/>
      <c r="FIL96" s="11"/>
      <c r="FIM96" s="11"/>
      <c r="FIN96" s="11"/>
      <c r="FIO96" s="11"/>
      <c r="FIP96" s="11"/>
      <c r="FIQ96" s="11"/>
      <c r="FIR96" s="11"/>
      <c r="FIS96" s="11"/>
      <c r="FIT96" s="11"/>
      <c r="FIU96" s="11"/>
      <c r="FIV96" s="11"/>
      <c r="FIW96" s="11"/>
      <c r="FIX96" s="11"/>
      <c r="FIY96" s="11"/>
      <c r="FIZ96" s="11"/>
      <c r="FJA96" s="11"/>
      <c r="FJB96" s="11"/>
      <c r="FJC96" s="11"/>
      <c r="FJD96" s="11"/>
      <c r="FJE96" s="11"/>
      <c r="FJF96" s="11"/>
      <c r="FJG96" s="11"/>
      <c r="FJH96" s="11"/>
      <c r="FJI96" s="11"/>
      <c r="FJJ96" s="11"/>
      <c r="FJK96" s="11"/>
      <c r="FJL96" s="11"/>
      <c r="FJM96" s="11"/>
      <c r="FJN96" s="11"/>
      <c r="FJO96" s="11"/>
      <c r="FJP96" s="11"/>
      <c r="FJQ96" s="11"/>
      <c r="FJR96" s="11"/>
      <c r="FJS96" s="11"/>
      <c r="FJT96" s="11"/>
      <c r="FJU96" s="11"/>
      <c r="FJV96" s="11"/>
      <c r="FJW96" s="11"/>
      <c r="FJX96" s="11"/>
      <c r="FJY96" s="11"/>
      <c r="FJZ96" s="11"/>
      <c r="FKA96" s="11"/>
      <c r="FKB96" s="11"/>
      <c r="FKC96" s="11"/>
      <c r="FKD96" s="11"/>
      <c r="FKE96" s="11"/>
      <c r="FKF96" s="11"/>
      <c r="FKG96" s="11"/>
      <c r="FKH96" s="11"/>
      <c r="FKI96" s="11"/>
      <c r="FKJ96" s="11"/>
      <c r="FKK96" s="11"/>
      <c r="FKL96" s="11"/>
      <c r="FKM96" s="11"/>
      <c r="FKN96" s="11"/>
      <c r="FKO96" s="11"/>
      <c r="FKP96" s="11"/>
      <c r="FKQ96" s="11"/>
      <c r="FKR96" s="11"/>
      <c r="FKS96" s="11"/>
      <c r="FKT96" s="11"/>
      <c r="FKU96" s="11"/>
      <c r="FKV96" s="11"/>
      <c r="FKW96" s="11"/>
      <c r="FKX96" s="11"/>
      <c r="FKY96" s="11"/>
      <c r="FKZ96" s="11"/>
      <c r="FLA96" s="11"/>
      <c r="FLB96" s="11"/>
      <c r="FLC96" s="11"/>
      <c r="FLD96" s="11"/>
      <c r="FLE96" s="11"/>
      <c r="FLF96" s="11"/>
      <c r="FLG96" s="11"/>
      <c r="FLH96" s="11"/>
      <c r="FLI96" s="11"/>
      <c r="FLJ96" s="11"/>
      <c r="FLK96" s="11"/>
      <c r="FLL96" s="11"/>
      <c r="FLM96" s="11"/>
      <c r="FLN96" s="11"/>
      <c r="FLO96" s="11"/>
      <c r="FLP96" s="11"/>
      <c r="FLQ96" s="11"/>
      <c r="FLR96" s="11"/>
      <c r="FLS96" s="11"/>
      <c r="FLT96" s="11"/>
      <c r="FLU96" s="11"/>
      <c r="FLV96" s="11"/>
      <c r="FLW96" s="11"/>
      <c r="FLX96" s="11"/>
      <c r="FLY96" s="11"/>
      <c r="FLZ96" s="11"/>
      <c r="FMA96" s="11"/>
      <c r="FMB96" s="11"/>
      <c r="FMC96" s="11"/>
      <c r="FMD96" s="11"/>
      <c r="FME96" s="11"/>
      <c r="FMF96" s="11"/>
      <c r="FMG96" s="11"/>
      <c r="FMH96" s="11"/>
      <c r="FMI96" s="11"/>
      <c r="FMJ96" s="11"/>
      <c r="FMK96" s="11"/>
      <c r="FML96" s="11"/>
      <c r="FMM96" s="11"/>
      <c r="FMN96" s="11"/>
      <c r="FMO96" s="11"/>
      <c r="FMP96" s="11"/>
      <c r="FMQ96" s="11"/>
      <c r="FMR96" s="11"/>
      <c r="FMS96" s="11"/>
      <c r="FMT96" s="11"/>
      <c r="FMU96" s="11"/>
      <c r="FMV96" s="11"/>
      <c r="FMW96" s="11"/>
      <c r="FMX96" s="11"/>
      <c r="FMY96" s="11"/>
      <c r="FMZ96" s="11"/>
      <c r="FNA96" s="11"/>
      <c r="FNB96" s="11"/>
      <c r="FNC96" s="11"/>
      <c r="FND96" s="11"/>
      <c r="FNE96" s="11"/>
      <c r="FNF96" s="11"/>
      <c r="FNG96" s="11"/>
      <c r="FNH96" s="11"/>
      <c r="FNI96" s="11"/>
      <c r="FNJ96" s="11"/>
      <c r="FNK96" s="11"/>
      <c r="FNL96" s="11"/>
      <c r="FNM96" s="11"/>
      <c r="FNN96" s="11"/>
      <c r="FNO96" s="11"/>
      <c r="FNP96" s="11"/>
      <c r="FNQ96" s="11"/>
      <c r="FNR96" s="11"/>
      <c r="FNS96" s="11"/>
      <c r="FNT96" s="11"/>
      <c r="FNU96" s="11"/>
      <c r="FNV96" s="11"/>
      <c r="FNW96" s="11"/>
      <c r="FNX96" s="11"/>
      <c r="FNY96" s="11"/>
      <c r="FNZ96" s="11"/>
      <c r="FOA96" s="11"/>
      <c r="FOB96" s="11"/>
      <c r="FOC96" s="11"/>
      <c r="FOD96" s="11"/>
      <c r="FOE96" s="11"/>
      <c r="FOF96" s="11"/>
      <c r="FOG96" s="11"/>
      <c r="FOH96" s="11"/>
      <c r="FOI96" s="11"/>
      <c r="FOJ96" s="11"/>
      <c r="FOK96" s="11"/>
      <c r="FOL96" s="11"/>
      <c r="FOM96" s="11"/>
      <c r="FON96" s="11"/>
      <c r="FOO96" s="11"/>
      <c r="FOP96" s="11"/>
      <c r="FOQ96" s="11"/>
      <c r="FOR96" s="11"/>
      <c r="FOS96" s="11"/>
      <c r="FOT96" s="11"/>
      <c r="FOU96" s="11"/>
      <c r="FOV96" s="11"/>
      <c r="FOW96" s="11"/>
      <c r="FOX96" s="11"/>
      <c r="FOY96" s="11"/>
      <c r="FOZ96" s="11"/>
      <c r="FPA96" s="11"/>
      <c r="FPB96" s="11"/>
      <c r="FPC96" s="11"/>
      <c r="FPD96" s="11"/>
      <c r="FPE96" s="11"/>
      <c r="FPF96" s="11"/>
      <c r="FPG96" s="11"/>
      <c r="FPH96" s="11"/>
      <c r="FPI96" s="11"/>
      <c r="FPJ96" s="11"/>
      <c r="FPK96" s="11"/>
      <c r="FPL96" s="11"/>
      <c r="FPM96" s="11"/>
      <c r="FPN96" s="11"/>
      <c r="FPO96" s="11"/>
      <c r="FPP96" s="11"/>
      <c r="FPQ96" s="11"/>
      <c r="FPR96" s="11"/>
      <c r="FPS96" s="11"/>
      <c r="FPT96" s="11"/>
      <c r="FPU96" s="11"/>
      <c r="FPV96" s="11"/>
      <c r="FPW96" s="11"/>
      <c r="FPX96" s="11"/>
      <c r="FPY96" s="11"/>
      <c r="FPZ96" s="11"/>
      <c r="FQA96" s="11"/>
      <c r="FQB96" s="11"/>
      <c r="FQC96" s="11"/>
      <c r="FQD96" s="11"/>
      <c r="FQE96" s="11"/>
      <c r="FQF96" s="11"/>
      <c r="FQG96" s="11"/>
      <c r="FQH96" s="11"/>
      <c r="FQI96" s="11"/>
      <c r="FQJ96" s="11"/>
      <c r="FQK96" s="11"/>
      <c r="FQL96" s="11"/>
      <c r="FQM96" s="11"/>
      <c r="FQN96" s="11"/>
      <c r="FQO96" s="11"/>
      <c r="FQP96" s="11"/>
      <c r="FQQ96" s="11"/>
      <c r="FQR96" s="11"/>
      <c r="FQS96" s="11"/>
      <c r="FQT96" s="11"/>
      <c r="FQU96" s="11"/>
      <c r="FQV96" s="11"/>
      <c r="FQW96" s="11"/>
      <c r="FQX96" s="11"/>
      <c r="FQY96" s="11"/>
      <c r="FQZ96" s="11"/>
      <c r="FRA96" s="11"/>
      <c r="FRB96" s="11"/>
      <c r="FRC96" s="11"/>
      <c r="FRD96" s="11"/>
      <c r="FRE96" s="11"/>
      <c r="FRF96" s="11"/>
      <c r="FRG96" s="11"/>
      <c r="FRH96" s="11"/>
      <c r="FRI96" s="11"/>
      <c r="FRJ96" s="11"/>
      <c r="FRK96" s="11"/>
      <c r="FRL96" s="11"/>
      <c r="FRM96" s="11"/>
      <c r="FRN96" s="11"/>
      <c r="FRO96" s="11"/>
      <c r="FRP96" s="11"/>
      <c r="FRQ96" s="11"/>
      <c r="FRR96" s="11"/>
      <c r="FRS96" s="11"/>
      <c r="FRT96" s="11"/>
      <c r="FRU96" s="11"/>
      <c r="FRV96" s="11"/>
      <c r="FRW96" s="11"/>
      <c r="FRX96" s="11"/>
      <c r="FRY96" s="11"/>
      <c r="FRZ96" s="11"/>
      <c r="FSA96" s="11"/>
      <c r="FSB96" s="11"/>
      <c r="FSC96" s="11"/>
      <c r="FSD96" s="11"/>
      <c r="FSE96" s="11"/>
      <c r="FSF96" s="11"/>
      <c r="FSG96" s="11"/>
      <c r="FSH96" s="11"/>
      <c r="FSI96" s="11"/>
      <c r="FSJ96" s="11"/>
      <c r="FSK96" s="11"/>
      <c r="FSL96" s="11"/>
      <c r="FSM96" s="11"/>
      <c r="FSN96" s="11"/>
      <c r="FSO96" s="11"/>
      <c r="FSP96" s="11"/>
      <c r="FSQ96" s="11"/>
      <c r="FSR96" s="11"/>
      <c r="FSS96" s="11"/>
      <c r="FST96" s="11"/>
      <c r="FSU96" s="11"/>
      <c r="FSV96" s="11"/>
      <c r="FSW96" s="11"/>
      <c r="FSX96" s="11"/>
      <c r="FSY96" s="11"/>
      <c r="FSZ96" s="11"/>
      <c r="FTA96" s="11"/>
      <c r="FTB96" s="11"/>
      <c r="FTC96" s="11"/>
      <c r="FTD96" s="11"/>
      <c r="FTE96" s="11"/>
      <c r="FTF96" s="11"/>
      <c r="FTG96" s="11"/>
      <c r="FTH96" s="11"/>
      <c r="FTI96" s="11"/>
      <c r="FTJ96" s="11"/>
      <c r="FTK96" s="11"/>
      <c r="FTL96" s="11"/>
      <c r="FTM96" s="11"/>
      <c r="FTN96" s="11"/>
      <c r="FTO96" s="11"/>
      <c r="FTP96" s="11"/>
      <c r="FTQ96" s="11"/>
      <c r="FTR96" s="11"/>
      <c r="FTS96" s="11"/>
      <c r="FTT96" s="11"/>
      <c r="FTU96" s="11"/>
      <c r="FTV96" s="11"/>
      <c r="FTW96" s="11"/>
      <c r="FTX96" s="11"/>
      <c r="FTY96" s="11"/>
      <c r="FTZ96" s="11"/>
      <c r="FUA96" s="11"/>
      <c r="FUB96" s="11"/>
      <c r="FUC96" s="11"/>
      <c r="FUD96" s="11"/>
      <c r="FUE96" s="11"/>
      <c r="FUF96" s="11"/>
      <c r="FUG96" s="11"/>
      <c r="FUH96" s="11"/>
      <c r="FUI96" s="11"/>
      <c r="FUJ96" s="11"/>
      <c r="FUK96" s="11"/>
      <c r="FUL96" s="11"/>
      <c r="FUM96" s="11"/>
      <c r="FUN96" s="11"/>
      <c r="FUO96" s="11"/>
      <c r="FUP96" s="11"/>
      <c r="FUQ96" s="11"/>
      <c r="FUR96" s="11"/>
      <c r="FUS96" s="11"/>
      <c r="FUT96" s="11"/>
      <c r="FUU96" s="11"/>
      <c r="FUV96" s="11"/>
      <c r="FUW96" s="11"/>
      <c r="FUX96" s="11"/>
      <c r="FUY96" s="11"/>
      <c r="FUZ96" s="11"/>
      <c r="FVA96" s="11"/>
      <c r="FVB96" s="11"/>
      <c r="FVC96" s="11"/>
      <c r="FVD96" s="11"/>
      <c r="FVE96" s="11"/>
      <c r="FVF96" s="11"/>
      <c r="FVG96" s="11"/>
      <c r="FVH96" s="11"/>
      <c r="FVI96" s="11"/>
      <c r="FVJ96" s="11"/>
      <c r="FVK96" s="11"/>
      <c r="FVL96" s="11"/>
      <c r="FVM96" s="11"/>
      <c r="FVN96" s="11"/>
      <c r="FVO96" s="11"/>
      <c r="FVP96" s="11"/>
      <c r="FVQ96" s="11"/>
      <c r="FVR96" s="11"/>
      <c r="FVS96" s="11"/>
      <c r="FVT96" s="11"/>
      <c r="FVU96" s="11"/>
      <c r="FVV96" s="11"/>
      <c r="FVW96" s="11"/>
      <c r="FVX96" s="11"/>
      <c r="FVY96" s="11"/>
      <c r="FVZ96" s="11"/>
      <c r="FWA96" s="11"/>
      <c r="FWB96" s="11"/>
      <c r="FWC96" s="11"/>
      <c r="FWD96" s="11"/>
      <c r="FWE96" s="11"/>
      <c r="FWF96" s="11"/>
      <c r="FWG96" s="11"/>
      <c r="FWH96" s="11"/>
      <c r="FWI96" s="11"/>
      <c r="FWJ96" s="11"/>
      <c r="FWK96" s="11"/>
      <c r="FWL96" s="11"/>
      <c r="FWM96" s="11"/>
      <c r="FWN96" s="11"/>
      <c r="FWO96" s="11"/>
      <c r="FWP96" s="11"/>
      <c r="FWQ96" s="11"/>
      <c r="FWR96" s="11"/>
      <c r="FWS96" s="11"/>
      <c r="FWT96" s="11"/>
      <c r="FWU96" s="11"/>
      <c r="FWV96" s="11"/>
      <c r="FWW96" s="11"/>
      <c r="FWX96" s="11"/>
      <c r="FWY96" s="11"/>
      <c r="FWZ96" s="11"/>
      <c r="FXA96" s="11"/>
      <c r="FXB96" s="11"/>
      <c r="FXC96" s="11"/>
      <c r="FXD96" s="11"/>
      <c r="FXE96" s="11"/>
      <c r="FXF96" s="11"/>
      <c r="FXG96" s="11"/>
      <c r="FXH96" s="11"/>
      <c r="FXI96" s="11"/>
      <c r="FXJ96" s="11"/>
      <c r="FXK96" s="11"/>
      <c r="FXL96" s="11"/>
      <c r="FXM96" s="11"/>
      <c r="FXN96" s="11"/>
      <c r="FXO96" s="11"/>
      <c r="FXP96" s="11"/>
      <c r="FXQ96" s="11"/>
      <c r="FXR96" s="11"/>
      <c r="FXS96" s="11"/>
      <c r="FXT96" s="11"/>
      <c r="FXU96" s="11"/>
      <c r="FXV96" s="11"/>
      <c r="FXW96" s="11"/>
      <c r="FXX96" s="11"/>
      <c r="FXY96" s="11"/>
      <c r="FXZ96" s="11"/>
      <c r="FYA96" s="11"/>
      <c r="FYB96" s="11"/>
      <c r="FYC96" s="11"/>
      <c r="FYD96" s="11"/>
      <c r="FYE96" s="11"/>
      <c r="FYF96" s="11"/>
      <c r="FYG96" s="11"/>
      <c r="FYH96" s="11"/>
      <c r="FYI96" s="11"/>
      <c r="FYJ96" s="11"/>
      <c r="FYK96" s="11"/>
      <c r="FYL96" s="11"/>
      <c r="FYM96" s="11"/>
      <c r="FYN96" s="11"/>
      <c r="FYO96" s="11"/>
      <c r="FYP96" s="11"/>
      <c r="FYQ96" s="11"/>
      <c r="FYR96" s="11"/>
      <c r="FYS96" s="11"/>
      <c r="FYT96" s="11"/>
      <c r="FYU96" s="11"/>
      <c r="FYV96" s="11"/>
      <c r="FYW96" s="11"/>
      <c r="FYX96" s="11"/>
      <c r="FYY96" s="11"/>
      <c r="FYZ96" s="11"/>
      <c r="FZA96" s="11"/>
      <c r="FZB96" s="11"/>
      <c r="FZC96" s="11"/>
      <c r="FZD96" s="11"/>
      <c r="FZE96" s="11"/>
      <c r="FZF96" s="11"/>
      <c r="FZG96" s="11"/>
      <c r="FZH96" s="11"/>
      <c r="FZI96" s="11"/>
      <c r="FZJ96" s="11"/>
      <c r="FZK96" s="11"/>
      <c r="FZL96" s="11"/>
      <c r="FZM96" s="11"/>
      <c r="FZN96" s="11"/>
      <c r="FZO96" s="11"/>
      <c r="FZP96" s="11"/>
      <c r="FZQ96" s="11"/>
      <c r="FZR96" s="11"/>
      <c r="FZS96" s="11"/>
      <c r="FZT96" s="11"/>
      <c r="FZU96" s="11"/>
      <c r="FZV96" s="11"/>
      <c r="FZW96" s="11"/>
      <c r="FZX96" s="11"/>
      <c r="FZY96" s="11"/>
      <c r="FZZ96" s="11"/>
      <c r="GAA96" s="11"/>
      <c r="GAB96" s="11"/>
      <c r="GAC96" s="11"/>
      <c r="GAD96" s="11"/>
      <c r="GAE96" s="11"/>
      <c r="GAF96" s="11"/>
      <c r="GAG96" s="11"/>
      <c r="GAH96" s="11"/>
      <c r="GAI96" s="11"/>
      <c r="GAJ96" s="11"/>
      <c r="GAK96" s="11"/>
      <c r="GAL96" s="11"/>
      <c r="GAM96" s="11"/>
      <c r="GAN96" s="11"/>
      <c r="GAO96" s="11"/>
      <c r="GAP96" s="11"/>
      <c r="GAQ96" s="11"/>
      <c r="GAR96" s="11"/>
      <c r="GAS96" s="11"/>
      <c r="GAT96" s="11"/>
      <c r="GAU96" s="11"/>
      <c r="GAV96" s="11"/>
      <c r="GAW96" s="11"/>
      <c r="GAX96" s="11"/>
      <c r="GAY96" s="11"/>
      <c r="GAZ96" s="11"/>
      <c r="GBA96" s="11"/>
      <c r="GBB96" s="11"/>
      <c r="GBC96" s="11"/>
      <c r="GBD96" s="11"/>
      <c r="GBE96" s="11"/>
      <c r="GBF96" s="11"/>
      <c r="GBG96" s="11"/>
      <c r="GBH96" s="11"/>
      <c r="GBI96" s="11"/>
      <c r="GBJ96" s="11"/>
      <c r="GBK96" s="11"/>
      <c r="GBL96" s="11"/>
      <c r="GBM96" s="11"/>
      <c r="GBN96" s="11"/>
      <c r="GBO96" s="11"/>
      <c r="GBP96" s="11"/>
      <c r="GBQ96" s="11"/>
      <c r="GBR96" s="11"/>
      <c r="GBS96" s="11"/>
      <c r="GBT96" s="11"/>
      <c r="GBU96" s="11"/>
      <c r="GBV96" s="11"/>
      <c r="GBW96" s="11"/>
      <c r="GBX96" s="11"/>
      <c r="GBY96" s="11"/>
      <c r="GBZ96" s="11"/>
      <c r="GCA96" s="11"/>
      <c r="GCB96" s="11"/>
      <c r="GCC96" s="11"/>
      <c r="GCD96" s="11"/>
      <c r="GCE96" s="11"/>
      <c r="GCF96" s="11"/>
      <c r="GCG96" s="11"/>
      <c r="GCH96" s="11"/>
      <c r="GCI96" s="11"/>
      <c r="GCJ96" s="11"/>
      <c r="GCK96" s="11"/>
      <c r="GCL96" s="11"/>
      <c r="GCM96" s="11"/>
      <c r="GCN96" s="11"/>
      <c r="GCO96" s="11"/>
      <c r="GCP96" s="11"/>
      <c r="GCQ96" s="11"/>
      <c r="GCR96" s="11"/>
      <c r="GCS96" s="11"/>
      <c r="GCT96" s="11"/>
      <c r="GCU96" s="11"/>
      <c r="GCV96" s="11"/>
      <c r="GCW96" s="11"/>
      <c r="GCX96" s="11"/>
      <c r="GCY96" s="11"/>
      <c r="GCZ96" s="11"/>
      <c r="GDA96" s="11"/>
      <c r="GDB96" s="11"/>
      <c r="GDC96" s="11"/>
      <c r="GDD96" s="11"/>
      <c r="GDE96" s="11"/>
      <c r="GDF96" s="11"/>
      <c r="GDG96" s="11"/>
      <c r="GDH96" s="11"/>
      <c r="GDI96" s="11"/>
      <c r="GDJ96" s="11"/>
      <c r="GDK96" s="11"/>
      <c r="GDL96" s="11"/>
      <c r="GDM96" s="11"/>
      <c r="GDN96" s="11"/>
      <c r="GDO96" s="11"/>
      <c r="GDP96" s="11"/>
      <c r="GDQ96" s="11"/>
      <c r="GDR96" s="11"/>
      <c r="GDS96" s="11"/>
      <c r="GDT96" s="11"/>
      <c r="GDU96" s="11"/>
      <c r="GDV96" s="11"/>
      <c r="GDW96" s="11"/>
      <c r="GDX96" s="11"/>
      <c r="GDY96" s="11"/>
      <c r="GDZ96" s="11"/>
      <c r="GEA96" s="11"/>
      <c r="GEB96" s="11"/>
      <c r="GEC96" s="11"/>
      <c r="GED96" s="11"/>
      <c r="GEE96" s="11"/>
      <c r="GEF96" s="11"/>
      <c r="GEG96" s="11"/>
      <c r="GEH96" s="11"/>
      <c r="GEI96" s="11"/>
      <c r="GEJ96" s="11"/>
      <c r="GEK96" s="11"/>
      <c r="GEL96" s="11"/>
      <c r="GEM96" s="11"/>
      <c r="GEN96" s="11"/>
      <c r="GEO96" s="11"/>
      <c r="GEP96" s="11"/>
      <c r="GEQ96" s="11"/>
      <c r="GER96" s="11"/>
      <c r="GES96" s="11"/>
      <c r="GET96" s="11"/>
      <c r="GEU96" s="11"/>
      <c r="GEV96" s="11"/>
      <c r="GEW96" s="11"/>
      <c r="GEX96" s="11"/>
      <c r="GEY96" s="11"/>
      <c r="GEZ96" s="11"/>
      <c r="GFA96" s="11"/>
      <c r="GFB96" s="11"/>
      <c r="GFC96" s="11"/>
      <c r="GFD96" s="11"/>
      <c r="GFE96" s="11"/>
      <c r="GFF96" s="11"/>
      <c r="GFG96" s="11"/>
      <c r="GFH96" s="11"/>
      <c r="GFI96" s="11"/>
      <c r="GFJ96" s="11"/>
      <c r="GFK96" s="11"/>
      <c r="GFL96" s="11"/>
      <c r="GFM96" s="11"/>
      <c r="GFN96" s="11"/>
      <c r="GFO96" s="11"/>
      <c r="GFP96" s="11"/>
      <c r="GFQ96" s="11"/>
      <c r="GFR96" s="11"/>
      <c r="GFS96" s="11"/>
      <c r="GFT96" s="11"/>
      <c r="GFU96" s="11"/>
      <c r="GFV96" s="11"/>
      <c r="GFW96" s="11"/>
      <c r="GFX96" s="11"/>
      <c r="GFY96" s="11"/>
      <c r="GFZ96" s="11"/>
      <c r="GGA96" s="11"/>
      <c r="GGB96" s="11"/>
      <c r="GGC96" s="11"/>
      <c r="GGD96" s="11"/>
      <c r="GGE96" s="11"/>
      <c r="GGF96" s="11"/>
      <c r="GGG96" s="11"/>
      <c r="GGH96" s="11"/>
      <c r="GGI96" s="11"/>
      <c r="GGJ96" s="11"/>
      <c r="GGK96" s="11"/>
      <c r="GGL96" s="11"/>
      <c r="GGM96" s="11"/>
      <c r="GGN96" s="11"/>
      <c r="GGO96" s="11"/>
      <c r="GGP96" s="11"/>
      <c r="GGQ96" s="11"/>
      <c r="GGR96" s="11"/>
      <c r="GGS96" s="11"/>
      <c r="GGT96" s="11"/>
      <c r="GGU96" s="11"/>
      <c r="GGV96" s="11"/>
      <c r="GGW96" s="11"/>
      <c r="GGX96" s="11"/>
      <c r="GGY96" s="11"/>
      <c r="GGZ96" s="11"/>
      <c r="GHA96" s="11"/>
      <c r="GHB96" s="11"/>
      <c r="GHC96" s="11"/>
      <c r="GHD96" s="11"/>
      <c r="GHE96" s="11"/>
      <c r="GHF96" s="11"/>
      <c r="GHG96" s="11"/>
      <c r="GHH96" s="11"/>
      <c r="GHI96" s="11"/>
      <c r="GHJ96" s="11"/>
      <c r="GHK96" s="11"/>
      <c r="GHL96" s="11"/>
      <c r="GHM96" s="11"/>
      <c r="GHN96" s="11"/>
      <c r="GHO96" s="11"/>
      <c r="GHP96" s="11"/>
      <c r="GHQ96" s="11"/>
      <c r="GHR96" s="11"/>
      <c r="GHS96" s="11"/>
      <c r="GHT96" s="11"/>
      <c r="GHU96" s="11"/>
      <c r="GHV96" s="11"/>
      <c r="GHW96" s="11"/>
      <c r="GHX96" s="11"/>
      <c r="GHY96" s="11"/>
      <c r="GHZ96" s="11"/>
      <c r="GIA96" s="11"/>
      <c r="GIB96" s="11"/>
      <c r="GIC96" s="11"/>
      <c r="GID96" s="11"/>
      <c r="GIE96" s="11"/>
      <c r="GIF96" s="11"/>
      <c r="GIG96" s="11"/>
      <c r="GIH96" s="11"/>
      <c r="GII96" s="11"/>
      <c r="GIJ96" s="11"/>
      <c r="GIK96" s="11"/>
      <c r="GIL96" s="11"/>
      <c r="GIM96" s="11"/>
      <c r="GIN96" s="11"/>
      <c r="GIO96" s="11"/>
      <c r="GIP96" s="11"/>
      <c r="GIQ96" s="11"/>
      <c r="GIR96" s="11"/>
      <c r="GIS96" s="11"/>
      <c r="GIT96" s="11"/>
      <c r="GIU96" s="11"/>
      <c r="GIV96" s="11"/>
      <c r="GIW96" s="11"/>
      <c r="GIX96" s="11"/>
      <c r="GIY96" s="11"/>
      <c r="GIZ96" s="11"/>
      <c r="GJA96" s="11"/>
      <c r="GJB96" s="11"/>
      <c r="GJC96" s="11"/>
      <c r="GJD96" s="11"/>
      <c r="GJE96" s="11"/>
      <c r="GJF96" s="11"/>
      <c r="GJG96" s="11"/>
      <c r="GJH96" s="11"/>
      <c r="GJI96" s="11"/>
      <c r="GJJ96" s="11"/>
      <c r="GJK96" s="11"/>
      <c r="GJL96" s="11"/>
      <c r="GJM96" s="11"/>
      <c r="GJN96" s="11"/>
      <c r="GJO96" s="11"/>
      <c r="GJP96" s="11"/>
      <c r="GJQ96" s="11"/>
      <c r="GJR96" s="11"/>
      <c r="GJS96" s="11"/>
      <c r="GJT96" s="11"/>
      <c r="GJU96" s="11"/>
      <c r="GJV96" s="11"/>
      <c r="GJW96" s="11"/>
      <c r="GJX96" s="11"/>
      <c r="GJY96" s="11"/>
      <c r="GJZ96" s="11"/>
      <c r="GKA96" s="11"/>
      <c r="GKB96" s="11"/>
      <c r="GKC96" s="11"/>
      <c r="GKD96" s="11"/>
      <c r="GKE96" s="11"/>
      <c r="GKF96" s="11"/>
      <c r="GKG96" s="11"/>
      <c r="GKH96" s="11"/>
      <c r="GKI96" s="11"/>
      <c r="GKJ96" s="11"/>
      <c r="GKK96" s="11"/>
      <c r="GKL96" s="11"/>
      <c r="GKM96" s="11"/>
      <c r="GKN96" s="11"/>
      <c r="GKO96" s="11"/>
      <c r="GKP96" s="11"/>
      <c r="GKQ96" s="11"/>
      <c r="GKR96" s="11"/>
      <c r="GKS96" s="11"/>
      <c r="GKT96" s="11"/>
      <c r="GKU96" s="11"/>
      <c r="GKV96" s="11"/>
      <c r="GKW96" s="11"/>
      <c r="GKX96" s="11"/>
      <c r="GKY96" s="11"/>
      <c r="GKZ96" s="11"/>
      <c r="GLA96" s="11"/>
      <c r="GLB96" s="11"/>
      <c r="GLC96" s="11"/>
      <c r="GLD96" s="11"/>
      <c r="GLE96" s="11"/>
      <c r="GLF96" s="11"/>
      <c r="GLG96" s="11"/>
      <c r="GLH96" s="11"/>
      <c r="GLI96" s="11"/>
      <c r="GLJ96" s="11"/>
      <c r="GLK96" s="11"/>
      <c r="GLL96" s="11"/>
      <c r="GLM96" s="11"/>
      <c r="GLN96" s="11"/>
      <c r="GLO96" s="11"/>
      <c r="GLP96" s="11"/>
      <c r="GLQ96" s="11"/>
      <c r="GLR96" s="11"/>
      <c r="GLS96" s="11"/>
      <c r="GLT96" s="11"/>
      <c r="GLU96" s="11"/>
      <c r="GLV96" s="11"/>
      <c r="GLW96" s="11"/>
      <c r="GLX96" s="11"/>
      <c r="GLY96" s="11"/>
      <c r="GLZ96" s="11"/>
      <c r="GMA96" s="11"/>
      <c r="GMB96" s="11"/>
      <c r="GMC96" s="11"/>
      <c r="GMD96" s="11"/>
      <c r="GME96" s="11"/>
      <c r="GMF96" s="11"/>
      <c r="GMG96" s="11"/>
      <c r="GMH96" s="11"/>
      <c r="GMI96" s="11"/>
      <c r="GMJ96" s="11"/>
      <c r="GMK96" s="11"/>
      <c r="GML96" s="11"/>
      <c r="GMM96" s="11"/>
      <c r="GMN96" s="11"/>
      <c r="GMO96" s="11"/>
      <c r="GMP96" s="11"/>
      <c r="GMQ96" s="11"/>
      <c r="GMR96" s="11"/>
      <c r="GMS96" s="11"/>
      <c r="GMT96" s="11"/>
      <c r="GMU96" s="11"/>
      <c r="GMV96" s="11"/>
      <c r="GMW96" s="11"/>
      <c r="GMX96" s="11"/>
      <c r="GMY96" s="11"/>
      <c r="GMZ96" s="11"/>
      <c r="GNA96" s="11"/>
      <c r="GNB96" s="11"/>
      <c r="GNC96" s="11"/>
      <c r="GND96" s="11"/>
      <c r="GNE96" s="11"/>
      <c r="GNF96" s="11"/>
      <c r="GNG96" s="11"/>
      <c r="GNH96" s="11"/>
      <c r="GNI96" s="11"/>
      <c r="GNJ96" s="11"/>
      <c r="GNK96" s="11"/>
      <c r="GNL96" s="11"/>
      <c r="GNM96" s="11"/>
      <c r="GNN96" s="11"/>
      <c r="GNO96" s="11"/>
      <c r="GNP96" s="11"/>
      <c r="GNQ96" s="11"/>
      <c r="GNR96" s="11"/>
      <c r="GNS96" s="11"/>
      <c r="GNT96" s="11"/>
      <c r="GNU96" s="11"/>
      <c r="GNV96" s="11"/>
      <c r="GNW96" s="11"/>
      <c r="GNX96" s="11"/>
      <c r="GNY96" s="11"/>
      <c r="GNZ96" s="11"/>
      <c r="GOA96" s="11"/>
      <c r="GOB96" s="11"/>
      <c r="GOC96" s="11"/>
      <c r="GOD96" s="11"/>
      <c r="GOE96" s="11"/>
      <c r="GOF96" s="11"/>
      <c r="GOG96" s="11"/>
      <c r="GOH96" s="11"/>
      <c r="GOI96" s="11"/>
      <c r="GOJ96" s="11"/>
      <c r="GOK96" s="11"/>
      <c r="GOL96" s="11"/>
      <c r="GOM96" s="11"/>
      <c r="GON96" s="11"/>
      <c r="GOO96" s="11"/>
      <c r="GOP96" s="11"/>
      <c r="GOQ96" s="11"/>
      <c r="GOR96" s="11"/>
      <c r="GOS96" s="11"/>
      <c r="GOT96" s="11"/>
      <c r="GOU96" s="11"/>
      <c r="GOV96" s="11"/>
      <c r="GOW96" s="11"/>
      <c r="GOX96" s="11"/>
      <c r="GOY96" s="11"/>
      <c r="GOZ96" s="11"/>
      <c r="GPA96" s="11"/>
      <c r="GPB96" s="11"/>
      <c r="GPC96" s="11"/>
      <c r="GPD96" s="11"/>
      <c r="GPE96" s="11"/>
      <c r="GPF96" s="11"/>
      <c r="GPG96" s="11"/>
      <c r="GPH96" s="11"/>
      <c r="GPI96" s="11"/>
      <c r="GPJ96" s="11"/>
      <c r="GPK96" s="11"/>
      <c r="GPL96" s="11"/>
      <c r="GPM96" s="11"/>
      <c r="GPN96" s="11"/>
      <c r="GPO96" s="11"/>
      <c r="GPP96" s="11"/>
      <c r="GPQ96" s="11"/>
      <c r="GPR96" s="11"/>
      <c r="GPS96" s="11"/>
      <c r="GPT96" s="11"/>
      <c r="GPU96" s="11"/>
      <c r="GPV96" s="11"/>
      <c r="GPW96" s="11"/>
      <c r="GPX96" s="11"/>
      <c r="GPY96" s="11"/>
      <c r="GPZ96" s="11"/>
      <c r="GQA96" s="11"/>
      <c r="GQB96" s="11"/>
      <c r="GQC96" s="11"/>
      <c r="GQD96" s="11"/>
      <c r="GQE96" s="11"/>
      <c r="GQF96" s="11"/>
      <c r="GQG96" s="11"/>
      <c r="GQH96" s="11"/>
      <c r="GQI96" s="11"/>
      <c r="GQJ96" s="11"/>
      <c r="GQK96" s="11"/>
      <c r="GQL96" s="11"/>
      <c r="GQM96" s="11"/>
      <c r="GQN96" s="11"/>
      <c r="GQO96" s="11"/>
      <c r="GQP96" s="11"/>
      <c r="GQQ96" s="11"/>
      <c r="GQR96" s="11"/>
      <c r="GQS96" s="11"/>
      <c r="GQT96" s="11"/>
      <c r="GQU96" s="11"/>
      <c r="GQV96" s="11"/>
      <c r="GQW96" s="11"/>
      <c r="GQX96" s="11"/>
      <c r="GQY96" s="11"/>
      <c r="GQZ96" s="11"/>
      <c r="GRA96" s="11"/>
      <c r="GRB96" s="11"/>
      <c r="GRC96" s="11"/>
      <c r="GRD96" s="11"/>
      <c r="GRE96" s="11"/>
      <c r="GRF96" s="11"/>
      <c r="GRG96" s="11"/>
      <c r="GRH96" s="11"/>
      <c r="GRI96" s="11"/>
      <c r="GRJ96" s="11"/>
      <c r="GRK96" s="11"/>
      <c r="GRL96" s="11"/>
      <c r="GRM96" s="11"/>
      <c r="GRN96" s="11"/>
      <c r="GRO96" s="11"/>
      <c r="GRP96" s="11"/>
      <c r="GRQ96" s="11"/>
      <c r="GRR96" s="11"/>
      <c r="GRS96" s="11"/>
      <c r="GRT96" s="11"/>
      <c r="GRU96" s="11"/>
      <c r="GRV96" s="11"/>
      <c r="GRW96" s="11"/>
      <c r="GRX96" s="11"/>
      <c r="GRY96" s="11"/>
      <c r="GRZ96" s="11"/>
      <c r="GSA96" s="11"/>
      <c r="GSB96" s="11"/>
      <c r="GSC96" s="11"/>
      <c r="GSD96" s="11"/>
      <c r="GSE96" s="11"/>
      <c r="GSF96" s="11"/>
      <c r="GSG96" s="11"/>
      <c r="GSH96" s="11"/>
      <c r="GSI96" s="11"/>
      <c r="GSJ96" s="11"/>
      <c r="GSK96" s="11"/>
      <c r="GSL96" s="11"/>
      <c r="GSM96" s="11"/>
      <c r="GSN96" s="11"/>
      <c r="GSO96" s="11"/>
      <c r="GSP96" s="11"/>
      <c r="GSQ96" s="11"/>
      <c r="GSR96" s="11"/>
      <c r="GSS96" s="11"/>
      <c r="GST96" s="11"/>
      <c r="GSU96" s="11"/>
      <c r="GSV96" s="11"/>
      <c r="GSW96" s="11"/>
      <c r="GSX96" s="11"/>
      <c r="GSY96" s="11"/>
      <c r="GSZ96" s="11"/>
      <c r="GTA96" s="11"/>
      <c r="GTB96" s="11"/>
      <c r="GTC96" s="11"/>
      <c r="GTD96" s="11"/>
      <c r="GTE96" s="11"/>
      <c r="GTF96" s="11"/>
      <c r="GTG96" s="11"/>
      <c r="GTH96" s="11"/>
      <c r="GTI96" s="11"/>
      <c r="GTJ96" s="11"/>
      <c r="GTK96" s="11"/>
      <c r="GTL96" s="11"/>
      <c r="GTM96" s="11"/>
      <c r="GTN96" s="11"/>
      <c r="GTO96" s="11"/>
      <c r="GTP96" s="11"/>
      <c r="GTQ96" s="11"/>
      <c r="GTR96" s="11"/>
      <c r="GTS96" s="11"/>
      <c r="GTT96" s="11"/>
      <c r="GTU96" s="11"/>
      <c r="GTV96" s="11"/>
      <c r="GTW96" s="11"/>
      <c r="GTX96" s="11"/>
      <c r="GTY96" s="11"/>
      <c r="GTZ96" s="11"/>
      <c r="GUA96" s="11"/>
      <c r="GUB96" s="11"/>
      <c r="GUC96" s="11"/>
      <c r="GUD96" s="11"/>
      <c r="GUE96" s="11"/>
      <c r="GUF96" s="11"/>
      <c r="GUG96" s="11"/>
      <c r="GUH96" s="11"/>
      <c r="GUI96" s="11"/>
      <c r="GUJ96" s="11"/>
      <c r="GUK96" s="11"/>
      <c r="GUL96" s="11"/>
      <c r="GUM96" s="11"/>
      <c r="GUN96" s="11"/>
      <c r="GUO96" s="11"/>
      <c r="GUP96" s="11"/>
      <c r="GUQ96" s="11"/>
      <c r="GUR96" s="11"/>
      <c r="GUS96" s="11"/>
      <c r="GUT96" s="11"/>
      <c r="GUU96" s="11"/>
      <c r="GUV96" s="11"/>
      <c r="GUW96" s="11"/>
      <c r="GUX96" s="11"/>
      <c r="GUY96" s="11"/>
      <c r="GUZ96" s="11"/>
      <c r="GVA96" s="11"/>
      <c r="GVB96" s="11"/>
      <c r="GVC96" s="11"/>
      <c r="GVD96" s="11"/>
      <c r="GVE96" s="11"/>
      <c r="GVF96" s="11"/>
      <c r="GVG96" s="11"/>
      <c r="GVH96" s="11"/>
      <c r="GVI96" s="11"/>
      <c r="GVJ96" s="11"/>
      <c r="GVK96" s="11"/>
      <c r="GVL96" s="11"/>
      <c r="GVM96" s="11"/>
      <c r="GVN96" s="11"/>
      <c r="GVO96" s="11"/>
      <c r="GVP96" s="11"/>
      <c r="GVQ96" s="11"/>
      <c r="GVR96" s="11"/>
      <c r="GVS96" s="11"/>
      <c r="GVT96" s="11"/>
      <c r="GVU96" s="11"/>
      <c r="GVV96" s="11"/>
      <c r="GVW96" s="11"/>
      <c r="GVX96" s="11"/>
      <c r="GVY96" s="11"/>
      <c r="GVZ96" s="11"/>
      <c r="GWA96" s="11"/>
      <c r="GWB96" s="11"/>
      <c r="GWC96" s="11"/>
      <c r="GWD96" s="11"/>
      <c r="GWE96" s="11"/>
      <c r="GWF96" s="11"/>
      <c r="GWG96" s="11"/>
      <c r="GWH96" s="11"/>
      <c r="GWI96" s="11"/>
      <c r="GWJ96" s="11"/>
      <c r="GWK96" s="11"/>
      <c r="GWL96" s="11"/>
      <c r="GWM96" s="11"/>
      <c r="GWN96" s="11"/>
      <c r="GWO96" s="11"/>
      <c r="GWP96" s="11"/>
      <c r="GWQ96" s="11"/>
      <c r="GWR96" s="11"/>
      <c r="GWS96" s="11"/>
      <c r="GWT96" s="11"/>
      <c r="GWU96" s="11"/>
      <c r="GWV96" s="11"/>
      <c r="GWW96" s="11"/>
      <c r="GWX96" s="11"/>
      <c r="GWY96" s="11"/>
      <c r="GWZ96" s="11"/>
      <c r="GXA96" s="11"/>
      <c r="GXB96" s="11"/>
      <c r="GXC96" s="11"/>
      <c r="GXD96" s="11"/>
      <c r="GXE96" s="11"/>
      <c r="GXF96" s="11"/>
      <c r="GXG96" s="11"/>
      <c r="GXH96" s="11"/>
      <c r="GXI96" s="11"/>
      <c r="GXJ96" s="11"/>
      <c r="GXK96" s="11"/>
      <c r="GXL96" s="11"/>
      <c r="GXM96" s="11"/>
      <c r="GXN96" s="11"/>
      <c r="GXO96" s="11"/>
      <c r="GXP96" s="11"/>
      <c r="GXQ96" s="11"/>
      <c r="GXR96" s="11"/>
      <c r="GXS96" s="11"/>
      <c r="GXT96" s="11"/>
      <c r="GXU96" s="11"/>
      <c r="GXV96" s="11"/>
      <c r="GXW96" s="11"/>
      <c r="GXX96" s="11"/>
      <c r="GXY96" s="11"/>
      <c r="GXZ96" s="11"/>
      <c r="GYA96" s="11"/>
      <c r="GYB96" s="11"/>
      <c r="GYC96" s="11"/>
      <c r="GYD96" s="11"/>
      <c r="GYE96" s="11"/>
      <c r="GYF96" s="11"/>
      <c r="GYG96" s="11"/>
      <c r="GYH96" s="11"/>
      <c r="GYI96" s="11"/>
      <c r="GYJ96" s="11"/>
      <c r="GYK96" s="11"/>
      <c r="GYL96" s="11"/>
      <c r="GYM96" s="11"/>
      <c r="GYN96" s="11"/>
      <c r="GYO96" s="11"/>
      <c r="GYP96" s="11"/>
      <c r="GYQ96" s="11"/>
      <c r="GYR96" s="11"/>
      <c r="GYS96" s="11"/>
      <c r="GYT96" s="11"/>
      <c r="GYU96" s="11"/>
      <c r="GYV96" s="11"/>
      <c r="GYW96" s="11"/>
      <c r="GYX96" s="11"/>
      <c r="GYY96" s="11"/>
      <c r="GYZ96" s="11"/>
      <c r="GZA96" s="11"/>
      <c r="GZB96" s="11"/>
      <c r="GZC96" s="11"/>
      <c r="GZD96" s="11"/>
      <c r="GZE96" s="11"/>
      <c r="GZF96" s="11"/>
      <c r="GZG96" s="11"/>
      <c r="GZH96" s="11"/>
      <c r="GZI96" s="11"/>
      <c r="GZJ96" s="11"/>
      <c r="GZK96" s="11"/>
      <c r="GZL96" s="11"/>
      <c r="GZM96" s="11"/>
      <c r="GZN96" s="11"/>
      <c r="GZO96" s="11"/>
      <c r="GZP96" s="11"/>
      <c r="GZQ96" s="11"/>
      <c r="GZR96" s="11"/>
      <c r="GZS96" s="11"/>
      <c r="GZT96" s="11"/>
      <c r="GZU96" s="11"/>
      <c r="GZV96" s="11"/>
      <c r="GZW96" s="11"/>
      <c r="GZX96" s="11"/>
      <c r="GZY96" s="11"/>
      <c r="GZZ96" s="11"/>
      <c r="HAA96" s="11"/>
      <c r="HAB96" s="11"/>
      <c r="HAC96" s="11"/>
      <c r="HAD96" s="11"/>
      <c r="HAE96" s="11"/>
      <c r="HAF96" s="11"/>
      <c r="HAG96" s="11"/>
      <c r="HAH96" s="11"/>
      <c r="HAI96" s="11"/>
      <c r="HAJ96" s="11"/>
      <c r="HAK96" s="11"/>
      <c r="HAL96" s="11"/>
      <c r="HAM96" s="11"/>
      <c r="HAN96" s="11"/>
      <c r="HAO96" s="11"/>
      <c r="HAP96" s="11"/>
      <c r="HAQ96" s="11"/>
      <c r="HAR96" s="11"/>
      <c r="HAS96" s="11"/>
      <c r="HAT96" s="11"/>
      <c r="HAU96" s="11"/>
      <c r="HAV96" s="11"/>
      <c r="HAW96" s="11"/>
      <c r="HAX96" s="11"/>
      <c r="HAY96" s="11"/>
      <c r="HAZ96" s="11"/>
      <c r="HBA96" s="11"/>
      <c r="HBB96" s="11"/>
      <c r="HBC96" s="11"/>
      <c r="HBD96" s="11"/>
      <c r="HBE96" s="11"/>
      <c r="HBF96" s="11"/>
      <c r="HBG96" s="11"/>
      <c r="HBH96" s="11"/>
      <c r="HBI96" s="11"/>
      <c r="HBJ96" s="11"/>
      <c r="HBK96" s="11"/>
      <c r="HBL96" s="11"/>
      <c r="HBM96" s="11"/>
      <c r="HBN96" s="11"/>
      <c r="HBO96" s="11"/>
      <c r="HBP96" s="11"/>
      <c r="HBQ96" s="11"/>
      <c r="HBR96" s="11"/>
      <c r="HBS96" s="11"/>
      <c r="HBT96" s="11"/>
      <c r="HBU96" s="11"/>
      <c r="HBV96" s="11"/>
      <c r="HBW96" s="11"/>
      <c r="HBX96" s="11"/>
      <c r="HBY96" s="11"/>
      <c r="HBZ96" s="11"/>
      <c r="HCA96" s="11"/>
      <c r="HCB96" s="11"/>
      <c r="HCC96" s="11"/>
      <c r="HCD96" s="11"/>
      <c r="HCE96" s="11"/>
      <c r="HCF96" s="11"/>
      <c r="HCG96" s="11"/>
      <c r="HCH96" s="11"/>
      <c r="HCI96" s="11"/>
      <c r="HCJ96" s="11"/>
      <c r="HCK96" s="11"/>
      <c r="HCL96" s="11"/>
      <c r="HCM96" s="11"/>
      <c r="HCN96" s="11"/>
      <c r="HCO96" s="11"/>
      <c r="HCP96" s="11"/>
      <c r="HCQ96" s="11"/>
      <c r="HCR96" s="11"/>
      <c r="HCS96" s="11"/>
      <c r="HCT96" s="11"/>
      <c r="HCU96" s="11"/>
      <c r="HCV96" s="11"/>
      <c r="HCW96" s="11"/>
      <c r="HCX96" s="11"/>
      <c r="HCY96" s="11"/>
      <c r="HCZ96" s="11"/>
      <c r="HDA96" s="11"/>
      <c r="HDB96" s="11"/>
      <c r="HDC96" s="11"/>
      <c r="HDD96" s="11"/>
      <c r="HDE96" s="11"/>
      <c r="HDF96" s="11"/>
      <c r="HDG96" s="11"/>
      <c r="HDH96" s="11"/>
      <c r="HDI96" s="11"/>
      <c r="HDJ96" s="11"/>
      <c r="HDK96" s="11"/>
      <c r="HDL96" s="11"/>
      <c r="HDM96" s="11"/>
      <c r="HDN96" s="11"/>
      <c r="HDO96" s="11"/>
      <c r="HDP96" s="11"/>
      <c r="HDQ96" s="11"/>
      <c r="HDR96" s="11"/>
      <c r="HDS96" s="11"/>
      <c r="HDT96" s="11"/>
      <c r="HDU96" s="11"/>
      <c r="HDV96" s="11"/>
      <c r="HDW96" s="11"/>
      <c r="HDX96" s="11"/>
      <c r="HDY96" s="11"/>
      <c r="HDZ96" s="11"/>
      <c r="HEA96" s="11"/>
      <c r="HEB96" s="11"/>
      <c r="HEC96" s="11"/>
      <c r="HED96" s="11"/>
      <c r="HEE96" s="11"/>
      <c r="HEF96" s="11"/>
      <c r="HEG96" s="11"/>
      <c r="HEH96" s="11"/>
      <c r="HEI96" s="11"/>
      <c r="HEJ96" s="11"/>
      <c r="HEK96" s="11"/>
      <c r="HEL96" s="11"/>
      <c r="HEM96" s="11"/>
      <c r="HEN96" s="11"/>
      <c r="HEO96" s="11"/>
      <c r="HEP96" s="11"/>
      <c r="HEQ96" s="11"/>
      <c r="HER96" s="11"/>
      <c r="HES96" s="11"/>
      <c r="HET96" s="11"/>
      <c r="HEU96" s="11"/>
      <c r="HEV96" s="11"/>
      <c r="HEW96" s="11"/>
      <c r="HEX96" s="11"/>
      <c r="HEY96" s="11"/>
      <c r="HEZ96" s="11"/>
      <c r="HFA96" s="11"/>
      <c r="HFB96" s="11"/>
      <c r="HFC96" s="11"/>
      <c r="HFD96" s="11"/>
      <c r="HFE96" s="11"/>
      <c r="HFF96" s="11"/>
      <c r="HFG96" s="11"/>
      <c r="HFH96" s="11"/>
      <c r="HFI96" s="11"/>
      <c r="HFJ96" s="11"/>
      <c r="HFK96" s="11"/>
      <c r="HFL96" s="11"/>
      <c r="HFM96" s="11"/>
      <c r="HFN96" s="11"/>
      <c r="HFO96" s="11"/>
      <c r="HFP96" s="11"/>
      <c r="HFQ96" s="11"/>
      <c r="HFR96" s="11"/>
      <c r="HFS96" s="11"/>
      <c r="HFT96" s="11"/>
      <c r="HFU96" s="11"/>
      <c r="HFV96" s="11"/>
      <c r="HFW96" s="11"/>
      <c r="HFX96" s="11"/>
      <c r="HFY96" s="11"/>
      <c r="HFZ96" s="11"/>
      <c r="HGA96" s="11"/>
      <c r="HGB96" s="11"/>
      <c r="HGC96" s="11"/>
      <c r="HGD96" s="11"/>
      <c r="HGE96" s="11"/>
      <c r="HGF96" s="11"/>
      <c r="HGG96" s="11"/>
      <c r="HGH96" s="11"/>
      <c r="HGI96" s="11"/>
      <c r="HGJ96" s="11"/>
      <c r="HGK96" s="11"/>
      <c r="HGL96" s="11"/>
      <c r="HGM96" s="11"/>
      <c r="HGN96" s="11"/>
      <c r="HGO96" s="11"/>
      <c r="HGP96" s="11"/>
      <c r="HGQ96" s="11"/>
      <c r="HGR96" s="11"/>
      <c r="HGS96" s="11"/>
      <c r="HGT96" s="11"/>
      <c r="HGU96" s="11"/>
      <c r="HGV96" s="11"/>
      <c r="HGW96" s="11"/>
      <c r="HGX96" s="11"/>
      <c r="HGY96" s="11"/>
      <c r="HGZ96" s="11"/>
      <c r="HHA96" s="11"/>
      <c r="HHB96" s="11"/>
      <c r="HHC96" s="11"/>
      <c r="HHD96" s="11"/>
      <c r="HHE96" s="11"/>
      <c r="HHF96" s="11"/>
      <c r="HHG96" s="11"/>
      <c r="HHH96" s="11"/>
      <c r="HHI96" s="11"/>
      <c r="HHJ96" s="11"/>
      <c r="HHK96" s="11"/>
      <c r="HHL96" s="11"/>
      <c r="HHM96" s="11"/>
      <c r="HHN96" s="11"/>
      <c r="HHO96" s="11"/>
      <c r="HHP96" s="11"/>
      <c r="HHQ96" s="11"/>
      <c r="HHR96" s="11"/>
      <c r="HHS96" s="11"/>
      <c r="HHT96" s="11"/>
      <c r="HHU96" s="11"/>
      <c r="HHV96" s="11"/>
      <c r="HHW96" s="11"/>
      <c r="HHX96" s="11"/>
      <c r="HHY96" s="11"/>
      <c r="HHZ96" s="11"/>
      <c r="HIA96" s="11"/>
      <c r="HIB96" s="11"/>
      <c r="HIC96" s="11"/>
      <c r="HID96" s="11"/>
      <c r="HIE96" s="11"/>
      <c r="HIF96" s="11"/>
      <c r="HIG96" s="11"/>
      <c r="HIH96" s="11"/>
      <c r="HII96" s="11"/>
      <c r="HIJ96" s="11"/>
      <c r="HIK96" s="11"/>
      <c r="HIL96" s="11"/>
      <c r="HIM96" s="11"/>
      <c r="HIN96" s="11"/>
      <c r="HIO96" s="11"/>
      <c r="HIP96" s="11"/>
      <c r="HIQ96" s="11"/>
      <c r="HIR96" s="11"/>
      <c r="HIS96" s="11"/>
      <c r="HIT96" s="11"/>
      <c r="HIU96" s="11"/>
      <c r="HIV96" s="11"/>
      <c r="HIW96" s="11"/>
      <c r="HIX96" s="11"/>
      <c r="HIY96" s="11"/>
      <c r="HIZ96" s="11"/>
      <c r="HJA96" s="11"/>
      <c r="HJB96" s="11"/>
      <c r="HJC96" s="11"/>
      <c r="HJD96" s="11"/>
      <c r="HJE96" s="11"/>
      <c r="HJF96" s="11"/>
      <c r="HJG96" s="11"/>
      <c r="HJH96" s="11"/>
      <c r="HJI96" s="11"/>
      <c r="HJJ96" s="11"/>
      <c r="HJK96" s="11"/>
      <c r="HJL96" s="11"/>
      <c r="HJM96" s="11"/>
      <c r="HJN96" s="11"/>
      <c r="HJO96" s="11"/>
      <c r="HJP96" s="11"/>
      <c r="HJQ96" s="11"/>
      <c r="HJR96" s="11"/>
      <c r="HJS96" s="11"/>
      <c r="HJT96" s="11"/>
      <c r="HJU96" s="11"/>
      <c r="HJV96" s="11"/>
      <c r="HJW96" s="11"/>
      <c r="HJX96" s="11"/>
      <c r="HJY96" s="11"/>
      <c r="HJZ96" s="11"/>
      <c r="HKA96" s="11"/>
      <c r="HKB96" s="11"/>
      <c r="HKC96" s="11"/>
      <c r="HKD96" s="11"/>
      <c r="HKE96" s="11"/>
      <c r="HKF96" s="11"/>
      <c r="HKG96" s="11"/>
      <c r="HKH96" s="11"/>
      <c r="HKI96" s="11"/>
      <c r="HKJ96" s="11"/>
      <c r="HKK96" s="11"/>
      <c r="HKL96" s="11"/>
      <c r="HKM96" s="11"/>
      <c r="HKN96" s="11"/>
      <c r="HKO96" s="11"/>
      <c r="HKP96" s="11"/>
      <c r="HKQ96" s="11"/>
      <c r="HKR96" s="11"/>
      <c r="HKS96" s="11"/>
      <c r="HKT96" s="11"/>
      <c r="HKU96" s="11"/>
      <c r="HKV96" s="11"/>
      <c r="HKW96" s="11"/>
      <c r="HKX96" s="11"/>
      <c r="HKY96" s="11"/>
      <c r="HKZ96" s="11"/>
      <c r="HLA96" s="11"/>
      <c r="HLB96" s="11"/>
      <c r="HLC96" s="11"/>
      <c r="HLD96" s="11"/>
      <c r="HLE96" s="11"/>
      <c r="HLF96" s="11"/>
      <c r="HLG96" s="11"/>
      <c r="HLH96" s="11"/>
      <c r="HLI96" s="11"/>
      <c r="HLJ96" s="11"/>
      <c r="HLK96" s="11"/>
      <c r="HLL96" s="11"/>
      <c r="HLM96" s="11"/>
      <c r="HLN96" s="11"/>
      <c r="HLO96" s="11"/>
      <c r="HLP96" s="11"/>
      <c r="HLQ96" s="11"/>
      <c r="HLR96" s="11"/>
      <c r="HLS96" s="11"/>
      <c r="HLT96" s="11"/>
      <c r="HLU96" s="11"/>
      <c r="HLV96" s="11"/>
      <c r="HLW96" s="11"/>
      <c r="HLX96" s="11"/>
      <c r="HLY96" s="11"/>
      <c r="HLZ96" s="11"/>
      <c r="HMA96" s="11"/>
      <c r="HMB96" s="11"/>
      <c r="HMC96" s="11"/>
      <c r="HMD96" s="11"/>
      <c r="HME96" s="11"/>
      <c r="HMF96" s="11"/>
      <c r="HMG96" s="11"/>
      <c r="HMH96" s="11"/>
      <c r="HMI96" s="11"/>
      <c r="HMJ96" s="11"/>
      <c r="HMK96" s="11"/>
      <c r="HML96" s="11"/>
      <c r="HMM96" s="11"/>
      <c r="HMN96" s="11"/>
      <c r="HMO96" s="11"/>
      <c r="HMP96" s="11"/>
      <c r="HMQ96" s="11"/>
      <c r="HMR96" s="11"/>
      <c r="HMS96" s="11"/>
      <c r="HMT96" s="11"/>
      <c r="HMU96" s="11"/>
      <c r="HMV96" s="11"/>
      <c r="HMW96" s="11"/>
      <c r="HMX96" s="11"/>
      <c r="HMY96" s="11"/>
      <c r="HMZ96" s="11"/>
      <c r="HNA96" s="11"/>
      <c r="HNB96" s="11"/>
      <c r="HNC96" s="11"/>
      <c r="HND96" s="11"/>
      <c r="HNE96" s="11"/>
      <c r="HNF96" s="11"/>
      <c r="HNG96" s="11"/>
      <c r="HNH96" s="11"/>
      <c r="HNI96" s="11"/>
      <c r="HNJ96" s="11"/>
      <c r="HNK96" s="11"/>
      <c r="HNL96" s="11"/>
      <c r="HNM96" s="11"/>
      <c r="HNN96" s="11"/>
      <c r="HNO96" s="11"/>
      <c r="HNP96" s="11"/>
      <c r="HNQ96" s="11"/>
      <c r="HNR96" s="11"/>
      <c r="HNS96" s="11"/>
      <c r="HNT96" s="11"/>
      <c r="HNU96" s="11"/>
      <c r="HNV96" s="11"/>
      <c r="HNW96" s="11"/>
      <c r="HNX96" s="11"/>
      <c r="HNY96" s="11"/>
      <c r="HNZ96" s="11"/>
      <c r="HOA96" s="11"/>
      <c r="HOB96" s="11"/>
      <c r="HOC96" s="11"/>
      <c r="HOD96" s="11"/>
      <c r="HOE96" s="11"/>
      <c r="HOF96" s="11"/>
      <c r="HOG96" s="11"/>
      <c r="HOH96" s="11"/>
      <c r="HOI96" s="11"/>
      <c r="HOJ96" s="11"/>
      <c r="HOK96" s="11"/>
      <c r="HOL96" s="11"/>
      <c r="HOM96" s="11"/>
      <c r="HON96" s="11"/>
      <c r="HOO96" s="11"/>
      <c r="HOP96" s="11"/>
      <c r="HOQ96" s="11"/>
      <c r="HOR96" s="11"/>
      <c r="HOS96" s="11"/>
      <c r="HOT96" s="11"/>
      <c r="HOU96" s="11"/>
      <c r="HOV96" s="11"/>
      <c r="HOW96" s="11"/>
      <c r="HOX96" s="11"/>
      <c r="HOY96" s="11"/>
      <c r="HOZ96" s="11"/>
      <c r="HPA96" s="11"/>
      <c r="HPB96" s="11"/>
      <c r="HPC96" s="11"/>
      <c r="HPD96" s="11"/>
      <c r="HPE96" s="11"/>
      <c r="HPF96" s="11"/>
      <c r="HPG96" s="11"/>
      <c r="HPH96" s="11"/>
      <c r="HPI96" s="11"/>
      <c r="HPJ96" s="11"/>
      <c r="HPK96" s="11"/>
      <c r="HPL96" s="11"/>
      <c r="HPM96" s="11"/>
      <c r="HPN96" s="11"/>
      <c r="HPO96" s="11"/>
      <c r="HPP96" s="11"/>
      <c r="HPQ96" s="11"/>
      <c r="HPR96" s="11"/>
      <c r="HPS96" s="11"/>
      <c r="HPT96" s="11"/>
      <c r="HPU96" s="11"/>
      <c r="HPV96" s="11"/>
      <c r="HPW96" s="11"/>
      <c r="HPX96" s="11"/>
      <c r="HPY96" s="11"/>
      <c r="HPZ96" s="11"/>
      <c r="HQA96" s="11"/>
      <c r="HQB96" s="11"/>
      <c r="HQC96" s="11"/>
      <c r="HQD96" s="11"/>
      <c r="HQE96" s="11"/>
      <c r="HQF96" s="11"/>
      <c r="HQG96" s="11"/>
      <c r="HQH96" s="11"/>
      <c r="HQI96" s="11"/>
      <c r="HQJ96" s="11"/>
      <c r="HQK96" s="11"/>
      <c r="HQL96" s="11"/>
      <c r="HQM96" s="11"/>
      <c r="HQN96" s="11"/>
      <c r="HQO96" s="11"/>
      <c r="HQP96" s="11"/>
      <c r="HQQ96" s="11"/>
      <c r="HQR96" s="11"/>
      <c r="HQS96" s="11"/>
      <c r="HQT96" s="11"/>
      <c r="HQU96" s="11"/>
      <c r="HQV96" s="11"/>
      <c r="HQW96" s="11"/>
      <c r="HQX96" s="11"/>
      <c r="HQY96" s="11"/>
      <c r="HQZ96" s="11"/>
      <c r="HRA96" s="11"/>
      <c r="HRB96" s="11"/>
      <c r="HRC96" s="11"/>
      <c r="HRD96" s="11"/>
      <c r="HRE96" s="11"/>
      <c r="HRF96" s="11"/>
      <c r="HRG96" s="11"/>
      <c r="HRH96" s="11"/>
      <c r="HRI96" s="11"/>
      <c r="HRJ96" s="11"/>
      <c r="HRK96" s="11"/>
      <c r="HRL96" s="11"/>
      <c r="HRM96" s="11"/>
      <c r="HRN96" s="11"/>
      <c r="HRO96" s="11"/>
      <c r="HRP96" s="11"/>
      <c r="HRQ96" s="11"/>
      <c r="HRR96" s="11"/>
      <c r="HRS96" s="11"/>
      <c r="HRT96" s="11"/>
      <c r="HRU96" s="11"/>
      <c r="HRV96" s="11"/>
      <c r="HRW96" s="11"/>
      <c r="HRX96" s="11"/>
      <c r="HRY96" s="11"/>
      <c r="HRZ96" s="11"/>
      <c r="HSA96" s="11"/>
      <c r="HSB96" s="11"/>
      <c r="HSC96" s="11"/>
      <c r="HSD96" s="11"/>
      <c r="HSE96" s="11"/>
      <c r="HSF96" s="11"/>
      <c r="HSG96" s="11"/>
      <c r="HSH96" s="11"/>
      <c r="HSI96" s="11"/>
      <c r="HSJ96" s="11"/>
      <c r="HSK96" s="11"/>
      <c r="HSL96" s="11"/>
      <c r="HSM96" s="11"/>
      <c r="HSN96" s="11"/>
      <c r="HSO96" s="11"/>
      <c r="HSP96" s="11"/>
      <c r="HSQ96" s="11"/>
      <c r="HSR96" s="11"/>
      <c r="HSS96" s="11"/>
      <c r="HST96" s="11"/>
      <c r="HSU96" s="11"/>
      <c r="HSV96" s="11"/>
      <c r="HSW96" s="11"/>
      <c r="HSX96" s="11"/>
      <c r="HSY96" s="11"/>
      <c r="HSZ96" s="11"/>
      <c r="HTA96" s="11"/>
      <c r="HTB96" s="11"/>
      <c r="HTC96" s="11"/>
      <c r="HTD96" s="11"/>
      <c r="HTE96" s="11"/>
      <c r="HTF96" s="11"/>
      <c r="HTG96" s="11"/>
      <c r="HTH96" s="11"/>
      <c r="HTI96" s="11"/>
      <c r="HTJ96" s="11"/>
      <c r="HTK96" s="11"/>
      <c r="HTL96" s="11"/>
      <c r="HTM96" s="11"/>
      <c r="HTN96" s="11"/>
      <c r="HTO96" s="11"/>
      <c r="HTP96" s="11"/>
      <c r="HTQ96" s="11"/>
      <c r="HTR96" s="11"/>
      <c r="HTS96" s="11"/>
      <c r="HTT96" s="11"/>
      <c r="HTU96" s="11"/>
      <c r="HTV96" s="11"/>
      <c r="HTW96" s="11"/>
      <c r="HTX96" s="11"/>
      <c r="HTY96" s="11"/>
      <c r="HTZ96" s="11"/>
      <c r="HUA96" s="11"/>
      <c r="HUB96" s="11"/>
      <c r="HUC96" s="11"/>
      <c r="HUD96" s="11"/>
      <c r="HUE96" s="11"/>
      <c r="HUF96" s="11"/>
      <c r="HUG96" s="11"/>
      <c r="HUH96" s="11"/>
      <c r="HUI96" s="11"/>
      <c r="HUJ96" s="11"/>
      <c r="HUK96" s="11"/>
      <c r="HUL96" s="11"/>
      <c r="HUM96" s="11"/>
      <c r="HUN96" s="11"/>
      <c r="HUO96" s="11"/>
      <c r="HUP96" s="11"/>
      <c r="HUQ96" s="11"/>
      <c r="HUR96" s="11"/>
      <c r="HUS96" s="11"/>
      <c r="HUT96" s="11"/>
      <c r="HUU96" s="11"/>
      <c r="HUV96" s="11"/>
      <c r="HUW96" s="11"/>
      <c r="HUX96" s="11"/>
      <c r="HUY96" s="11"/>
      <c r="HUZ96" s="11"/>
      <c r="HVA96" s="11"/>
      <c r="HVB96" s="11"/>
      <c r="HVC96" s="11"/>
      <c r="HVD96" s="11"/>
      <c r="HVE96" s="11"/>
      <c r="HVF96" s="11"/>
      <c r="HVG96" s="11"/>
      <c r="HVH96" s="11"/>
      <c r="HVI96" s="11"/>
      <c r="HVJ96" s="11"/>
      <c r="HVK96" s="11"/>
      <c r="HVL96" s="11"/>
      <c r="HVM96" s="11"/>
      <c r="HVN96" s="11"/>
      <c r="HVO96" s="11"/>
      <c r="HVP96" s="11"/>
      <c r="HVQ96" s="11"/>
      <c r="HVR96" s="11"/>
      <c r="HVS96" s="11"/>
      <c r="HVT96" s="11"/>
      <c r="HVU96" s="11"/>
      <c r="HVV96" s="11"/>
      <c r="HVW96" s="11"/>
      <c r="HVX96" s="11"/>
      <c r="HVY96" s="11"/>
      <c r="HVZ96" s="11"/>
      <c r="HWA96" s="11"/>
      <c r="HWB96" s="11"/>
      <c r="HWC96" s="11"/>
      <c r="HWD96" s="11"/>
      <c r="HWE96" s="11"/>
      <c r="HWF96" s="11"/>
      <c r="HWG96" s="11"/>
      <c r="HWH96" s="11"/>
      <c r="HWI96" s="11"/>
      <c r="HWJ96" s="11"/>
      <c r="HWK96" s="11"/>
      <c r="HWL96" s="11"/>
      <c r="HWM96" s="11"/>
      <c r="HWN96" s="11"/>
      <c r="HWO96" s="11"/>
      <c r="HWP96" s="11"/>
      <c r="HWQ96" s="11"/>
      <c r="HWR96" s="11"/>
      <c r="HWS96" s="11"/>
      <c r="HWT96" s="11"/>
      <c r="HWU96" s="11"/>
      <c r="HWV96" s="11"/>
      <c r="HWW96" s="11"/>
      <c r="HWX96" s="11"/>
      <c r="HWY96" s="11"/>
      <c r="HWZ96" s="11"/>
      <c r="HXA96" s="11"/>
      <c r="HXB96" s="11"/>
      <c r="HXC96" s="11"/>
      <c r="HXD96" s="11"/>
      <c r="HXE96" s="11"/>
      <c r="HXF96" s="11"/>
      <c r="HXG96" s="11"/>
      <c r="HXH96" s="11"/>
      <c r="HXI96" s="11"/>
      <c r="HXJ96" s="11"/>
      <c r="HXK96" s="11"/>
      <c r="HXL96" s="11"/>
      <c r="HXM96" s="11"/>
      <c r="HXN96" s="11"/>
      <c r="HXO96" s="11"/>
      <c r="HXP96" s="11"/>
      <c r="HXQ96" s="11"/>
      <c r="HXR96" s="11"/>
      <c r="HXS96" s="11"/>
      <c r="HXT96" s="11"/>
      <c r="HXU96" s="11"/>
      <c r="HXV96" s="11"/>
      <c r="HXW96" s="11"/>
      <c r="HXX96" s="11"/>
      <c r="HXY96" s="11"/>
      <c r="HXZ96" s="11"/>
      <c r="HYA96" s="11"/>
      <c r="HYB96" s="11"/>
      <c r="HYC96" s="11"/>
      <c r="HYD96" s="11"/>
      <c r="HYE96" s="11"/>
      <c r="HYF96" s="11"/>
      <c r="HYG96" s="11"/>
      <c r="HYH96" s="11"/>
      <c r="HYI96" s="11"/>
      <c r="HYJ96" s="11"/>
      <c r="HYK96" s="11"/>
      <c r="HYL96" s="11"/>
      <c r="HYM96" s="11"/>
      <c r="HYN96" s="11"/>
      <c r="HYO96" s="11"/>
      <c r="HYP96" s="11"/>
      <c r="HYQ96" s="11"/>
      <c r="HYR96" s="11"/>
      <c r="HYS96" s="11"/>
      <c r="HYT96" s="11"/>
      <c r="HYU96" s="11"/>
      <c r="HYV96" s="11"/>
      <c r="HYW96" s="11"/>
      <c r="HYX96" s="11"/>
      <c r="HYY96" s="11"/>
      <c r="HYZ96" s="11"/>
      <c r="HZA96" s="11"/>
      <c r="HZB96" s="11"/>
      <c r="HZC96" s="11"/>
      <c r="HZD96" s="11"/>
      <c r="HZE96" s="11"/>
      <c r="HZF96" s="11"/>
      <c r="HZG96" s="11"/>
      <c r="HZH96" s="11"/>
      <c r="HZI96" s="11"/>
      <c r="HZJ96" s="11"/>
      <c r="HZK96" s="11"/>
      <c r="HZL96" s="11"/>
      <c r="HZM96" s="11"/>
      <c r="HZN96" s="11"/>
      <c r="HZO96" s="11"/>
      <c r="HZP96" s="11"/>
      <c r="HZQ96" s="11"/>
      <c r="HZR96" s="11"/>
      <c r="HZS96" s="11"/>
      <c r="HZT96" s="11"/>
      <c r="HZU96" s="11"/>
      <c r="HZV96" s="11"/>
      <c r="HZW96" s="11"/>
      <c r="HZX96" s="11"/>
      <c r="HZY96" s="11"/>
      <c r="HZZ96" s="11"/>
      <c r="IAA96" s="11"/>
      <c r="IAB96" s="11"/>
      <c r="IAC96" s="11"/>
      <c r="IAD96" s="11"/>
      <c r="IAE96" s="11"/>
      <c r="IAF96" s="11"/>
      <c r="IAG96" s="11"/>
      <c r="IAH96" s="11"/>
      <c r="IAI96" s="11"/>
      <c r="IAJ96" s="11"/>
      <c r="IAK96" s="11"/>
      <c r="IAL96" s="11"/>
      <c r="IAM96" s="11"/>
      <c r="IAN96" s="11"/>
      <c r="IAO96" s="11"/>
      <c r="IAP96" s="11"/>
      <c r="IAQ96" s="11"/>
      <c r="IAR96" s="11"/>
      <c r="IAS96" s="11"/>
      <c r="IAT96" s="11"/>
      <c r="IAU96" s="11"/>
      <c r="IAV96" s="11"/>
      <c r="IAW96" s="11"/>
      <c r="IAX96" s="11"/>
      <c r="IAY96" s="11"/>
      <c r="IAZ96" s="11"/>
      <c r="IBA96" s="11"/>
      <c r="IBB96" s="11"/>
      <c r="IBC96" s="11"/>
      <c r="IBD96" s="11"/>
      <c r="IBE96" s="11"/>
      <c r="IBF96" s="11"/>
      <c r="IBG96" s="11"/>
      <c r="IBH96" s="11"/>
      <c r="IBI96" s="11"/>
      <c r="IBJ96" s="11"/>
      <c r="IBK96" s="11"/>
      <c r="IBL96" s="11"/>
      <c r="IBM96" s="11"/>
      <c r="IBN96" s="11"/>
      <c r="IBO96" s="11"/>
      <c r="IBP96" s="11"/>
      <c r="IBQ96" s="11"/>
      <c r="IBR96" s="11"/>
      <c r="IBS96" s="11"/>
      <c r="IBT96" s="11"/>
      <c r="IBU96" s="11"/>
      <c r="IBV96" s="11"/>
      <c r="IBW96" s="11"/>
      <c r="IBX96" s="11"/>
      <c r="IBY96" s="11"/>
      <c r="IBZ96" s="11"/>
      <c r="ICA96" s="11"/>
      <c r="ICB96" s="11"/>
      <c r="ICC96" s="11"/>
      <c r="ICD96" s="11"/>
      <c r="ICE96" s="11"/>
      <c r="ICF96" s="11"/>
      <c r="ICG96" s="11"/>
      <c r="ICH96" s="11"/>
      <c r="ICI96" s="11"/>
      <c r="ICJ96" s="11"/>
      <c r="ICK96" s="11"/>
      <c r="ICL96" s="11"/>
      <c r="ICM96" s="11"/>
      <c r="ICN96" s="11"/>
      <c r="ICO96" s="11"/>
      <c r="ICP96" s="11"/>
      <c r="ICQ96" s="11"/>
      <c r="ICR96" s="11"/>
      <c r="ICS96" s="11"/>
      <c r="ICT96" s="11"/>
      <c r="ICU96" s="11"/>
      <c r="ICV96" s="11"/>
      <c r="ICW96" s="11"/>
      <c r="ICX96" s="11"/>
      <c r="ICY96" s="11"/>
      <c r="ICZ96" s="11"/>
      <c r="IDA96" s="11"/>
      <c r="IDB96" s="11"/>
      <c r="IDC96" s="11"/>
      <c r="IDD96" s="11"/>
      <c r="IDE96" s="11"/>
      <c r="IDF96" s="11"/>
      <c r="IDG96" s="11"/>
      <c r="IDH96" s="11"/>
      <c r="IDI96" s="11"/>
      <c r="IDJ96" s="11"/>
      <c r="IDK96" s="11"/>
      <c r="IDL96" s="11"/>
      <c r="IDM96" s="11"/>
      <c r="IDN96" s="11"/>
      <c r="IDO96" s="11"/>
      <c r="IDP96" s="11"/>
      <c r="IDQ96" s="11"/>
      <c r="IDR96" s="11"/>
      <c r="IDS96" s="11"/>
      <c r="IDT96" s="11"/>
      <c r="IDU96" s="11"/>
      <c r="IDV96" s="11"/>
      <c r="IDW96" s="11"/>
      <c r="IDX96" s="11"/>
      <c r="IDY96" s="11"/>
      <c r="IDZ96" s="11"/>
      <c r="IEA96" s="11"/>
      <c r="IEB96" s="11"/>
      <c r="IEC96" s="11"/>
      <c r="IED96" s="11"/>
      <c r="IEE96" s="11"/>
      <c r="IEF96" s="11"/>
      <c r="IEG96" s="11"/>
      <c r="IEH96" s="11"/>
      <c r="IEI96" s="11"/>
      <c r="IEJ96" s="11"/>
      <c r="IEK96" s="11"/>
      <c r="IEL96" s="11"/>
      <c r="IEM96" s="11"/>
      <c r="IEN96" s="11"/>
      <c r="IEO96" s="11"/>
      <c r="IEP96" s="11"/>
      <c r="IEQ96" s="11"/>
      <c r="IER96" s="11"/>
      <c r="IES96" s="11"/>
      <c r="IET96" s="11"/>
      <c r="IEU96" s="11"/>
      <c r="IEV96" s="11"/>
      <c r="IEW96" s="11"/>
      <c r="IEX96" s="11"/>
      <c r="IEY96" s="11"/>
      <c r="IEZ96" s="11"/>
      <c r="IFA96" s="11"/>
      <c r="IFB96" s="11"/>
      <c r="IFC96" s="11"/>
      <c r="IFD96" s="11"/>
      <c r="IFE96" s="11"/>
      <c r="IFF96" s="11"/>
      <c r="IFG96" s="11"/>
      <c r="IFH96" s="11"/>
      <c r="IFI96" s="11"/>
      <c r="IFJ96" s="11"/>
      <c r="IFK96" s="11"/>
      <c r="IFL96" s="11"/>
      <c r="IFM96" s="11"/>
      <c r="IFN96" s="11"/>
      <c r="IFO96" s="11"/>
      <c r="IFP96" s="11"/>
      <c r="IFQ96" s="11"/>
      <c r="IFR96" s="11"/>
      <c r="IFS96" s="11"/>
      <c r="IFT96" s="11"/>
      <c r="IFU96" s="11"/>
      <c r="IFV96" s="11"/>
      <c r="IFW96" s="11"/>
      <c r="IFX96" s="11"/>
      <c r="IFY96" s="11"/>
      <c r="IFZ96" s="11"/>
      <c r="IGA96" s="11"/>
      <c r="IGB96" s="11"/>
      <c r="IGC96" s="11"/>
      <c r="IGD96" s="11"/>
      <c r="IGE96" s="11"/>
      <c r="IGF96" s="11"/>
      <c r="IGG96" s="11"/>
      <c r="IGH96" s="11"/>
      <c r="IGI96" s="11"/>
      <c r="IGJ96" s="11"/>
      <c r="IGK96" s="11"/>
      <c r="IGL96" s="11"/>
      <c r="IGM96" s="11"/>
      <c r="IGN96" s="11"/>
      <c r="IGO96" s="11"/>
      <c r="IGP96" s="11"/>
      <c r="IGQ96" s="11"/>
      <c r="IGR96" s="11"/>
      <c r="IGS96" s="11"/>
      <c r="IGT96" s="11"/>
      <c r="IGU96" s="11"/>
      <c r="IGV96" s="11"/>
      <c r="IGW96" s="11"/>
      <c r="IGX96" s="11"/>
      <c r="IGY96" s="11"/>
      <c r="IGZ96" s="11"/>
      <c r="IHA96" s="11"/>
      <c r="IHB96" s="11"/>
      <c r="IHC96" s="11"/>
      <c r="IHD96" s="11"/>
      <c r="IHE96" s="11"/>
      <c r="IHF96" s="11"/>
      <c r="IHG96" s="11"/>
      <c r="IHH96" s="11"/>
      <c r="IHI96" s="11"/>
      <c r="IHJ96" s="11"/>
      <c r="IHK96" s="11"/>
      <c r="IHL96" s="11"/>
      <c r="IHM96" s="11"/>
      <c r="IHN96" s="11"/>
      <c r="IHO96" s="11"/>
      <c r="IHP96" s="11"/>
      <c r="IHQ96" s="11"/>
      <c r="IHR96" s="11"/>
      <c r="IHS96" s="11"/>
      <c r="IHT96" s="11"/>
      <c r="IHU96" s="11"/>
      <c r="IHV96" s="11"/>
      <c r="IHW96" s="11"/>
      <c r="IHX96" s="11"/>
      <c r="IHY96" s="11"/>
      <c r="IHZ96" s="11"/>
      <c r="IIA96" s="11"/>
      <c r="IIB96" s="11"/>
      <c r="IIC96" s="11"/>
      <c r="IID96" s="11"/>
      <c r="IIE96" s="11"/>
      <c r="IIF96" s="11"/>
      <c r="IIG96" s="11"/>
      <c r="IIH96" s="11"/>
      <c r="III96" s="11"/>
      <c r="IIJ96" s="11"/>
      <c r="IIK96" s="11"/>
      <c r="IIL96" s="11"/>
      <c r="IIM96" s="11"/>
      <c r="IIN96" s="11"/>
      <c r="IIO96" s="11"/>
      <c r="IIP96" s="11"/>
      <c r="IIQ96" s="11"/>
      <c r="IIR96" s="11"/>
      <c r="IIS96" s="11"/>
      <c r="IIT96" s="11"/>
      <c r="IIU96" s="11"/>
      <c r="IIV96" s="11"/>
      <c r="IIW96" s="11"/>
      <c r="IIX96" s="11"/>
      <c r="IIY96" s="11"/>
      <c r="IIZ96" s="11"/>
      <c r="IJA96" s="11"/>
      <c r="IJB96" s="11"/>
      <c r="IJC96" s="11"/>
      <c r="IJD96" s="11"/>
      <c r="IJE96" s="11"/>
      <c r="IJF96" s="11"/>
      <c r="IJG96" s="11"/>
      <c r="IJH96" s="11"/>
      <c r="IJI96" s="11"/>
      <c r="IJJ96" s="11"/>
      <c r="IJK96" s="11"/>
      <c r="IJL96" s="11"/>
      <c r="IJM96" s="11"/>
      <c r="IJN96" s="11"/>
      <c r="IJO96" s="11"/>
      <c r="IJP96" s="11"/>
      <c r="IJQ96" s="11"/>
      <c r="IJR96" s="11"/>
      <c r="IJS96" s="11"/>
      <c r="IJT96" s="11"/>
      <c r="IJU96" s="11"/>
      <c r="IJV96" s="11"/>
      <c r="IJW96" s="11"/>
      <c r="IJX96" s="11"/>
      <c r="IJY96" s="11"/>
      <c r="IJZ96" s="11"/>
      <c r="IKA96" s="11"/>
      <c r="IKB96" s="11"/>
      <c r="IKC96" s="11"/>
      <c r="IKD96" s="11"/>
      <c r="IKE96" s="11"/>
      <c r="IKF96" s="11"/>
      <c r="IKG96" s="11"/>
      <c r="IKH96" s="11"/>
      <c r="IKI96" s="11"/>
      <c r="IKJ96" s="11"/>
      <c r="IKK96" s="11"/>
      <c r="IKL96" s="11"/>
      <c r="IKM96" s="11"/>
      <c r="IKN96" s="11"/>
      <c r="IKO96" s="11"/>
      <c r="IKP96" s="11"/>
      <c r="IKQ96" s="11"/>
      <c r="IKR96" s="11"/>
      <c r="IKS96" s="11"/>
      <c r="IKT96" s="11"/>
      <c r="IKU96" s="11"/>
      <c r="IKV96" s="11"/>
      <c r="IKW96" s="11"/>
      <c r="IKX96" s="11"/>
      <c r="IKY96" s="11"/>
      <c r="IKZ96" s="11"/>
      <c r="ILA96" s="11"/>
      <c r="ILB96" s="11"/>
      <c r="ILC96" s="11"/>
      <c r="ILD96" s="11"/>
      <c r="ILE96" s="11"/>
      <c r="ILF96" s="11"/>
      <c r="ILG96" s="11"/>
      <c r="ILH96" s="11"/>
      <c r="ILI96" s="11"/>
      <c r="ILJ96" s="11"/>
      <c r="ILK96" s="11"/>
      <c r="ILL96" s="11"/>
      <c r="ILM96" s="11"/>
      <c r="ILN96" s="11"/>
      <c r="ILO96" s="11"/>
      <c r="ILP96" s="11"/>
      <c r="ILQ96" s="11"/>
      <c r="ILR96" s="11"/>
      <c r="ILS96" s="11"/>
      <c r="ILT96" s="11"/>
      <c r="ILU96" s="11"/>
      <c r="ILV96" s="11"/>
      <c r="ILW96" s="11"/>
      <c r="ILX96" s="11"/>
      <c r="ILY96" s="11"/>
      <c r="ILZ96" s="11"/>
      <c r="IMA96" s="11"/>
      <c r="IMB96" s="11"/>
      <c r="IMC96" s="11"/>
      <c r="IMD96" s="11"/>
      <c r="IME96" s="11"/>
      <c r="IMF96" s="11"/>
      <c r="IMG96" s="11"/>
      <c r="IMH96" s="11"/>
      <c r="IMI96" s="11"/>
      <c r="IMJ96" s="11"/>
      <c r="IMK96" s="11"/>
      <c r="IML96" s="11"/>
      <c r="IMM96" s="11"/>
      <c r="IMN96" s="11"/>
      <c r="IMO96" s="11"/>
      <c r="IMP96" s="11"/>
      <c r="IMQ96" s="11"/>
      <c r="IMR96" s="11"/>
      <c r="IMS96" s="11"/>
      <c r="IMT96" s="11"/>
      <c r="IMU96" s="11"/>
      <c r="IMV96" s="11"/>
      <c r="IMW96" s="11"/>
      <c r="IMX96" s="11"/>
      <c r="IMY96" s="11"/>
      <c r="IMZ96" s="11"/>
      <c r="INA96" s="11"/>
      <c r="INB96" s="11"/>
      <c r="INC96" s="11"/>
      <c r="IND96" s="11"/>
      <c r="INE96" s="11"/>
      <c r="INF96" s="11"/>
      <c r="ING96" s="11"/>
      <c r="INH96" s="11"/>
      <c r="INI96" s="11"/>
      <c r="INJ96" s="11"/>
      <c r="INK96" s="11"/>
      <c r="INL96" s="11"/>
      <c r="INM96" s="11"/>
      <c r="INN96" s="11"/>
      <c r="INO96" s="11"/>
      <c r="INP96" s="11"/>
      <c r="INQ96" s="11"/>
      <c r="INR96" s="11"/>
      <c r="INS96" s="11"/>
      <c r="INT96" s="11"/>
      <c r="INU96" s="11"/>
      <c r="INV96" s="11"/>
      <c r="INW96" s="11"/>
      <c r="INX96" s="11"/>
      <c r="INY96" s="11"/>
      <c r="INZ96" s="11"/>
      <c r="IOA96" s="11"/>
      <c r="IOB96" s="11"/>
      <c r="IOC96" s="11"/>
      <c r="IOD96" s="11"/>
      <c r="IOE96" s="11"/>
      <c r="IOF96" s="11"/>
      <c r="IOG96" s="11"/>
      <c r="IOH96" s="11"/>
      <c r="IOI96" s="11"/>
      <c r="IOJ96" s="11"/>
      <c r="IOK96" s="11"/>
      <c r="IOL96" s="11"/>
      <c r="IOM96" s="11"/>
      <c r="ION96" s="11"/>
      <c r="IOO96" s="11"/>
      <c r="IOP96" s="11"/>
      <c r="IOQ96" s="11"/>
      <c r="IOR96" s="11"/>
      <c r="IOS96" s="11"/>
      <c r="IOT96" s="11"/>
      <c r="IOU96" s="11"/>
      <c r="IOV96" s="11"/>
      <c r="IOW96" s="11"/>
      <c r="IOX96" s="11"/>
      <c r="IOY96" s="11"/>
      <c r="IOZ96" s="11"/>
      <c r="IPA96" s="11"/>
      <c r="IPB96" s="11"/>
      <c r="IPC96" s="11"/>
      <c r="IPD96" s="11"/>
      <c r="IPE96" s="11"/>
      <c r="IPF96" s="11"/>
      <c r="IPG96" s="11"/>
      <c r="IPH96" s="11"/>
      <c r="IPI96" s="11"/>
      <c r="IPJ96" s="11"/>
      <c r="IPK96" s="11"/>
      <c r="IPL96" s="11"/>
      <c r="IPM96" s="11"/>
      <c r="IPN96" s="11"/>
      <c r="IPO96" s="11"/>
      <c r="IPP96" s="11"/>
      <c r="IPQ96" s="11"/>
      <c r="IPR96" s="11"/>
      <c r="IPS96" s="11"/>
      <c r="IPT96" s="11"/>
      <c r="IPU96" s="11"/>
      <c r="IPV96" s="11"/>
      <c r="IPW96" s="11"/>
      <c r="IPX96" s="11"/>
      <c r="IPY96" s="11"/>
      <c r="IPZ96" s="11"/>
      <c r="IQA96" s="11"/>
      <c r="IQB96" s="11"/>
      <c r="IQC96" s="11"/>
      <c r="IQD96" s="11"/>
      <c r="IQE96" s="11"/>
      <c r="IQF96" s="11"/>
      <c r="IQG96" s="11"/>
      <c r="IQH96" s="11"/>
      <c r="IQI96" s="11"/>
      <c r="IQJ96" s="11"/>
      <c r="IQK96" s="11"/>
      <c r="IQL96" s="11"/>
      <c r="IQM96" s="11"/>
      <c r="IQN96" s="11"/>
      <c r="IQO96" s="11"/>
      <c r="IQP96" s="11"/>
      <c r="IQQ96" s="11"/>
      <c r="IQR96" s="11"/>
      <c r="IQS96" s="11"/>
      <c r="IQT96" s="11"/>
      <c r="IQU96" s="11"/>
      <c r="IQV96" s="11"/>
      <c r="IQW96" s="11"/>
      <c r="IQX96" s="11"/>
      <c r="IQY96" s="11"/>
      <c r="IQZ96" s="11"/>
      <c r="IRA96" s="11"/>
      <c r="IRB96" s="11"/>
      <c r="IRC96" s="11"/>
      <c r="IRD96" s="11"/>
      <c r="IRE96" s="11"/>
      <c r="IRF96" s="11"/>
      <c r="IRG96" s="11"/>
      <c r="IRH96" s="11"/>
      <c r="IRI96" s="11"/>
      <c r="IRJ96" s="11"/>
      <c r="IRK96" s="11"/>
      <c r="IRL96" s="11"/>
      <c r="IRM96" s="11"/>
      <c r="IRN96" s="11"/>
      <c r="IRO96" s="11"/>
      <c r="IRP96" s="11"/>
      <c r="IRQ96" s="11"/>
      <c r="IRR96" s="11"/>
      <c r="IRS96" s="11"/>
      <c r="IRT96" s="11"/>
      <c r="IRU96" s="11"/>
      <c r="IRV96" s="11"/>
      <c r="IRW96" s="11"/>
      <c r="IRX96" s="11"/>
      <c r="IRY96" s="11"/>
      <c r="IRZ96" s="11"/>
      <c r="ISA96" s="11"/>
      <c r="ISB96" s="11"/>
      <c r="ISC96" s="11"/>
      <c r="ISD96" s="11"/>
      <c r="ISE96" s="11"/>
      <c r="ISF96" s="11"/>
      <c r="ISG96" s="11"/>
      <c r="ISH96" s="11"/>
      <c r="ISI96" s="11"/>
      <c r="ISJ96" s="11"/>
      <c r="ISK96" s="11"/>
      <c r="ISL96" s="11"/>
      <c r="ISM96" s="11"/>
      <c r="ISN96" s="11"/>
      <c r="ISO96" s="11"/>
      <c r="ISP96" s="11"/>
      <c r="ISQ96" s="11"/>
      <c r="ISR96" s="11"/>
      <c r="ISS96" s="11"/>
      <c r="IST96" s="11"/>
      <c r="ISU96" s="11"/>
      <c r="ISV96" s="11"/>
      <c r="ISW96" s="11"/>
      <c r="ISX96" s="11"/>
      <c r="ISY96" s="11"/>
      <c r="ISZ96" s="11"/>
      <c r="ITA96" s="11"/>
      <c r="ITB96" s="11"/>
      <c r="ITC96" s="11"/>
      <c r="ITD96" s="11"/>
      <c r="ITE96" s="11"/>
      <c r="ITF96" s="11"/>
      <c r="ITG96" s="11"/>
      <c r="ITH96" s="11"/>
      <c r="ITI96" s="11"/>
      <c r="ITJ96" s="11"/>
      <c r="ITK96" s="11"/>
      <c r="ITL96" s="11"/>
      <c r="ITM96" s="11"/>
      <c r="ITN96" s="11"/>
      <c r="ITO96" s="11"/>
      <c r="ITP96" s="11"/>
      <c r="ITQ96" s="11"/>
      <c r="ITR96" s="11"/>
      <c r="ITS96" s="11"/>
      <c r="ITT96" s="11"/>
      <c r="ITU96" s="11"/>
      <c r="ITV96" s="11"/>
      <c r="ITW96" s="11"/>
      <c r="ITX96" s="11"/>
      <c r="ITY96" s="11"/>
      <c r="ITZ96" s="11"/>
      <c r="IUA96" s="11"/>
      <c r="IUB96" s="11"/>
      <c r="IUC96" s="11"/>
      <c r="IUD96" s="11"/>
      <c r="IUE96" s="11"/>
      <c r="IUF96" s="11"/>
      <c r="IUG96" s="11"/>
      <c r="IUH96" s="11"/>
      <c r="IUI96" s="11"/>
      <c r="IUJ96" s="11"/>
      <c r="IUK96" s="11"/>
      <c r="IUL96" s="11"/>
      <c r="IUM96" s="11"/>
      <c r="IUN96" s="11"/>
      <c r="IUO96" s="11"/>
      <c r="IUP96" s="11"/>
      <c r="IUQ96" s="11"/>
      <c r="IUR96" s="11"/>
      <c r="IUS96" s="11"/>
      <c r="IUT96" s="11"/>
      <c r="IUU96" s="11"/>
      <c r="IUV96" s="11"/>
      <c r="IUW96" s="11"/>
      <c r="IUX96" s="11"/>
      <c r="IUY96" s="11"/>
      <c r="IUZ96" s="11"/>
      <c r="IVA96" s="11"/>
      <c r="IVB96" s="11"/>
      <c r="IVC96" s="11"/>
      <c r="IVD96" s="11"/>
      <c r="IVE96" s="11"/>
      <c r="IVF96" s="11"/>
      <c r="IVG96" s="11"/>
      <c r="IVH96" s="11"/>
      <c r="IVI96" s="11"/>
      <c r="IVJ96" s="11"/>
      <c r="IVK96" s="11"/>
      <c r="IVL96" s="11"/>
      <c r="IVM96" s="11"/>
      <c r="IVN96" s="11"/>
      <c r="IVO96" s="11"/>
      <c r="IVP96" s="11"/>
      <c r="IVQ96" s="11"/>
      <c r="IVR96" s="11"/>
      <c r="IVS96" s="11"/>
      <c r="IVT96" s="11"/>
      <c r="IVU96" s="11"/>
      <c r="IVV96" s="11"/>
      <c r="IVW96" s="11"/>
      <c r="IVX96" s="11"/>
      <c r="IVY96" s="11"/>
      <c r="IVZ96" s="11"/>
      <c r="IWA96" s="11"/>
      <c r="IWB96" s="11"/>
      <c r="IWC96" s="11"/>
      <c r="IWD96" s="11"/>
      <c r="IWE96" s="11"/>
      <c r="IWF96" s="11"/>
      <c r="IWG96" s="11"/>
      <c r="IWH96" s="11"/>
      <c r="IWI96" s="11"/>
      <c r="IWJ96" s="11"/>
      <c r="IWK96" s="11"/>
      <c r="IWL96" s="11"/>
      <c r="IWM96" s="11"/>
      <c r="IWN96" s="11"/>
      <c r="IWO96" s="11"/>
      <c r="IWP96" s="11"/>
      <c r="IWQ96" s="11"/>
      <c r="IWR96" s="11"/>
      <c r="IWS96" s="11"/>
      <c r="IWT96" s="11"/>
      <c r="IWU96" s="11"/>
      <c r="IWV96" s="11"/>
      <c r="IWW96" s="11"/>
      <c r="IWX96" s="11"/>
      <c r="IWY96" s="11"/>
      <c r="IWZ96" s="11"/>
      <c r="IXA96" s="11"/>
      <c r="IXB96" s="11"/>
      <c r="IXC96" s="11"/>
      <c r="IXD96" s="11"/>
      <c r="IXE96" s="11"/>
      <c r="IXF96" s="11"/>
      <c r="IXG96" s="11"/>
      <c r="IXH96" s="11"/>
      <c r="IXI96" s="11"/>
      <c r="IXJ96" s="11"/>
      <c r="IXK96" s="11"/>
      <c r="IXL96" s="11"/>
      <c r="IXM96" s="11"/>
      <c r="IXN96" s="11"/>
      <c r="IXO96" s="11"/>
      <c r="IXP96" s="11"/>
      <c r="IXQ96" s="11"/>
      <c r="IXR96" s="11"/>
      <c r="IXS96" s="11"/>
      <c r="IXT96" s="11"/>
      <c r="IXU96" s="11"/>
      <c r="IXV96" s="11"/>
      <c r="IXW96" s="11"/>
      <c r="IXX96" s="11"/>
      <c r="IXY96" s="11"/>
      <c r="IXZ96" s="11"/>
      <c r="IYA96" s="11"/>
      <c r="IYB96" s="11"/>
      <c r="IYC96" s="11"/>
      <c r="IYD96" s="11"/>
      <c r="IYE96" s="11"/>
      <c r="IYF96" s="11"/>
      <c r="IYG96" s="11"/>
      <c r="IYH96" s="11"/>
      <c r="IYI96" s="11"/>
      <c r="IYJ96" s="11"/>
      <c r="IYK96" s="11"/>
      <c r="IYL96" s="11"/>
      <c r="IYM96" s="11"/>
      <c r="IYN96" s="11"/>
      <c r="IYO96" s="11"/>
      <c r="IYP96" s="11"/>
      <c r="IYQ96" s="11"/>
      <c r="IYR96" s="11"/>
      <c r="IYS96" s="11"/>
      <c r="IYT96" s="11"/>
      <c r="IYU96" s="11"/>
      <c r="IYV96" s="11"/>
      <c r="IYW96" s="11"/>
      <c r="IYX96" s="11"/>
      <c r="IYY96" s="11"/>
      <c r="IYZ96" s="11"/>
      <c r="IZA96" s="11"/>
      <c r="IZB96" s="11"/>
      <c r="IZC96" s="11"/>
      <c r="IZD96" s="11"/>
      <c r="IZE96" s="11"/>
      <c r="IZF96" s="11"/>
      <c r="IZG96" s="11"/>
      <c r="IZH96" s="11"/>
      <c r="IZI96" s="11"/>
      <c r="IZJ96" s="11"/>
      <c r="IZK96" s="11"/>
      <c r="IZL96" s="11"/>
      <c r="IZM96" s="11"/>
      <c r="IZN96" s="11"/>
      <c r="IZO96" s="11"/>
      <c r="IZP96" s="11"/>
      <c r="IZQ96" s="11"/>
      <c r="IZR96" s="11"/>
      <c r="IZS96" s="11"/>
      <c r="IZT96" s="11"/>
      <c r="IZU96" s="11"/>
      <c r="IZV96" s="11"/>
      <c r="IZW96" s="11"/>
      <c r="IZX96" s="11"/>
      <c r="IZY96" s="11"/>
      <c r="IZZ96" s="11"/>
      <c r="JAA96" s="11"/>
      <c r="JAB96" s="11"/>
      <c r="JAC96" s="11"/>
      <c r="JAD96" s="11"/>
      <c r="JAE96" s="11"/>
      <c r="JAF96" s="11"/>
      <c r="JAG96" s="11"/>
      <c r="JAH96" s="11"/>
      <c r="JAI96" s="11"/>
      <c r="JAJ96" s="11"/>
      <c r="JAK96" s="11"/>
      <c r="JAL96" s="11"/>
      <c r="JAM96" s="11"/>
      <c r="JAN96" s="11"/>
      <c r="JAO96" s="11"/>
      <c r="JAP96" s="11"/>
      <c r="JAQ96" s="11"/>
      <c r="JAR96" s="11"/>
      <c r="JAS96" s="11"/>
      <c r="JAT96" s="11"/>
      <c r="JAU96" s="11"/>
      <c r="JAV96" s="11"/>
      <c r="JAW96" s="11"/>
      <c r="JAX96" s="11"/>
      <c r="JAY96" s="11"/>
      <c r="JAZ96" s="11"/>
      <c r="JBA96" s="11"/>
      <c r="JBB96" s="11"/>
      <c r="JBC96" s="11"/>
      <c r="JBD96" s="11"/>
      <c r="JBE96" s="11"/>
      <c r="JBF96" s="11"/>
      <c r="JBG96" s="11"/>
      <c r="JBH96" s="11"/>
      <c r="JBI96" s="11"/>
      <c r="JBJ96" s="11"/>
      <c r="JBK96" s="11"/>
      <c r="JBL96" s="11"/>
      <c r="JBM96" s="11"/>
      <c r="JBN96" s="11"/>
      <c r="JBO96" s="11"/>
      <c r="JBP96" s="11"/>
      <c r="JBQ96" s="11"/>
      <c r="JBR96" s="11"/>
      <c r="JBS96" s="11"/>
      <c r="JBT96" s="11"/>
      <c r="JBU96" s="11"/>
      <c r="JBV96" s="11"/>
      <c r="JBW96" s="11"/>
      <c r="JBX96" s="11"/>
      <c r="JBY96" s="11"/>
      <c r="JBZ96" s="11"/>
      <c r="JCA96" s="11"/>
      <c r="JCB96" s="11"/>
      <c r="JCC96" s="11"/>
      <c r="JCD96" s="11"/>
      <c r="JCE96" s="11"/>
      <c r="JCF96" s="11"/>
      <c r="JCG96" s="11"/>
      <c r="JCH96" s="11"/>
      <c r="JCI96" s="11"/>
      <c r="JCJ96" s="11"/>
      <c r="JCK96" s="11"/>
      <c r="JCL96" s="11"/>
      <c r="JCM96" s="11"/>
      <c r="JCN96" s="11"/>
      <c r="JCO96" s="11"/>
      <c r="JCP96" s="11"/>
      <c r="JCQ96" s="11"/>
      <c r="JCR96" s="11"/>
      <c r="JCS96" s="11"/>
      <c r="JCT96" s="11"/>
      <c r="JCU96" s="11"/>
      <c r="JCV96" s="11"/>
      <c r="JCW96" s="11"/>
      <c r="JCX96" s="11"/>
      <c r="JCY96" s="11"/>
      <c r="JCZ96" s="11"/>
      <c r="JDA96" s="11"/>
      <c r="JDB96" s="11"/>
      <c r="JDC96" s="11"/>
      <c r="JDD96" s="11"/>
      <c r="JDE96" s="11"/>
      <c r="JDF96" s="11"/>
      <c r="JDG96" s="11"/>
      <c r="JDH96" s="11"/>
      <c r="JDI96" s="11"/>
      <c r="JDJ96" s="11"/>
      <c r="JDK96" s="11"/>
      <c r="JDL96" s="11"/>
      <c r="JDM96" s="11"/>
      <c r="JDN96" s="11"/>
      <c r="JDO96" s="11"/>
      <c r="JDP96" s="11"/>
      <c r="JDQ96" s="11"/>
      <c r="JDR96" s="11"/>
      <c r="JDS96" s="11"/>
      <c r="JDT96" s="11"/>
      <c r="JDU96" s="11"/>
      <c r="JDV96" s="11"/>
      <c r="JDW96" s="11"/>
      <c r="JDX96" s="11"/>
      <c r="JDY96" s="11"/>
      <c r="JDZ96" s="11"/>
      <c r="JEA96" s="11"/>
      <c r="JEB96" s="11"/>
      <c r="JEC96" s="11"/>
      <c r="JED96" s="11"/>
      <c r="JEE96" s="11"/>
      <c r="JEF96" s="11"/>
      <c r="JEG96" s="11"/>
      <c r="JEH96" s="11"/>
      <c r="JEI96" s="11"/>
      <c r="JEJ96" s="11"/>
      <c r="JEK96" s="11"/>
      <c r="JEL96" s="11"/>
      <c r="JEM96" s="11"/>
      <c r="JEN96" s="11"/>
      <c r="JEO96" s="11"/>
      <c r="JEP96" s="11"/>
      <c r="JEQ96" s="11"/>
      <c r="JER96" s="11"/>
      <c r="JES96" s="11"/>
      <c r="JET96" s="11"/>
      <c r="JEU96" s="11"/>
      <c r="JEV96" s="11"/>
      <c r="JEW96" s="11"/>
      <c r="JEX96" s="11"/>
      <c r="JEY96" s="11"/>
      <c r="JEZ96" s="11"/>
      <c r="JFA96" s="11"/>
      <c r="JFB96" s="11"/>
      <c r="JFC96" s="11"/>
      <c r="JFD96" s="11"/>
      <c r="JFE96" s="11"/>
      <c r="JFF96" s="11"/>
      <c r="JFG96" s="11"/>
      <c r="JFH96" s="11"/>
      <c r="JFI96" s="11"/>
      <c r="JFJ96" s="11"/>
      <c r="JFK96" s="11"/>
      <c r="JFL96" s="11"/>
      <c r="JFM96" s="11"/>
      <c r="JFN96" s="11"/>
      <c r="JFO96" s="11"/>
      <c r="JFP96" s="11"/>
      <c r="JFQ96" s="11"/>
      <c r="JFR96" s="11"/>
      <c r="JFS96" s="11"/>
      <c r="JFT96" s="11"/>
      <c r="JFU96" s="11"/>
      <c r="JFV96" s="11"/>
      <c r="JFW96" s="11"/>
      <c r="JFX96" s="11"/>
      <c r="JFY96" s="11"/>
      <c r="JFZ96" s="11"/>
      <c r="JGA96" s="11"/>
      <c r="JGB96" s="11"/>
      <c r="JGC96" s="11"/>
      <c r="JGD96" s="11"/>
      <c r="JGE96" s="11"/>
      <c r="JGF96" s="11"/>
      <c r="JGG96" s="11"/>
      <c r="JGH96" s="11"/>
      <c r="JGI96" s="11"/>
      <c r="JGJ96" s="11"/>
      <c r="JGK96" s="11"/>
      <c r="JGL96" s="11"/>
      <c r="JGM96" s="11"/>
      <c r="JGN96" s="11"/>
      <c r="JGO96" s="11"/>
      <c r="JGP96" s="11"/>
      <c r="JGQ96" s="11"/>
      <c r="JGR96" s="11"/>
      <c r="JGS96" s="11"/>
      <c r="JGT96" s="11"/>
      <c r="JGU96" s="11"/>
      <c r="JGV96" s="11"/>
      <c r="JGW96" s="11"/>
      <c r="JGX96" s="11"/>
      <c r="JGY96" s="11"/>
      <c r="JGZ96" s="11"/>
      <c r="JHA96" s="11"/>
      <c r="JHB96" s="11"/>
      <c r="JHC96" s="11"/>
      <c r="JHD96" s="11"/>
      <c r="JHE96" s="11"/>
      <c r="JHF96" s="11"/>
      <c r="JHG96" s="11"/>
      <c r="JHH96" s="11"/>
      <c r="JHI96" s="11"/>
      <c r="JHJ96" s="11"/>
      <c r="JHK96" s="11"/>
      <c r="JHL96" s="11"/>
      <c r="JHM96" s="11"/>
      <c r="JHN96" s="11"/>
      <c r="JHO96" s="11"/>
      <c r="JHP96" s="11"/>
      <c r="JHQ96" s="11"/>
      <c r="JHR96" s="11"/>
      <c r="JHS96" s="11"/>
      <c r="JHT96" s="11"/>
      <c r="JHU96" s="11"/>
      <c r="JHV96" s="11"/>
      <c r="JHW96" s="11"/>
      <c r="JHX96" s="11"/>
      <c r="JHY96" s="11"/>
      <c r="JHZ96" s="11"/>
      <c r="JIA96" s="11"/>
      <c r="JIB96" s="11"/>
      <c r="JIC96" s="11"/>
      <c r="JID96" s="11"/>
      <c r="JIE96" s="11"/>
      <c r="JIF96" s="11"/>
      <c r="JIG96" s="11"/>
      <c r="JIH96" s="11"/>
      <c r="JII96" s="11"/>
      <c r="JIJ96" s="11"/>
      <c r="JIK96" s="11"/>
      <c r="JIL96" s="11"/>
      <c r="JIM96" s="11"/>
      <c r="JIN96" s="11"/>
      <c r="JIO96" s="11"/>
      <c r="JIP96" s="11"/>
      <c r="JIQ96" s="11"/>
      <c r="JIR96" s="11"/>
      <c r="JIS96" s="11"/>
      <c r="JIT96" s="11"/>
      <c r="JIU96" s="11"/>
      <c r="JIV96" s="11"/>
      <c r="JIW96" s="11"/>
      <c r="JIX96" s="11"/>
      <c r="JIY96" s="11"/>
      <c r="JIZ96" s="11"/>
      <c r="JJA96" s="11"/>
      <c r="JJB96" s="11"/>
      <c r="JJC96" s="11"/>
      <c r="JJD96" s="11"/>
      <c r="JJE96" s="11"/>
      <c r="JJF96" s="11"/>
      <c r="JJG96" s="11"/>
      <c r="JJH96" s="11"/>
      <c r="JJI96" s="11"/>
      <c r="JJJ96" s="11"/>
      <c r="JJK96" s="11"/>
      <c r="JJL96" s="11"/>
      <c r="JJM96" s="11"/>
      <c r="JJN96" s="11"/>
      <c r="JJO96" s="11"/>
      <c r="JJP96" s="11"/>
      <c r="JJQ96" s="11"/>
      <c r="JJR96" s="11"/>
      <c r="JJS96" s="11"/>
      <c r="JJT96" s="11"/>
      <c r="JJU96" s="11"/>
      <c r="JJV96" s="11"/>
      <c r="JJW96" s="11"/>
      <c r="JJX96" s="11"/>
      <c r="JJY96" s="11"/>
      <c r="JJZ96" s="11"/>
      <c r="JKA96" s="11"/>
      <c r="JKB96" s="11"/>
      <c r="JKC96" s="11"/>
      <c r="JKD96" s="11"/>
      <c r="JKE96" s="11"/>
      <c r="JKF96" s="11"/>
      <c r="JKG96" s="11"/>
      <c r="JKH96" s="11"/>
      <c r="JKI96" s="11"/>
      <c r="JKJ96" s="11"/>
      <c r="JKK96" s="11"/>
      <c r="JKL96" s="11"/>
      <c r="JKM96" s="11"/>
      <c r="JKN96" s="11"/>
      <c r="JKO96" s="11"/>
      <c r="JKP96" s="11"/>
      <c r="JKQ96" s="11"/>
      <c r="JKR96" s="11"/>
      <c r="JKS96" s="11"/>
      <c r="JKT96" s="11"/>
      <c r="JKU96" s="11"/>
      <c r="JKV96" s="11"/>
      <c r="JKW96" s="11"/>
      <c r="JKX96" s="11"/>
      <c r="JKY96" s="11"/>
      <c r="JKZ96" s="11"/>
      <c r="JLA96" s="11"/>
      <c r="JLB96" s="11"/>
      <c r="JLC96" s="11"/>
      <c r="JLD96" s="11"/>
      <c r="JLE96" s="11"/>
      <c r="JLF96" s="11"/>
      <c r="JLG96" s="11"/>
      <c r="JLH96" s="11"/>
      <c r="JLI96" s="11"/>
      <c r="JLJ96" s="11"/>
      <c r="JLK96" s="11"/>
      <c r="JLL96" s="11"/>
      <c r="JLM96" s="11"/>
      <c r="JLN96" s="11"/>
      <c r="JLO96" s="11"/>
      <c r="JLP96" s="11"/>
      <c r="JLQ96" s="11"/>
      <c r="JLR96" s="11"/>
      <c r="JLS96" s="11"/>
      <c r="JLT96" s="11"/>
      <c r="JLU96" s="11"/>
      <c r="JLV96" s="11"/>
      <c r="JLW96" s="11"/>
      <c r="JLX96" s="11"/>
      <c r="JLY96" s="11"/>
      <c r="JLZ96" s="11"/>
      <c r="JMA96" s="11"/>
      <c r="JMB96" s="11"/>
      <c r="JMC96" s="11"/>
      <c r="JMD96" s="11"/>
      <c r="JME96" s="11"/>
      <c r="JMF96" s="11"/>
      <c r="JMG96" s="11"/>
      <c r="JMH96" s="11"/>
      <c r="JMI96" s="11"/>
      <c r="JMJ96" s="11"/>
      <c r="JMK96" s="11"/>
      <c r="JML96" s="11"/>
      <c r="JMM96" s="11"/>
      <c r="JMN96" s="11"/>
      <c r="JMO96" s="11"/>
      <c r="JMP96" s="11"/>
      <c r="JMQ96" s="11"/>
      <c r="JMR96" s="11"/>
      <c r="JMS96" s="11"/>
      <c r="JMT96" s="11"/>
      <c r="JMU96" s="11"/>
      <c r="JMV96" s="11"/>
      <c r="JMW96" s="11"/>
      <c r="JMX96" s="11"/>
      <c r="JMY96" s="11"/>
      <c r="JMZ96" s="11"/>
      <c r="JNA96" s="11"/>
      <c r="JNB96" s="11"/>
      <c r="JNC96" s="11"/>
      <c r="JND96" s="11"/>
      <c r="JNE96" s="11"/>
      <c r="JNF96" s="11"/>
      <c r="JNG96" s="11"/>
      <c r="JNH96" s="11"/>
      <c r="JNI96" s="11"/>
      <c r="JNJ96" s="11"/>
      <c r="JNK96" s="11"/>
      <c r="JNL96" s="11"/>
      <c r="JNM96" s="11"/>
      <c r="JNN96" s="11"/>
      <c r="JNO96" s="11"/>
      <c r="JNP96" s="11"/>
      <c r="JNQ96" s="11"/>
      <c r="JNR96" s="11"/>
      <c r="JNS96" s="11"/>
      <c r="JNT96" s="11"/>
      <c r="JNU96" s="11"/>
      <c r="JNV96" s="11"/>
      <c r="JNW96" s="11"/>
      <c r="JNX96" s="11"/>
      <c r="JNY96" s="11"/>
      <c r="JNZ96" s="11"/>
      <c r="JOA96" s="11"/>
      <c r="JOB96" s="11"/>
      <c r="JOC96" s="11"/>
      <c r="JOD96" s="11"/>
      <c r="JOE96" s="11"/>
      <c r="JOF96" s="11"/>
      <c r="JOG96" s="11"/>
      <c r="JOH96" s="11"/>
      <c r="JOI96" s="11"/>
      <c r="JOJ96" s="11"/>
      <c r="JOK96" s="11"/>
      <c r="JOL96" s="11"/>
      <c r="JOM96" s="11"/>
      <c r="JON96" s="11"/>
      <c r="JOO96" s="11"/>
      <c r="JOP96" s="11"/>
      <c r="JOQ96" s="11"/>
      <c r="JOR96" s="11"/>
      <c r="JOS96" s="11"/>
      <c r="JOT96" s="11"/>
      <c r="JOU96" s="11"/>
      <c r="JOV96" s="11"/>
      <c r="JOW96" s="11"/>
      <c r="JOX96" s="11"/>
      <c r="JOY96" s="11"/>
      <c r="JOZ96" s="11"/>
      <c r="JPA96" s="11"/>
      <c r="JPB96" s="11"/>
      <c r="JPC96" s="11"/>
      <c r="JPD96" s="11"/>
      <c r="JPE96" s="11"/>
      <c r="JPF96" s="11"/>
      <c r="JPG96" s="11"/>
      <c r="JPH96" s="11"/>
      <c r="JPI96" s="11"/>
      <c r="JPJ96" s="11"/>
      <c r="JPK96" s="11"/>
      <c r="JPL96" s="11"/>
      <c r="JPM96" s="11"/>
      <c r="JPN96" s="11"/>
      <c r="JPO96" s="11"/>
      <c r="JPP96" s="11"/>
      <c r="JPQ96" s="11"/>
      <c r="JPR96" s="11"/>
      <c r="JPS96" s="11"/>
      <c r="JPT96" s="11"/>
      <c r="JPU96" s="11"/>
      <c r="JPV96" s="11"/>
      <c r="JPW96" s="11"/>
      <c r="JPX96" s="11"/>
      <c r="JPY96" s="11"/>
      <c r="JPZ96" s="11"/>
      <c r="JQA96" s="11"/>
      <c r="JQB96" s="11"/>
      <c r="JQC96" s="11"/>
      <c r="JQD96" s="11"/>
      <c r="JQE96" s="11"/>
      <c r="JQF96" s="11"/>
      <c r="JQG96" s="11"/>
      <c r="JQH96" s="11"/>
      <c r="JQI96" s="11"/>
      <c r="JQJ96" s="11"/>
      <c r="JQK96" s="11"/>
      <c r="JQL96" s="11"/>
      <c r="JQM96" s="11"/>
      <c r="JQN96" s="11"/>
      <c r="JQO96" s="11"/>
      <c r="JQP96" s="11"/>
      <c r="JQQ96" s="11"/>
      <c r="JQR96" s="11"/>
      <c r="JQS96" s="11"/>
      <c r="JQT96" s="11"/>
      <c r="JQU96" s="11"/>
      <c r="JQV96" s="11"/>
      <c r="JQW96" s="11"/>
      <c r="JQX96" s="11"/>
      <c r="JQY96" s="11"/>
      <c r="JQZ96" s="11"/>
      <c r="JRA96" s="11"/>
      <c r="JRB96" s="11"/>
      <c r="JRC96" s="11"/>
      <c r="JRD96" s="11"/>
      <c r="JRE96" s="11"/>
      <c r="JRF96" s="11"/>
      <c r="JRG96" s="11"/>
      <c r="JRH96" s="11"/>
      <c r="JRI96" s="11"/>
      <c r="JRJ96" s="11"/>
      <c r="JRK96" s="11"/>
      <c r="JRL96" s="11"/>
      <c r="JRM96" s="11"/>
      <c r="JRN96" s="11"/>
      <c r="JRO96" s="11"/>
      <c r="JRP96" s="11"/>
      <c r="JRQ96" s="11"/>
      <c r="JRR96" s="11"/>
      <c r="JRS96" s="11"/>
      <c r="JRT96" s="11"/>
      <c r="JRU96" s="11"/>
      <c r="JRV96" s="11"/>
      <c r="JRW96" s="11"/>
      <c r="JRX96" s="11"/>
      <c r="JRY96" s="11"/>
      <c r="JRZ96" s="11"/>
      <c r="JSA96" s="11"/>
      <c r="JSB96" s="11"/>
      <c r="JSC96" s="11"/>
      <c r="JSD96" s="11"/>
      <c r="JSE96" s="11"/>
      <c r="JSF96" s="11"/>
      <c r="JSG96" s="11"/>
      <c r="JSH96" s="11"/>
      <c r="JSI96" s="11"/>
      <c r="JSJ96" s="11"/>
      <c r="JSK96" s="11"/>
      <c r="JSL96" s="11"/>
      <c r="JSM96" s="11"/>
      <c r="JSN96" s="11"/>
      <c r="JSO96" s="11"/>
      <c r="JSP96" s="11"/>
      <c r="JSQ96" s="11"/>
      <c r="JSR96" s="11"/>
      <c r="JSS96" s="11"/>
      <c r="JST96" s="11"/>
      <c r="JSU96" s="11"/>
      <c r="JSV96" s="11"/>
      <c r="JSW96" s="11"/>
      <c r="JSX96" s="11"/>
      <c r="JSY96" s="11"/>
      <c r="JSZ96" s="11"/>
      <c r="JTA96" s="11"/>
      <c r="JTB96" s="11"/>
      <c r="JTC96" s="11"/>
      <c r="JTD96" s="11"/>
      <c r="JTE96" s="11"/>
      <c r="JTF96" s="11"/>
      <c r="JTG96" s="11"/>
      <c r="JTH96" s="11"/>
      <c r="JTI96" s="11"/>
      <c r="JTJ96" s="11"/>
      <c r="JTK96" s="11"/>
      <c r="JTL96" s="11"/>
      <c r="JTM96" s="11"/>
      <c r="JTN96" s="11"/>
      <c r="JTO96" s="11"/>
      <c r="JTP96" s="11"/>
      <c r="JTQ96" s="11"/>
      <c r="JTR96" s="11"/>
      <c r="JTS96" s="11"/>
      <c r="JTT96" s="11"/>
      <c r="JTU96" s="11"/>
      <c r="JTV96" s="11"/>
      <c r="JTW96" s="11"/>
      <c r="JTX96" s="11"/>
      <c r="JTY96" s="11"/>
      <c r="JTZ96" s="11"/>
      <c r="JUA96" s="11"/>
      <c r="JUB96" s="11"/>
      <c r="JUC96" s="11"/>
      <c r="JUD96" s="11"/>
      <c r="JUE96" s="11"/>
      <c r="JUF96" s="11"/>
      <c r="JUG96" s="11"/>
      <c r="JUH96" s="11"/>
      <c r="JUI96" s="11"/>
      <c r="JUJ96" s="11"/>
      <c r="JUK96" s="11"/>
      <c r="JUL96" s="11"/>
      <c r="JUM96" s="11"/>
      <c r="JUN96" s="11"/>
      <c r="JUO96" s="11"/>
      <c r="JUP96" s="11"/>
      <c r="JUQ96" s="11"/>
      <c r="JUR96" s="11"/>
      <c r="JUS96" s="11"/>
      <c r="JUT96" s="11"/>
      <c r="JUU96" s="11"/>
      <c r="JUV96" s="11"/>
      <c r="JUW96" s="11"/>
      <c r="JUX96" s="11"/>
      <c r="JUY96" s="11"/>
      <c r="JUZ96" s="11"/>
      <c r="JVA96" s="11"/>
      <c r="JVB96" s="11"/>
      <c r="JVC96" s="11"/>
      <c r="JVD96" s="11"/>
      <c r="JVE96" s="11"/>
      <c r="JVF96" s="11"/>
      <c r="JVG96" s="11"/>
      <c r="JVH96" s="11"/>
      <c r="JVI96" s="11"/>
      <c r="JVJ96" s="11"/>
      <c r="JVK96" s="11"/>
      <c r="JVL96" s="11"/>
      <c r="JVM96" s="11"/>
      <c r="JVN96" s="11"/>
      <c r="JVO96" s="11"/>
      <c r="JVP96" s="11"/>
      <c r="JVQ96" s="11"/>
      <c r="JVR96" s="11"/>
      <c r="JVS96" s="11"/>
      <c r="JVT96" s="11"/>
      <c r="JVU96" s="11"/>
      <c r="JVV96" s="11"/>
      <c r="JVW96" s="11"/>
      <c r="JVX96" s="11"/>
      <c r="JVY96" s="11"/>
      <c r="JVZ96" s="11"/>
      <c r="JWA96" s="11"/>
      <c r="JWB96" s="11"/>
      <c r="JWC96" s="11"/>
      <c r="JWD96" s="11"/>
      <c r="JWE96" s="11"/>
      <c r="JWF96" s="11"/>
      <c r="JWG96" s="11"/>
      <c r="JWH96" s="11"/>
      <c r="JWI96" s="11"/>
      <c r="JWJ96" s="11"/>
      <c r="JWK96" s="11"/>
      <c r="JWL96" s="11"/>
      <c r="JWM96" s="11"/>
      <c r="JWN96" s="11"/>
      <c r="JWO96" s="11"/>
      <c r="JWP96" s="11"/>
      <c r="JWQ96" s="11"/>
      <c r="JWR96" s="11"/>
      <c r="JWS96" s="11"/>
      <c r="JWT96" s="11"/>
      <c r="JWU96" s="11"/>
      <c r="JWV96" s="11"/>
      <c r="JWW96" s="11"/>
      <c r="JWX96" s="11"/>
      <c r="JWY96" s="11"/>
      <c r="JWZ96" s="11"/>
      <c r="JXA96" s="11"/>
      <c r="JXB96" s="11"/>
      <c r="JXC96" s="11"/>
      <c r="JXD96" s="11"/>
      <c r="JXE96" s="11"/>
      <c r="JXF96" s="11"/>
      <c r="JXG96" s="11"/>
      <c r="JXH96" s="11"/>
      <c r="JXI96" s="11"/>
      <c r="JXJ96" s="11"/>
      <c r="JXK96" s="11"/>
      <c r="JXL96" s="11"/>
      <c r="JXM96" s="11"/>
      <c r="JXN96" s="11"/>
      <c r="JXO96" s="11"/>
      <c r="JXP96" s="11"/>
      <c r="JXQ96" s="11"/>
      <c r="JXR96" s="11"/>
      <c r="JXS96" s="11"/>
      <c r="JXT96" s="11"/>
      <c r="JXU96" s="11"/>
      <c r="JXV96" s="11"/>
      <c r="JXW96" s="11"/>
      <c r="JXX96" s="11"/>
      <c r="JXY96" s="11"/>
      <c r="JXZ96" s="11"/>
      <c r="JYA96" s="11"/>
      <c r="JYB96" s="11"/>
      <c r="JYC96" s="11"/>
      <c r="JYD96" s="11"/>
      <c r="JYE96" s="11"/>
      <c r="JYF96" s="11"/>
      <c r="JYG96" s="11"/>
      <c r="JYH96" s="11"/>
      <c r="JYI96" s="11"/>
      <c r="JYJ96" s="11"/>
      <c r="JYK96" s="11"/>
      <c r="JYL96" s="11"/>
      <c r="JYM96" s="11"/>
      <c r="JYN96" s="11"/>
      <c r="JYO96" s="11"/>
      <c r="JYP96" s="11"/>
      <c r="JYQ96" s="11"/>
      <c r="JYR96" s="11"/>
      <c r="JYS96" s="11"/>
      <c r="JYT96" s="11"/>
      <c r="JYU96" s="11"/>
      <c r="JYV96" s="11"/>
      <c r="JYW96" s="11"/>
      <c r="JYX96" s="11"/>
      <c r="JYY96" s="11"/>
      <c r="JYZ96" s="11"/>
      <c r="JZA96" s="11"/>
      <c r="JZB96" s="11"/>
      <c r="JZC96" s="11"/>
      <c r="JZD96" s="11"/>
      <c r="JZE96" s="11"/>
      <c r="JZF96" s="11"/>
      <c r="JZG96" s="11"/>
      <c r="JZH96" s="11"/>
      <c r="JZI96" s="11"/>
      <c r="JZJ96" s="11"/>
      <c r="JZK96" s="11"/>
      <c r="JZL96" s="11"/>
      <c r="JZM96" s="11"/>
      <c r="JZN96" s="11"/>
      <c r="JZO96" s="11"/>
      <c r="JZP96" s="11"/>
      <c r="JZQ96" s="11"/>
      <c r="JZR96" s="11"/>
      <c r="JZS96" s="11"/>
      <c r="JZT96" s="11"/>
      <c r="JZU96" s="11"/>
      <c r="JZV96" s="11"/>
      <c r="JZW96" s="11"/>
      <c r="JZX96" s="11"/>
      <c r="JZY96" s="11"/>
      <c r="JZZ96" s="11"/>
      <c r="KAA96" s="11"/>
      <c r="KAB96" s="11"/>
      <c r="KAC96" s="11"/>
      <c r="KAD96" s="11"/>
      <c r="KAE96" s="11"/>
      <c r="KAF96" s="11"/>
      <c r="KAG96" s="11"/>
      <c r="KAH96" s="11"/>
      <c r="KAI96" s="11"/>
      <c r="KAJ96" s="11"/>
      <c r="KAK96" s="11"/>
      <c r="KAL96" s="11"/>
      <c r="KAM96" s="11"/>
      <c r="KAN96" s="11"/>
      <c r="KAO96" s="11"/>
      <c r="KAP96" s="11"/>
      <c r="KAQ96" s="11"/>
      <c r="KAR96" s="11"/>
      <c r="KAS96" s="11"/>
      <c r="KAT96" s="11"/>
      <c r="KAU96" s="11"/>
      <c r="KAV96" s="11"/>
      <c r="KAW96" s="11"/>
      <c r="KAX96" s="11"/>
      <c r="KAY96" s="11"/>
      <c r="KAZ96" s="11"/>
      <c r="KBA96" s="11"/>
      <c r="KBB96" s="11"/>
      <c r="KBC96" s="11"/>
      <c r="KBD96" s="11"/>
      <c r="KBE96" s="11"/>
      <c r="KBF96" s="11"/>
      <c r="KBG96" s="11"/>
      <c r="KBH96" s="11"/>
      <c r="KBI96" s="11"/>
      <c r="KBJ96" s="11"/>
      <c r="KBK96" s="11"/>
      <c r="KBL96" s="11"/>
      <c r="KBM96" s="11"/>
      <c r="KBN96" s="11"/>
      <c r="KBO96" s="11"/>
      <c r="KBP96" s="11"/>
      <c r="KBQ96" s="11"/>
      <c r="KBR96" s="11"/>
      <c r="KBS96" s="11"/>
      <c r="KBT96" s="11"/>
      <c r="KBU96" s="11"/>
      <c r="KBV96" s="11"/>
      <c r="KBW96" s="11"/>
      <c r="KBX96" s="11"/>
      <c r="KBY96" s="11"/>
      <c r="KBZ96" s="11"/>
      <c r="KCA96" s="11"/>
      <c r="KCB96" s="11"/>
      <c r="KCC96" s="11"/>
      <c r="KCD96" s="11"/>
      <c r="KCE96" s="11"/>
      <c r="KCF96" s="11"/>
      <c r="KCG96" s="11"/>
      <c r="KCH96" s="11"/>
      <c r="KCI96" s="11"/>
      <c r="KCJ96" s="11"/>
      <c r="KCK96" s="11"/>
      <c r="KCL96" s="11"/>
      <c r="KCM96" s="11"/>
      <c r="KCN96" s="11"/>
      <c r="KCO96" s="11"/>
      <c r="KCP96" s="11"/>
      <c r="KCQ96" s="11"/>
      <c r="KCR96" s="11"/>
      <c r="KCS96" s="11"/>
      <c r="KCT96" s="11"/>
      <c r="KCU96" s="11"/>
      <c r="KCV96" s="11"/>
      <c r="KCW96" s="11"/>
      <c r="KCX96" s="11"/>
      <c r="KCY96" s="11"/>
      <c r="KCZ96" s="11"/>
      <c r="KDA96" s="11"/>
      <c r="KDB96" s="11"/>
      <c r="KDC96" s="11"/>
      <c r="KDD96" s="11"/>
      <c r="KDE96" s="11"/>
      <c r="KDF96" s="11"/>
      <c r="KDG96" s="11"/>
      <c r="KDH96" s="11"/>
      <c r="KDI96" s="11"/>
      <c r="KDJ96" s="11"/>
      <c r="KDK96" s="11"/>
      <c r="KDL96" s="11"/>
      <c r="KDM96" s="11"/>
      <c r="KDN96" s="11"/>
      <c r="KDO96" s="11"/>
      <c r="KDP96" s="11"/>
      <c r="KDQ96" s="11"/>
      <c r="KDR96" s="11"/>
      <c r="KDS96" s="11"/>
      <c r="KDT96" s="11"/>
      <c r="KDU96" s="11"/>
      <c r="KDV96" s="11"/>
      <c r="KDW96" s="11"/>
      <c r="KDX96" s="11"/>
      <c r="KDY96" s="11"/>
      <c r="KDZ96" s="11"/>
      <c r="KEA96" s="11"/>
      <c r="KEB96" s="11"/>
      <c r="KEC96" s="11"/>
      <c r="KED96" s="11"/>
      <c r="KEE96" s="11"/>
      <c r="KEF96" s="11"/>
      <c r="KEG96" s="11"/>
      <c r="KEH96" s="11"/>
      <c r="KEI96" s="11"/>
      <c r="KEJ96" s="11"/>
      <c r="KEK96" s="11"/>
      <c r="KEL96" s="11"/>
      <c r="KEM96" s="11"/>
      <c r="KEN96" s="11"/>
      <c r="KEO96" s="11"/>
      <c r="KEP96" s="11"/>
      <c r="KEQ96" s="11"/>
      <c r="KER96" s="11"/>
      <c r="KES96" s="11"/>
      <c r="KET96" s="11"/>
      <c r="KEU96" s="11"/>
      <c r="KEV96" s="11"/>
      <c r="KEW96" s="11"/>
      <c r="KEX96" s="11"/>
      <c r="KEY96" s="11"/>
      <c r="KEZ96" s="11"/>
      <c r="KFA96" s="11"/>
      <c r="KFB96" s="11"/>
      <c r="KFC96" s="11"/>
      <c r="KFD96" s="11"/>
      <c r="KFE96" s="11"/>
      <c r="KFF96" s="11"/>
      <c r="KFG96" s="11"/>
      <c r="KFH96" s="11"/>
      <c r="KFI96" s="11"/>
      <c r="KFJ96" s="11"/>
      <c r="KFK96" s="11"/>
      <c r="KFL96" s="11"/>
      <c r="KFM96" s="11"/>
      <c r="KFN96" s="11"/>
      <c r="KFO96" s="11"/>
      <c r="KFP96" s="11"/>
      <c r="KFQ96" s="11"/>
      <c r="KFR96" s="11"/>
      <c r="KFS96" s="11"/>
      <c r="KFT96" s="11"/>
      <c r="KFU96" s="11"/>
      <c r="KFV96" s="11"/>
      <c r="KFW96" s="11"/>
      <c r="KFX96" s="11"/>
      <c r="KFY96" s="11"/>
      <c r="KFZ96" s="11"/>
      <c r="KGA96" s="11"/>
      <c r="KGB96" s="11"/>
      <c r="KGC96" s="11"/>
      <c r="KGD96" s="11"/>
      <c r="KGE96" s="11"/>
      <c r="KGF96" s="11"/>
      <c r="KGG96" s="11"/>
      <c r="KGH96" s="11"/>
      <c r="KGI96" s="11"/>
      <c r="KGJ96" s="11"/>
      <c r="KGK96" s="11"/>
      <c r="KGL96" s="11"/>
      <c r="KGM96" s="11"/>
      <c r="KGN96" s="11"/>
      <c r="KGO96" s="11"/>
      <c r="KGP96" s="11"/>
      <c r="KGQ96" s="11"/>
      <c r="KGR96" s="11"/>
      <c r="KGS96" s="11"/>
      <c r="KGT96" s="11"/>
      <c r="KGU96" s="11"/>
      <c r="KGV96" s="11"/>
      <c r="KGW96" s="11"/>
      <c r="KGX96" s="11"/>
      <c r="KGY96" s="11"/>
      <c r="KGZ96" s="11"/>
      <c r="KHA96" s="11"/>
      <c r="KHB96" s="11"/>
      <c r="KHC96" s="11"/>
      <c r="KHD96" s="11"/>
      <c r="KHE96" s="11"/>
      <c r="KHF96" s="11"/>
      <c r="KHG96" s="11"/>
      <c r="KHH96" s="11"/>
      <c r="KHI96" s="11"/>
      <c r="KHJ96" s="11"/>
      <c r="KHK96" s="11"/>
      <c r="KHL96" s="11"/>
      <c r="KHM96" s="11"/>
      <c r="KHN96" s="11"/>
      <c r="KHO96" s="11"/>
      <c r="KHP96" s="11"/>
      <c r="KHQ96" s="11"/>
      <c r="KHR96" s="11"/>
      <c r="KHS96" s="11"/>
      <c r="KHT96" s="11"/>
      <c r="KHU96" s="11"/>
      <c r="KHV96" s="11"/>
      <c r="KHW96" s="11"/>
      <c r="KHX96" s="11"/>
      <c r="KHY96" s="11"/>
      <c r="KHZ96" s="11"/>
      <c r="KIA96" s="11"/>
      <c r="KIB96" s="11"/>
      <c r="KIC96" s="11"/>
      <c r="KID96" s="11"/>
      <c r="KIE96" s="11"/>
      <c r="KIF96" s="11"/>
      <c r="KIG96" s="11"/>
      <c r="KIH96" s="11"/>
      <c r="KII96" s="11"/>
      <c r="KIJ96" s="11"/>
      <c r="KIK96" s="11"/>
      <c r="KIL96" s="11"/>
      <c r="KIM96" s="11"/>
      <c r="KIN96" s="11"/>
      <c r="KIO96" s="11"/>
      <c r="KIP96" s="11"/>
      <c r="KIQ96" s="11"/>
      <c r="KIR96" s="11"/>
      <c r="KIS96" s="11"/>
      <c r="KIT96" s="11"/>
      <c r="KIU96" s="11"/>
      <c r="KIV96" s="11"/>
      <c r="KIW96" s="11"/>
      <c r="KIX96" s="11"/>
      <c r="KIY96" s="11"/>
      <c r="KIZ96" s="11"/>
      <c r="KJA96" s="11"/>
      <c r="KJB96" s="11"/>
      <c r="KJC96" s="11"/>
      <c r="KJD96" s="11"/>
      <c r="KJE96" s="11"/>
      <c r="KJF96" s="11"/>
      <c r="KJG96" s="11"/>
      <c r="KJH96" s="11"/>
      <c r="KJI96" s="11"/>
      <c r="KJJ96" s="11"/>
      <c r="KJK96" s="11"/>
      <c r="KJL96" s="11"/>
      <c r="KJM96" s="11"/>
      <c r="KJN96" s="11"/>
      <c r="KJO96" s="11"/>
      <c r="KJP96" s="11"/>
      <c r="KJQ96" s="11"/>
      <c r="KJR96" s="11"/>
      <c r="KJS96" s="11"/>
      <c r="KJT96" s="11"/>
      <c r="KJU96" s="11"/>
      <c r="KJV96" s="11"/>
      <c r="KJW96" s="11"/>
      <c r="KJX96" s="11"/>
      <c r="KJY96" s="11"/>
      <c r="KJZ96" s="11"/>
      <c r="KKA96" s="11"/>
      <c r="KKB96" s="11"/>
      <c r="KKC96" s="11"/>
      <c r="KKD96" s="11"/>
      <c r="KKE96" s="11"/>
      <c r="KKF96" s="11"/>
      <c r="KKG96" s="11"/>
      <c r="KKH96" s="11"/>
      <c r="KKI96" s="11"/>
      <c r="KKJ96" s="11"/>
      <c r="KKK96" s="11"/>
      <c r="KKL96" s="11"/>
      <c r="KKM96" s="11"/>
      <c r="KKN96" s="11"/>
      <c r="KKO96" s="11"/>
      <c r="KKP96" s="11"/>
      <c r="KKQ96" s="11"/>
      <c r="KKR96" s="11"/>
      <c r="KKS96" s="11"/>
      <c r="KKT96" s="11"/>
      <c r="KKU96" s="11"/>
      <c r="KKV96" s="11"/>
      <c r="KKW96" s="11"/>
      <c r="KKX96" s="11"/>
      <c r="KKY96" s="11"/>
      <c r="KKZ96" s="11"/>
      <c r="KLA96" s="11"/>
      <c r="KLB96" s="11"/>
      <c r="KLC96" s="11"/>
      <c r="KLD96" s="11"/>
      <c r="KLE96" s="11"/>
      <c r="KLF96" s="11"/>
      <c r="KLG96" s="11"/>
      <c r="KLH96" s="11"/>
      <c r="KLI96" s="11"/>
      <c r="KLJ96" s="11"/>
      <c r="KLK96" s="11"/>
      <c r="KLL96" s="11"/>
      <c r="KLM96" s="11"/>
      <c r="KLN96" s="11"/>
      <c r="KLO96" s="11"/>
      <c r="KLP96" s="11"/>
      <c r="KLQ96" s="11"/>
      <c r="KLR96" s="11"/>
      <c r="KLS96" s="11"/>
      <c r="KLT96" s="11"/>
      <c r="KLU96" s="11"/>
      <c r="KLV96" s="11"/>
      <c r="KLW96" s="11"/>
      <c r="KLX96" s="11"/>
      <c r="KLY96" s="11"/>
      <c r="KLZ96" s="11"/>
      <c r="KMA96" s="11"/>
      <c r="KMB96" s="11"/>
      <c r="KMC96" s="11"/>
      <c r="KMD96" s="11"/>
      <c r="KME96" s="11"/>
      <c r="KMF96" s="11"/>
      <c r="KMG96" s="11"/>
      <c r="KMH96" s="11"/>
      <c r="KMI96" s="11"/>
      <c r="KMJ96" s="11"/>
      <c r="KMK96" s="11"/>
      <c r="KML96" s="11"/>
      <c r="KMM96" s="11"/>
      <c r="KMN96" s="11"/>
      <c r="KMO96" s="11"/>
      <c r="KMP96" s="11"/>
      <c r="KMQ96" s="11"/>
      <c r="KMR96" s="11"/>
      <c r="KMS96" s="11"/>
      <c r="KMT96" s="11"/>
      <c r="KMU96" s="11"/>
      <c r="KMV96" s="11"/>
      <c r="KMW96" s="11"/>
      <c r="KMX96" s="11"/>
      <c r="KMY96" s="11"/>
      <c r="KMZ96" s="11"/>
      <c r="KNA96" s="11"/>
      <c r="KNB96" s="11"/>
      <c r="KNC96" s="11"/>
      <c r="KND96" s="11"/>
      <c r="KNE96" s="11"/>
      <c r="KNF96" s="11"/>
      <c r="KNG96" s="11"/>
      <c r="KNH96" s="11"/>
      <c r="KNI96" s="11"/>
      <c r="KNJ96" s="11"/>
      <c r="KNK96" s="11"/>
      <c r="KNL96" s="11"/>
      <c r="KNM96" s="11"/>
      <c r="KNN96" s="11"/>
      <c r="KNO96" s="11"/>
      <c r="KNP96" s="11"/>
      <c r="KNQ96" s="11"/>
      <c r="KNR96" s="11"/>
      <c r="KNS96" s="11"/>
      <c r="KNT96" s="11"/>
      <c r="KNU96" s="11"/>
      <c r="KNV96" s="11"/>
      <c r="KNW96" s="11"/>
      <c r="KNX96" s="11"/>
      <c r="KNY96" s="11"/>
      <c r="KNZ96" s="11"/>
      <c r="KOA96" s="11"/>
      <c r="KOB96" s="11"/>
      <c r="KOC96" s="11"/>
      <c r="KOD96" s="11"/>
      <c r="KOE96" s="11"/>
      <c r="KOF96" s="11"/>
      <c r="KOG96" s="11"/>
      <c r="KOH96" s="11"/>
      <c r="KOI96" s="11"/>
      <c r="KOJ96" s="11"/>
      <c r="KOK96" s="11"/>
      <c r="KOL96" s="11"/>
      <c r="KOM96" s="11"/>
      <c r="KON96" s="11"/>
      <c r="KOO96" s="11"/>
      <c r="KOP96" s="11"/>
      <c r="KOQ96" s="11"/>
      <c r="KOR96" s="11"/>
      <c r="KOS96" s="11"/>
      <c r="KOT96" s="11"/>
      <c r="KOU96" s="11"/>
      <c r="KOV96" s="11"/>
      <c r="KOW96" s="11"/>
      <c r="KOX96" s="11"/>
      <c r="KOY96" s="11"/>
      <c r="KOZ96" s="11"/>
      <c r="KPA96" s="11"/>
      <c r="KPB96" s="11"/>
      <c r="KPC96" s="11"/>
      <c r="KPD96" s="11"/>
      <c r="KPE96" s="11"/>
      <c r="KPF96" s="11"/>
      <c r="KPG96" s="11"/>
      <c r="KPH96" s="11"/>
      <c r="KPI96" s="11"/>
      <c r="KPJ96" s="11"/>
      <c r="KPK96" s="11"/>
      <c r="KPL96" s="11"/>
      <c r="KPM96" s="11"/>
      <c r="KPN96" s="11"/>
      <c r="KPO96" s="11"/>
      <c r="KPP96" s="11"/>
      <c r="KPQ96" s="11"/>
      <c r="KPR96" s="11"/>
      <c r="KPS96" s="11"/>
      <c r="KPT96" s="11"/>
      <c r="KPU96" s="11"/>
      <c r="KPV96" s="11"/>
      <c r="KPW96" s="11"/>
      <c r="KPX96" s="11"/>
      <c r="KPY96" s="11"/>
      <c r="KPZ96" s="11"/>
      <c r="KQA96" s="11"/>
      <c r="KQB96" s="11"/>
      <c r="KQC96" s="11"/>
      <c r="KQD96" s="11"/>
      <c r="KQE96" s="11"/>
      <c r="KQF96" s="11"/>
      <c r="KQG96" s="11"/>
      <c r="KQH96" s="11"/>
      <c r="KQI96" s="11"/>
      <c r="KQJ96" s="11"/>
      <c r="KQK96" s="11"/>
      <c r="KQL96" s="11"/>
      <c r="KQM96" s="11"/>
      <c r="KQN96" s="11"/>
      <c r="KQO96" s="11"/>
      <c r="KQP96" s="11"/>
      <c r="KQQ96" s="11"/>
      <c r="KQR96" s="11"/>
      <c r="KQS96" s="11"/>
      <c r="KQT96" s="11"/>
      <c r="KQU96" s="11"/>
      <c r="KQV96" s="11"/>
      <c r="KQW96" s="11"/>
      <c r="KQX96" s="11"/>
      <c r="KQY96" s="11"/>
      <c r="KQZ96" s="11"/>
      <c r="KRA96" s="11"/>
      <c r="KRB96" s="11"/>
      <c r="KRC96" s="11"/>
      <c r="KRD96" s="11"/>
      <c r="KRE96" s="11"/>
      <c r="KRF96" s="11"/>
      <c r="KRG96" s="11"/>
      <c r="KRH96" s="11"/>
      <c r="KRI96" s="11"/>
      <c r="KRJ96" s="11"/>
      <c r="KRK96" s="11"/>
      <c r="KRL96" s="11"/>
      <c r="KRM96" s="11"/>
      <c r="KRN96" s="11"/>
      <c r="KRO96" s="11"/>
      <c r="KRP96" s="11"/>
      <c r="KRQ96" s="11"/>
      <c r="KRR96" s="11"/>
      <c r="KRS96" s="11"/>
      <c r="KRT96" s="11"/>
      <c r="KRU96" s="11"/>
      <c r="KRV96" s="11"/>
      <c r="KRW96" s="11"/>
      <c r="KRX96" s="11"/>
      <c r="KRY96" s="11"/>
      <c r="KRZ96" s="11"/>
      <c r="KSA96" s="11"/>
      <c r="KSB96" s="11"/>
      <c r="KSC96" s="11"/>
      <c r="KSD96" s="11"/>
      <c r="KSE96" s="11"/>
      <c r="KSF96" s="11"/>
      <c r="KSG96" s="11"/>
      <c r="KSH96" s="11"/>
      <c r="KSI96" s="11"/>
      <c r="KSJ96" s="11"/>
      <c r="KSK96" s="11"/>
      <c r="KSL96" s="11"/>
      <c r="KSM96" s="11"/>
      <c r="KSN96" s="11"/>
      <c r="KSO96" s="11"/>
      <c r="KSP96" s="11"/>
      <c r="KSQ96" s="11"/>
      <c r="KSR96" s="11"/>
      <c r="KSS96" s="11"/>
      <c r="KST96" s="11"/>
      <c r="KSU96" s="11"/>
      <c r="KSV96" s="11"/>
      <c r="KSW96" s="11"/>
      <c r="KSX96" s="11"/>
      <c r="KSY96" s="11"/>
      <c r="KSZ96" s="11"/>
      <c r="KTA96" s="11"/>
      <c r="KTB96" s="11"/>
      <c r="KTC96" s="11"/>
      <c r="KTD96" s="11"/>
      <c r="KTE96" s="11"/>
      <c r="KTF96" s="11"/>
      <c r="KTG96" s="11"/>
      <c r="KTH96" s="11"/>
      <c r="KTI96" s="11"/>
      <c r="KTJ96" s="11"/>
      <c r="KTK96" s="11"/>
      <c r="KTL96" s="11"/>
      <c r="KTM96" s="11"/>
      <c r="KTN96" s="11"/>
      <c r="KTO96" s="11"/>
      <c r="KTP96" s="11"/>
      <c r="KTQ96" s="11"/>
      <c r="KTR96" s="11"/>
      <c r="KTS96" s="11"/>
      <c r="KTT96" s="11"/>
      <c r="KTU96" s="11"/>
      <c r="KTV96" s="11"/>
      <c r="KTW96" s="11"/>
      <c r="KTX96" s="11"/>
      <c r="KTY96" s="11"/>
      <c r="KTZ96" s="11"/>
      <c r="KUA96" s="11"/>
      <c r="KUB96" s="11"/>
      <c r="KUC96" s="11"/>
      <c r="KUD96" s="11"/>
      <c r="KUE96" s="11"/>
      <c r="KUF96" s="11"/>
      <c r="KUG96" s="11"/>
      <c r="KUH96" s="11"/>
      <c r="KUI96" s="11"/>
      <c r="KUJ96" s="11"/>
      <c r="KUK96" s="11"/>
      <c r="KUL96" s="11"/>
      <c r="KUM96" s="11"/>
      <c r="KUN96" s="11"/>
      <c r="KUO96" s="11"/>
      <c r="KUP96" s="11"/>
      <c r="KUQ96" s="11"/>
      <c r="KUR96" s="11"/>
      <c r="KUS96" s="11"/>
      <c r="KUT96" s="11"/>
      <c r="KUU96" s="11"/>
      <c r="KUV96" s="11"/>
      <c r="KUW96" s="11"/>
      <c r="KUX96" s="11"/>
      <c r="KUY96" s="11"/>
      <c r="KUZ96" s="11"/>
      <c r="KVA96" s="11"/>
      <c r="KVB96" s="11"/>
      <c r="KVC96" s="11"/>
      <c r="KVD96" s="11"/>
      <c r="KVE96" s="11"/>
      <c r="KVF96" s="11"/>
      <c r="KVG96" s="11"/>
      <c r="KVH96" s="11"/>
      <c r="KVI96" s="11"/>
      <c r="KVJ96" s="11"/>
      <c r="KVK96" s="11"/>
      <c r="KVL96" s="11"/>
      <c r="KVM96" s="11"/>
      <c r="KVN96" s="11"/>
      <c r="KVO96" s="11"/>
      <c r="KVP96" s="11"/>
      <c r="KVQ96" s="11"/>
      <c r="KVR96" s="11"/>
      <c r="KVS96" s="11"/>
      <c r="KVT96" s="11"/>
      <c r="KVU96" s="11"/>
      <c r="KVV96" s="11"/>
      <c r="KVW96" s="11"/>
      <c r="KVX96" s="11"/>
      <c r="KVY96" s="11"/>
      <c r="KVZ96" s="11"/>
      <c r="KWA96" s="11"/>
      <c r="KWB96" s="11"/>
      <c r="KWC96" s="11"/>
      <c r="KWD96" s="11"/>
      <c r="KWE96" s="11"/>
      <c r="KWF96" s="11"/>
      <c r="KWG96" s="11"/>
      <c r="KWH96" s="11"/>
      <c r="KWI96" s="11"/>
      <c r="KWJ96" s="11"/>
      <c r="KWK96" s="11"/>
      <c r="KWL96" s="11"/>
      <c r="KWM96" s="11"/>
      <c r="KWN96" s="11"/>
      <c r="KWO96" s="11"/>
      <c r="KWP96" s="11"/>
      <c r="KWQ96" s="11"/>
      <c r="KWR96" s="11"/>
      <c r="KWS96" s="11"/>
      <c r="KWT96" s="11"/>
      <c r="KWU96" s="11"/>
      <c r="KWV96" s="11"/>
      <c r="KWW96" s="11"/>
      <c r="KWX96" s="11"/>
      <c r="KWY96" s="11"/>
      <c r="KWZ96" s="11"/>
      <c r="KXA96" s="11"/>
      <c r="KXB96" s="11"/>
      <c r="KXC96" s="11"/>
      <c r="KXD96" s="11"/>
      <c r="KXE96" s="11"/>
      <c r="KXF96" s="11"/>
      <c r="KXG96" s="11"/>
      <c r="KXH96" s="11"/>
      <c r="KXI96" s="11"/>
      <c r="KXJ96" s="11"/>
      <c r="KXK96" s="11"/>
      <c r="KXL96" s="11"/>
      <c r="KXM96" s="11"/>
      <c r="KXN96" s="11"/>
      <c r="KXO96" s="11"/>
      <c r="KXP96" s="11"/>
      <c r="KXQ96" s="11"/>
      <c r="KXR96" s="11"/>
      <c r="KXS96" s="11"/>
      <c r="KXT96" s="11"/>
      <c r="KXU96" s="11"/>
      <c r="KXV96" s="11"/>
      <c r="KXW96" s="11"/>
      <c r="KXX96" s="11"/>
      <c r="KXY96" s="11"/>
      <c r="KXZ96" s="11"/>
      <c r="KYA96" s="11"/>
      <c r="KYB96" s="11"/>
      <c r="KYC96" s="11"/>
      <c r="KYD96" s="11"/>
      <c r="KYE96" s="11"/>
      <c r="KYF96" s="11"/>
      <c r="KYG96" s="11"/>
      <c r="KYH96" s="11"/>
      <c r="KYI96" s="11"/>
      <c r="KYJ96" s="11"/>
      <c r="KYK96" s="11"/>
      <c r="KYL96" s="11"/>
      <c r="KYM96" s="11"/>
      <c r="KYN96" s="11"/>
      <c r="KYO96" s="11"/>
      <c r="KYP96" s="11"/>
      <c r="KYQ96" s="11"/>
      <c r="KYR96" s="11"/>
      <c r="KYS96" s="11"/>
      <c r="KYT96" s="11"/>
      <c r="KYU96" s="11"/>
      <c r="KYV96" s="11"/>
      <c r="KYW96" s="11"/>
      <c r="KYX96" s="11"/>
      <c r="KYY96" s="11"/>
      <c r="KYZ96" s="11"/>
      <c r="KZA96" s="11"/>
      <c r="KZB96" s="11"/>
      <c r="KZC96" s="11"/>
      <c r="KZD96" s="11"/>
      <c r="KZE96" s="11"/>
      <c r="KZF96" s="11"/>
      <c r="KZG96" s="11"/>
      <c r="KZH96" s="11"/>
      <c r="KZI96" s="11"/>
      <c r="KZJ96" s="11"/>
      <c r="KZK96" s="11"/>
      <c r="KZL96" s="11"/>
      <c r="KZM96" s="11"/>
      <c r="KZN96" s="11"/>
      <c r="KZO96" s="11"/>
      <c r="KZP96" s="11"/>
      <c r="KZQ96" s="11"/>
      <c r="KZR96" s="11"/>
      <c r="KZS96" s="11"/>
      <c r="KZT96" s="11"/>
      <c r="KZU96" s="11"/>
      <c r="KZV96" s="11"/>
      <c r="KZW96" s="11"/>
      <c r="KZX96" s="11"/>
      <c r="KZY96" s="11"/>
      <c r="KZZ96" s="11"/>
      <c r="LAA96" s="11"/>
      <c r="LAB96" s="11"/>
      <c r="LAC96" s="11"/>
      <c r="LAD96" s="11"/>
      <c r="LAE96" s="11"/>
      <c r="LAF96" s="11"/>
      <c r="LAG96" s="11"/>
      <c r="LAH96" s="11"/>
      <c r="LAI96" s="11"/>
      <c r="LAJ96" s="11"/>
      <c r="LAK96" s="11"/>
      <c r="LAL96" s="11"/>
      <c r="LAM96" s="11"/>
      <c r="LAN96" s="11"/>
      <c r="LAO96" s="11"/>
      <c r="LAP96" s="11"/>
      <c r="LAQ96" s="11"/>
      <c r="LAR96" s="11"/>
      <c r="LAS96" s="11"/>
      <c r="LAT96" s="11"/>
      <c r="LAU96" s="11"/>
      <c r="LAV96" s="11"/>
      <c r="LAW96" s="11"/>
      <c r="LAX96" s="11"/>
      <c r="LAY96" s="11"/>
      <c r="LAZ96" s="11"/>
      <c r="LBA96" s="11"/>
      <c r="LBB96" s="11"/>
      <c r="LBC96" s="11"/>
      <c r="LBD96" s="11"/>
      <c r="LBE96" s="11"/>
      <c r="LBF96" s="11"/>
      <c r="LBG96" s="11"/>
      <c r="LBH96" s="11"/>
      <c r="LBI96" s="11"/>
      <c r="LBJ96" s="11"/>
      <c r="LBK96" s="11"/>
      <c r="LBL96" s="11"/>
      <c r="LBM96" s="11"/>
      <c r="LBN96" s="11"/>
      <c r="LBO96" s="11"/>
      <c r="LBP96" s="11"/>
      <c r="LBQ96" s="11"/>
      <c r="LBR96" s="11"/>
      <c r="LBS96" s="11"/>
      <c r="LBT96" s="11"/>
      <c r="LBU96" s="11"/>
      <c r="LBV96" s="11"/>
      <c r="LBW96" s="11"/>
      <c r="LBX96" s="11"/>
      <c r="LBY96" s="11"/>
      <c r="LBZ96" s="11"/>
      <c r="LCA96" s="11"/>
      <c r="LCB96" s="11"/>
      <c r="LCC96" s="11"/>
      <c r="LCD96" s="11"/>
      <c r="LCE96" s="11"/>
      <c r="LCF96" s="11"/>
      <c r="LCG96" s="11"/>
      <c r="LCH96" s="11"/>
      <c r="LCI96" s="11"/>
      <c r="LCJ96" s="11"/>
      <c r="LCK96" s="11"/>
      <c r="LCL96" s="11"/>
      <c r="LCM96" s="11"/>
      <c r="LCN96" s="11"/>
      <c r="LCO96" s="11"/>
      <c r="LCP96" s="11"/>
      <c r="LCQ96" s="11"/>
      <c r="LCR96" s="11"/>
      <c r="LCS96" s="11"/>
      <c r="LCT96" s="11"/>
      <c r="LCU96" s="11"/>
      <c r="LCV96" s="11"/>
      <c r="LCW96" s="11"/>
      <c r="LCX96" s="11"/>
      <c r="LCY96" s="11"/>
      <c r="LCZ96" s="11"/>
      <c r="LDA96" s="11"/>
      <c r="LDB96" s="11"/>
      <c r="LDC96" s="11"/>
      <c r="LDD96" s="11"/>
      <c r="LDE96" s="11"/>
      <c r="LDF96" s="11"/>
      <c r="LDG96" s="11"/>
      <c r="LDH96" s="11"/>
      <c r="LDI96" s="11"/>
      <c r="LDJ96" s="11"/>
      <c r="LDK96" s="11"/>
      <c r="LDL96" s="11"/>
      <c r="LDM96" s="11"/>
      <c r="LDN96" s="11"/>
      <c r="LDO96" s="11"/>
      <c r="LDP96" s="11"/>
      <c r="LDQ96" s="11"/>
      <c r="LDR96" s="11"/>
      <c r="LDS96" s="11"/>
      <c r="LDT96" s="11"/>
      <c r="LDU96" s="11"/>
      <c r="LDV96" s="11"/>
      <c r="LDW96" s="11"/>
      <c r="LDX96" s="11"/>
      <c r="LDY96" s="11"/>
      <c r="LDZ96" s="11"/>
      <c r="LEA96" s="11"/>
      <c r="LEB96" s="11"/>
      <c r="LEC96" s="11"/>
      <c r="LED96" s="11"/>
      <c r="LEE96" s="11"/>
      <c r="LEF96" s="11"/>
      <c r="LEG96" s="11"/>
      <c r="LEH96" s="11"/>
      <c r="LEI96" s="11"/>
      <c r="LEJ96" s="11"/>
      <c r="LEK96" s="11"/>
      <c r="LEL96" s="11"/>
      <c r="LEM96" s="11"/>
      <c r="LEN96" s="11"/>
      <c r="LEO96" s="11"/>
      <c r="LEP96" s="11"/>
      <c r="LEQ96" s="11"/>
      <c r="LER96" s="11"/>
      <c r="LES96" s="11"/>
      <c r="LET96" s="11"/>
      <c r="LEU96" s="11"/>
      <c r="LEV96" s="11"/>
      <c r="LEW96" s="11"/>
      <c r="LEX96" s="11"/>
      <c r="LEY96" s="11"/>
      <c r="LEZ96" s="11"/>
      <c r="LFA96" s="11"/>
      <c r="LFB96" s="11"/>
      <c r="LFC96" s="11"/>
      <c r="LFD96" s="11"/>
      <c r="LFE96" s="11"/>
      <c r="LFF96" s="11"/>
      <c r="LFG96" s="11"/>
      <c r="LFH96" s="11"/>
      <c r="LFI96" s="11"/>
      <c r="LFJ96" s="11"/>
      <c r="LFK96" s="11"/>
      <c r="LFL96" s="11"/>
      <c r="LFM96" s="11"/>
      <c r="LFN96" s="11"/>
      <c r="LFO96" s="11"/>
      <c r="LFP96" s="11"/>
      <c r="LFQ96" s="11"/>
      <c r="LFR96" s="11"/>
      <c r="LFS96" s="11"/>
      <c r="LFT96" s="11"/>
      <c r="LFU96" s="11"/>
      <c r="LFV96" s="11"/>
      <c r="LFW96" s="11"/>
      <c r="LFX96" s="11"/>
      <c r="LFY96" s="11"/>
      <c r="LFZ96" s="11"/>
      <c r="LGA96" s="11"/>
      <c r="LGB96" s="11"/>
      <c r="LGC96" s="11"/>
      <c r="LGD96" s="11"/>
      <c r="LGE96" s="11"/>
      <c r="LGF96" s="11"/>
      <c r="LGG96" s="11"/>
      <c r="LGH96" s="11"/>
      <c r="LGI96" s="11"/>
      <c r="LGJ96" s="11"/>
      <c r="LGK96" s="11"/>
      <c r="LGL96" s="11"/>
      <c r="LGM96" s="11"/>
      <c r="LGN96" s="11"/>
      <c r="LGO96" s="11"/>
      <c r="LGP96" s="11"/>
      <c r="LGQ96" s="11"/>
      <c r="LGR96" s="11"/>
      <c r="LGS96" s="11"/>
      <c r="LGT96" s="11"/>
      <c r="LGU96" s="11"/>
      <c r="LGV96" s="11"/>
      <c r="LGW96" s="11"/>
      <c r="LGX96" s="11"/>
      <c r="LGY96" s="11"/>
      <c r="LGZ96" s="11"/>
      <c r="LHA96" s="11"/>
      <c r="LHB96" s="11"/>
      <c r="LHC96" s="11"/>
      <c r="LHD96" s="11"/>
      <c r="LHE96" s="11"/>
      <c r="LHF96" s="11"/>
      <c r="LHG96" s="11"/>
      <c r="LHH96" s="11"/>
      <c r="LHI96" s="11"/>
      <c r="LHJ96" s="11"/>
      <c r="LHK96" s="11"/>
      <c r="LHL96" s="11"/>
      <c r="LHM96" s="11"/>
      <c r="LHN96" s="11"/>
      <c r="LHO96" s="11"/>
      <c r="LHP96" s="11"/>
      <c r="LHQ96" s="11"/>
      <c r="LHR96" s="11"/>
      <c r="LHS96" s="11"/>
      <c r="LHT96" s="11"/>
      <c r="LHU96" s="11"/>
      <c r="LHV96" s="11"/>
      <c r="LHW96" s="11"/>
      <c r="LHX96" s="11"/>
      <c r="LHY96" s="11"/>
      <c r="LHZ96" s="11"/>
      <c r="LIA96" s="11"/>
      <c r="LIB96" s="11"/>
      <c r="LIC96" s="11"/>
      <c r="LID96" s="11"/>
      <c r="LIE96" s="11"/>
      <c r="LIF96" s="11"/>
      <c r="LIG96" s="11"/>
      <c r="LIH96" s="11"/>
      <c r="LII96" s="11"/>
      <c r="LIJ96" s="11"/>
      <c r="LIK96" s="11"/>
      <c r="LIL96" s="11"/>
      <c r="LIM96" s="11"/>
      <c r="LIN96" s="11"/>
      <c r="LIO96" s="11"/>
      <c r="LIP96" s="11"/>
      <c r="LIQ96" s="11"/>
      <c r="LIR96" s="11"/>
      <c r="LIS96" s="11"/>
      <c r="LIT96" s="11"/>
      <c r="LIU96" s="11"/>
      <c r="LIV96" s="11"/>
      <c r="LIW96" s="11"/>
      <c r="LIX96" s="11"/>
      <c r="LIY96" s="11"/>
      <c r="LIZ96" s="11"/>
      <c r="LJA96" s="11"/>
      <c r="LJB96" s="11"/>
      <c r="LJC96" s="11"/>
      <c r="LJD96" s="11"/>
      <c r="LJE96" s="11"/>
      <c r="LJF96" s="11"/>
      <c r="LJG96" s="11"/>
      <c r="LJH96" s="11"/>
      <c r="LJI96" s="11"/>
      <c r="LJJ96" s="11"/>
      <c r="LJK96" s="11"/>
      <c r="LJL96" s="11"/>
      <c r="LJM96" s="11"/>
      <c r="LJN96" s="11"/>
      <c r="LJO96" s="11"/>
      <c r="LJP96" s="11"/>
      <c r="LJQ96" s="11"/>
      <c r="LJR96" s="11"/>
      <c r="LJS96" s="11"/>
      <c r="LJT96" s="11"/>
      <c r="LJU96" s="11"/>
      <c r="LJV96" s="11"/>
      <c r="LJW96" s="11"/>
      <c r="LJX96" s="11"/>
      <c r="LJY96" s="11"/>
      <c r="LJZ96" s="11"/>
      <c r="LKA96" s="11"/>
      <c r="LKB96" s="11"/>
      <c r="LKC96" s="11"/>
      <c r="LKD96" s="11"/>
      <c r="LKE96" s="11"/>
      <c r="LKF96" s="11"/>
      <c r="LKG96" s="11"/>
      <c r="LKH96" s="11"/>
      <c r="LKI96" s="11"/>
      <c r="LKJ96" s="11"/>
      <c r="LKK96" s="11"/>
      <c r="LKL96" s="11"/>
      <c r="LKM96" s="11"/>
      <c r="LKN96" s="11"/>
      <c r="LKO96" s="11"/>
      <c r="LKP96" s="11"/>
      <c r="LKQ96" s="11"/>
      <c r="LKR96" s="11"/>
      <c r="LKS96" s="11"/>
      <c r="LKT96" s="11"/>
      <c r="LKU96" s="11"/>
      <c r="LKV96" s="11"/>
      <c r="LKW96" s="11"/>
      <c r="LKX96" s="11"/>
      <c r="LKY96" s="11"/>
      <c r="LKZ96" s="11"/>
      <c r="LLA96" s="11"/>
      <c r="LLB96" s="11"/>
      <c r="LLC96" s="11"/>
      <c r="LLD96" s="11"/>
      <c r="LLE96" s="11"/>
      <c r="LLF96" s="11"/>
      <c r="LLG96" s="11"/>
      <c r="LLH96" s="11"/>
      <c r="LLI96" s="11"/>
      <c r="LLJ96" s="11"/>
      <c r="LLK96" s="11"/>
      <c r="LLL96" s="11"/>
      <c r="LLM96" s="11"/>
      <c r="LLN96" s="11"/>
      <c r="LLO96" s="11"/>
      <c r="LLP96" s="11"/>
      <c r="LLQ96" s="11"/>
      <c r="LLR96" s="11"/>
      <c r="LLS96" s="11"/>
      <c r="LLT96" s="11"/>
      <c r="LLU96" s="11"/>
      <c r="LLV96" s="11"/>
      <c r="LLW96" s="11"/>
      <c r="LLX96" s="11"/>
      <c r="LLY96" s="11"/>
      <c r="LLZ96" s="11"/>
      <c r="LMA96" s="11"/>
      <c r="LMB96" s="11"/>
      <c r="LMC96" s="11"/>
      <c r="LMD96" s="11"/>
      <c r="LME96" s="11"/>
      <c r="LMF96" s="11"/>
      <c r="LMG96" s="11"/>
      <c r="LMH96" s="11"/>
      <c r="LMI96" s="11"/>
      <c r="LMJ96" s="11"/>
      <c r="LMK96" s="11"/>
      <c r="LML96" s="11"/>
      <c r="LMM96" s="11"/>
      <c r="LMN96" s="11"/>
      <c r="LMO96" s="11"/>
      <c r="LMP96" s="11"/>
      <c r="LMQ96" s="11"/>
      <c r="LMR96" s="11"/>
      <c r="LMS96" s="11"/>
      <c r="LMT96" s="11"/>
      <c r="LMU96" s="11"/>
      <c r="LMV96" s="11"/>
      <c r="LMW96" s="11"/>
      <c r="LMX96" s="11"/>
      <c r="LMY96" s="11"/>
      <c r="LMZ96" s="11"/>
      <c r="LNA96" s="11"/>
      <c r="LNB96" s="11"/>
      <c r="LNC96" s="11"/>
      <c r="LND96" s="11"/>
      <c r="LNE96" s="11"/>
      <c r="LNF96" s="11"/>
      <c r="LNG96" s="11"/>
      <c r="LNH96" s="11"/>
      <c r="LNI96" s="11"/>
      <c r="LNJ96" s="11"/>
      <c r="LNK96" s="11"/>
      <c r="LNL96" s="11"/>
      <c r="LNM96" s="11"/>
      <c r="LNN96" s="11"/>
      <c r="LNO96" s="11"/>
      <c r="LNP96" s="11"/>
      <c r="LNQ96" s="11"/>
      <c r="LNR96" s="11"/>
      <c r="LNS96" s="11"/>
      <c r="LNT96" s="11"/>
      <c r="LNU96" s="11"/>
      <c r="LNV96" s="11"/>
      <c r="LNW96" s="11"/>
      <c r="LNX96" s="11"/>
      <c r="LNY96" s="11"/>
      <c r="LNZ96" s="11"/>
      <c r="LOA96" s="11"/>
      <c r="LOB96" s="11"/>
      <c r="LOC96" s="11"/>
      <c r="LOD96" s="11"/>
      <c r="LOE96" s="11"/>
      <c r="LOF96" s="11"/>
      <c r="LOG96" s="11"/>
      <c r="LOH96" s="11"/>
      <c r="LOI96" s="11"/>
      <c r="LOJ96" s="11"/>
      <c r="LOK96" s="11"/>
      <c r="LOL96" s="11"/>
      <c r="LOM96" s="11"/>
      <c r="LON96" s="11"/>
      <c r="LOO96" s="11"/>
      <c r="LOP96" s="11"/>
      <c r="LOQ96" s="11"/>
      <c r="LOR96" s="11"/>
      <c r="LOS96" s="11"/>
      <c r="LOT96" s="11"/>
      <c r="LOU96" s="11"/>
      <c r="LOV96" s="11"/>
      <c r="LOW96" s="11"/>
      <c r="LOX96" s="11"/>
      <c r="LOY96" s="11"/>
      <c r="LOZ96" s="11"/>
      <c r="LPA96" s="11"/>
      <c r="LPB96" s="11"/>
      <c r="LPC96" s="11"/>
      <c r="LPD96" s="11"/>
      <c r="LPE96" s="11"/>
      <c r="LPF96" s="11"/>
      <c r="LPG96" s="11"/>
      <c r="LPH96" s="11"/>
      <c r="LPI96" s="11"/>
      <c r="LPJ96" s="11"/>
      <c r="LPK96" s="11"/>
      <c r="LPL96" s="11"/>
      <c r="LPM96" s="11"/>
      <c r="LPN96" s="11"/>
      <c r="LPO96" s="11"/>
      <c r="LPP96" s="11"/>
      <c r="LPQ96" s="11"/>
      <c r="LPR96" s="11"/>
      <c r="LPS96" s="11"/>
      <c r="LPT96" s="11"/>
      <c r="LPU96" s="11"/>
      <c r="LPV96" s="11"/>
      <c r="LPW96" s="11"/>
      <c r="LPX96" s="11"/>
      <c r="LPY96" s="11"/>
      <c r="LPZ96" s="11"/>
      <c r="LQA96" s="11"/>
      <c r="LQB96" s="11"/>
      <c r="LQC96" s="11"/>
      <c r="LQD96" s="11"/>
      <c r="LQE96" s="11"/>
      <c r="LQF96" s="11"/>
      <c r="LQG96" s="11"/>
      <c r="LQH96" s="11"/>
      <c r="LQI96" s="11"/>
      <c r="LQJ96" s="11"/>
      <c r="LQK96" s="11"/>
      <c r="LQL96" s="11"/>
      <c r="LQM96" s="11"/>
      <c r="LQN96" s="11"/>
      <c r="LQO96" s="11"/>
      <c r="LQP96" s="11"/>
      <c r="LQQ96" s="11"/>
      <c r="LQR96" s="11"/>
      <c r="LQS96" s="11"/>
      <c r="LQT96" s="11"/>
      <c r="LQU96" s="11"/>
      <c r="LQV96" s="11"/>
      <c r="LQW96" s="11"/>
      <c r="LQX96" s="11"/>
      <c r="LQY96" s="11"/>
      <c r="LQZ96" s="11"/>
      <c r="LRA96" s="11"/>
      <c r="LRB96" s="11"/>
      <c r="LRC96" s="11"/>
      <c r="LRD96" s="11"/>
      <c r="LRE96" s="11"/>
      <c r="LRF96" s="11"/>
      <c r="LRG96" s="11"/>
      <c r="LRH96" s="11"/>
      <c r="LRI96" s="11"/>
      <c r="LRJ96" s="11"/>
      <c r="LRK96" s="11"/>
      <c r="LRL96" s="11"/>
      <c r="LRM96" s="11"/>
      <c r="LRN96" s="11"/>
      <c r="LRO96" s="11"/>
      <c r="LRP96" s="11"/>
      <c r="LRQ96" s="11"/>
      <c r="LRR96" s="11"/>
      <c r="LRS96" s="11"/>
      <c r="LRT96" s="11"/>
      <c r="LRU96" s="11"/>
      <c r="LRV96" s="11"/>
      <c r="LRW96" s="11"/>
      <c r="LRX96" s="11"/>
      <c r="LRY96" s="11"/>
      <c r="LRZ96" s="11"/>
      <c r="LSA96" s="11"/>
      <c r="LSB96" s="11"/>
      <c r="LSC96" s="11"/>
      <c r="LSD96" s="11"/>
      <c r="LSE96" s="11"/>
      <c r="LSF96" s="11"/>
      <c r="LSG96" s="11"/>
      <c r="LSH96" s="11"/>
      <c r="LSI96" s="11"/>
      <c r="LSJ96" s="11"/>
      <c r="LSK96" s="11"/>
      <c r="LSL96" s="11"/>
      <c r="LSM96" s="11"/>
      <c r="LSN96" s="11"/>
      <c r="LSO96" s="11"/>
      <c r="LSP96" s="11"/>
      <c r="LSQ96" s="11"/>
      <c r="LSR96" s="11"/>
      <c r="LSS96" s="11"/>
      <c r="LST96" s="11"/>
      <c r="LSU96" s="11"/>
      <c r="LSV96" s="11"/>
      <c r="LSW96" s="11"/>
      <c r="LSX96" s="11"/>
      <c r="LSY96" s="11"/>
      <c r="LSZ96" s="11"/>
      <c r="LTA96" s="11"/>
      <c r="LTB96" s="11"/>
      <c r="LTC96" s="11"/>
      <c r="LTD96" s="11"/>
      <c r="LTE96" s="11"/>
      <c r="LTF96" s="11"/>
      <c r="LTG96" s="11"/>
      <c r="LTH96" s="11"/>
      <c r="LTI96" s="11"/>
      <c r="LTJ96" s="11"/>
      <c r="LTK96" s="11"/>
      <c r="LTL96" s="11"/>
      <c r="LTM96" s="11"/>
      <c r="LTN96" s="11"/>
      <c r="LTO96" s="11"/>
      <c r="LTP96" s="11"/>
      <c r="LTQ96" s="11"/>
      <c r="LTR96" s="11"/>
      <c r="LTS96" s="11"/>
      <c r="LTT96" s="11"/>
      <c r="LTU96" s="11"/>
      <c r="LTV96" s="11"/>
      <c r="LTW96" s="11"/>
      <c r="LTX96" s="11"/>
      <c r="LTY96" s="11"/>
      <c r="LTZ96" s="11"/>
      <c r="LUA96" s="11"/>
      <c r="LUB96" s="11"/>
      <c r="LUC96" s="11"/>
      <c r="LUD96" s="11"/>
      <c r="LUE96" s="11"/>
      <c r="LUF96" s="11"/>
      <c r="LUG96" s="11"/>
      <c r="LUH96" s="11"/>
      <c r="LUI96" s="11"/>
      <c r="LUJ96" s="11"/>
      <c r="LUK96" s="11"/>
      <c r="LUL96" s="11"/>
      <c r="LUM96" s="11"/>
      <c r="LUN96" s="11"/>
      <c r="LUO96" s="11"/>
      <c r="LUP96" s="11"/>
      <c r="LUQ96" s="11"/>
      <c r="LUR96" s="11"/>
      <c r="LUS96" s="11"/>
      <c r="LUT96" s="11"/>
      <c r="LUU96" s="11"/>
      <c r="LUV96" s="11"/>
      <c r="LUW96" s="11"/>
      <c r="LUX96" s="11"/>
      <c r="LUY96" s="11"/>
      <c r="LUZ96" s="11"/>
      <c r="LVA96" s="11"/>
      <c r="LVB96" s="11"/>
      <c r="LVC96" s="11"/>
      <c r="LVD96" s="11"/>
      <c r="LVE96" s="11"/>
      <c r="LVF96" s="11"/>
      <c r="LVG96" s="11"/>
      <c r="LVH96" s="11"/>
      <c r="LVI96" s="11"/>
      <c r="LVJ96" s="11"/>
      <c r="LVK96" s="11"/>
      <c r="LVL96" s="11"/>
      <c r="LVM96" s="11"/>
      <c r="LVN96" s="11"/>
      <c r="LVO96" s="11"/>
      <c r="LVP96" s="11"/>
      <c r="LVQ96" s="11"/>
      <c r="LVR96" s="11"/>
      <c r="LVS96" s="11"/>
      <c r="LVT96" s="11"/>
      <c r="LVU96" s="11"/>
      <c r="LVV96" s="11"/>
      <c r="LVW96" s="11"/>
      <c r="LVX96" s="11"/>
      <c r="LVY96" s="11"/>
      <c r="LVZ96" s="11"/>
      <c r="LWA96" s="11"/>
      <c r="LWB96" s="11"/>
      <c r="LWC96" s="11"/>
      <c r="LWD96" s="11"/>
      <c r="LWE96" s="11"/>
      <c r="LWF96" s="11"/>
      <c r="LWG96" s="11"/>
      <c r="LWH96" s="11"/>
      <c r="LWI96" s="11"/>
      <c r="LWJ96" s="11"/>
      <c r="LWK96" s="11"/>
      <c r="LWL96" s="11"/>
      <c r="LWM96" s="11"/>
      <c r="LWN96" s="11"/>
      <c r="LWO96" s="11"/>
      <c r="LWP96" s="11"/>
      <c r="LWQ96" s="11"/>
      <c r="LWR96" s="11"/>
      <c r="LWS96" s="11"/>
      <c r="LWT96" s="11"/>
      <c r="LWU96" s="11"/>
      <c r="LWV96" s="11"/>
      <c r="LWW96" s="11"/>
      <c r="LWX96" s="11"/>
      <c r="LWY96" s="11"/>
      <c r="LWZ96" s="11"/>
      <c r="LXA96" s="11"/>
      <c r="LXB96" s="11"/>
      <c r="LXC96" s="11"/>
      <c r="LXD96" s="11"/>
      <c r="LXE96" s="11"/>
      <c r="LXF96" s="11"/>
      <c r="LXG96" s="11"/>
      <c r="LXH96" s="11"/>
      <c r="LXI96" s="11"/>
      <c r="LXJ96" s="11"/>
      <c r="LXK96" s="11"/>
      <c r="LXL96" s="11"/>
      <c r="LXM96" s="11"/>
      <c r="LXN96" s="11"/>
      <c r="LXO96" s="11"/>
      <c r="LXP96" s="11"/>
      <c r="LXQ96" s="11"/>
      <c r="LXR96" s="11"/>
      <c r="LXS96" s="11"/>
      <c r="LXT96" s="11"/>
      <c r="LXU96" s="11"/>
      <c r="LXV96" s="11"/>
      <c r="LXW96" s="11"/>
      <c r="LXX96" s="11"/>
      <c r="LXY96" s="11"/>
      <c r="LXZ96" s="11"/>
      <c r="LYA96" s="11"/>
      <c r="LYB96" s="11"/>
      <c r="LYC96" s="11"/>
      <c r="LYD96" s="11"/>
      <c r="LYE96" s="11"/>
      <c r="LYF96" s="11"/>
      <c r="LYG96" s="11"/>
      <c r="LYH96" s="11"/>
      <c r="LYI96" s="11"/>
      <c r="LYJ96" s="11"/>
      <c r="LYK96" s="11"/>
      <c r="LYL96" s="11"/>
      <c r="LYM96" s="11"/>
      <c r="LYN96" s="11"/>
      <c r="LYO96" s="11"/>
      <c r="LYP96" s="11"/>
      <c r="LYQ96" s="11"/>
      <c r="LYR96" s="11"/>
      <c r="LYS96" s="11"/>
      <c r="LYT96" s="11"/>
      <c r="LYU96" s="11"/>
      <c r="LYV96" s="11"/>
      <c r="LYW96" s="11"/>
      <c r="LYX96" s="11"/>
      <c r="LYY96" s="11"/>
      <c r="LYZ96" s="11"/>
      <c r="LZA96" s="11"/>
      <c r="LZB96" s="11"/>
      <c r="LZC96" s="11"/>
      <c r="LZD96" s="11"/>
      <c r="LZE96" s="11"/>
      <c r="LZF96" s="11"/>
      <c r="LZG96" s="11"/>
      <c r="LZH96" s="11"/>
      <c r="LZI96" s="11"/>
      <c r="LZJ96" s="11"/>
      <c r="LZK96" s="11"/>
      <c r="LZL96" s="11"/>
      <c r="LZM96" s="11"/>
      <c r="LZN96" s="11"/>
      <c r="LZO96" s="11"/>
      <c r="LZP96" s="11"/>
      <c r="LZQ96" s="11"/>
      <c r="LZR96" s="11"/>
      <c r="LZS96" s="11"/>
      <c r="LZT96" s="11"/>
      <c r="LZU96" s="11"/>
      <c r="LZV96" s="11"/>
      <c r="LZW96" s="11"/>
      <c r="LZX96" s="11"/>
      <c r="LZY96" s="11"/>
      <c r="LZZ96" s="11"/>
      <c r="MAA96" s="11"/>
      <c r="MAB96" s="11"/>
      <c r="MAC96" s="11"/>
      <c r="MAD96" s="11"/>
      <c r="MAE96" s="11"/>
      <c r="MAF96" s="11"/>
      <c r="MAG96" s="11"/>
      <c r="MAH96" s="11"/>
      <c r="MAI96" s="11"/>
      <c r="MAJ96" s="11"/>
      <c r="MAK96" s="11"/>
      <c r="MAL96" s="11"/>
      <c r="MAM96" s="11"/>
      <c r="MAN96" s="11"/>
      <c r="MAO96" s="11"/>
      <c r="MAP96" s="11"/>
      <c r="MAQ96" s="11"/>
      <c r="MAR96" s="11"/>
      <c r="MAS96" s="11"/>
      <c r="MAT96" s="11"/>
      <c r="MAU96" s="11"/>
      <c r="MAV96" s="11"/>
      <c r="MAW96" s="11"/>
      <c r="MAX96" s="11"/>
      <c r="MAY96" s="11"/>
      <c r="MAZ96" s="11"/>
      <c r="MBA96" s="11"/>
      <c r="MBB96" s="11"/>
      <c r="MBC96" s="11"/>
      <c r="MBD96" s="11"/>
      <c r="MBE96" s="11"/>
      <c r="MBF96" s="11"/>
      <c r="MBG96" s="11"/>
      <c r="MBH96" s="11"/>
      <c r="MBI96" s="11"/>
      <c r="MBJ96" s="11"/>
      <c r="MBK96" s="11"/>
      <c r="MBL96" s="11"/>
      <c r="MBM96" s="11"/>
      <c r="MBN96" s="11"/>
      <c r="MBO96" s="11"/>
      <c r="MBP96" s="11"/>
      <c r="MBQ96" s="11"/>
      <c r="MBR96" s="11"/>
      <c r="MBS96" s="11"/>
      <c r="MBT96" s="11"/>
      <c r="MBU96" s="11"/>
      <c r="MBV96" s="11"/>
      <c r="MBW96" s="11"/>
      <c r="MBX96" s="11"/>
      <c r="MBY96" s="11"/>
      <c r="MBZ96" s="11"/>
      <c r="MCA96" s="11"/>
      <c r="MCB96" s="11"/>
      <c r="MCC96" s="11"/>
      <c r="MCD96" s="11"/>
      <c r="MCE96" s="11"/>
      <c r="MCF96" s="11"/>
      <c r="MCG96" s="11"/>
      <c r="MCH96" s="11"/>
      <c r="MCI96" s="11"/>
      <c r="MCJ96" s="11"/>
      <c r="MCK96" s="11"/>
      <c r="MCL96" s="11"/>
      <c r="MCM96" s="11"/>
      <c r="MCN96" s="11"/>
      <c r="MCO96" s="11"/>
      <c r="MCP96" s="11"/>
      <c r="MCQ96" s="11"/>
      <c r="MCR96" s="11"/>
      <c r="MCS96" s="11"/>
      <c r="MCT96" s="11"/>
      <c r="MCU96" s="11"/>
      <c r="MCV96" s="11"/>
      <c r="MCW96" s="11"/>
      <c r="MCX96" s="11"/>
      <c r="MCY96" s="11"/>
      <c r="MCZ96" s="11"/>
      <c r="MDA96" s="11"/>
      <c r="MDB96" s="11"/>
      <c r="MDC96" s="11"/>
      <c r="MDD96" s="11"/>
      <c r="MDE96" s="11"/>
      <c r="MDF96" s="11"/>
      <c r="MDG96" s="11"/>
      <c r="MDH96" s="11"/>
      <c r="MDI96" s="11"/>
      <c r="MDJ96" s="11"/>
      <c r="MDK96" s="11"/>
      <c r="MDL96" s="11"/>
      <c r="MDM96" s="11"/>
      <c r="MDN96" s="11"/>
      <c r="MDO96" s="11"/>
      <c r="MDP96" s="11"/>
      <c r="MDQ96" s="11"/>
      <c r="MDR96" s="11"/>
      <c r="MDS96" s="11"/>
      <c r="MDT96" s="11"/>
      <c r="MDU96" s="11"/>
      <c r="MDV96" s="11"/>
      <c r="MDW96" s="11"/>
      <c r="MDX96" s="11"/>
      <c r="MDY96" s="11"/>
      <c r="MDZ96" s="11"/>
      <c r="MEA96" s="11"/>
      <c r="MEB96" s="11"/>
      <c r="MEC96" s="11"/>
      <c r="MED96" s="11"/>
      <c r="MEE96" s="11"/>
      <c r="MEF96" s="11"/>
      <c r="MEG96" s="11"/>
      <c r="MEH96" s="11"/>
      <c r="MEI96" s="11"/>
      <c r="MEJ96" s="11"/>
      <c r="MEK96" s="11"/>
      <c r="MEL96" s="11"/>
      <c r="MEM96" s="11"/>
      <c r="MEN96" s="11"/>
      <c r="MEO96" s="11"/>
      <c r="MEP96" s="11"/>
      <c r="MEQ96" s="11"/>
      <c r="MER96" s="11"/>
      <c r="MES96" s="11"/>
      <c r="MET96" s="11"/>
      <c r="MEU96" s="11"/>
      <c r="MEV96" s="11"/>
      <c r="MEW96" s="11"/>
      <c r="MEX96" s="11"/>
      <c r="MEY96" s="11"/>
      <c r="MEZ96" s="11"/>
      <c r="MFA96" s="11"/>
      <c r="MFB96" s="11"/>
      <c r="MFC96" s="11"/>
      <c r="MFD96" s="11"/>
      <c r="MFE96" s="11"/>
      <c r="MFF96" s="11"/>
      <c r="MFG96" s="11"/>
      <c r="MFH96" s="11"/>
      <c r="MFI96" s="11"/>
      <c r="MFJ96" s="11"/>
      <c r="MFK96" s="11"/>
      <c r="MFL96" s="11"/>
      <c r="MFM96" s="11"/>
      <c r="MFN96" s="11"/>
      <c r="MFO96" s="11"/>
      <c r="MFP96" s="11"/>
      <c r="MFQ96" s="11"/>
      <c r="MFR96" s="11"/>
      <c r="MFS96" s="11"/>
      <c r="MFT96" s="11"/>
      <c r="MFU96" s="11"/>
      <c r="MFV96" s="11"/>
      <c r="MFW96" s="11"/>
      <c r="MFX96" s="11"/>
      <c r="MFY96" s="11"/>
      <c r="MFZ96" s="11"/>
      <c r="MGA96" s="11"/>
      <c r="MGB96" s="11"/>
      <c r="MGC96" s="11"/>
      <c r="MGD96" s="11"/>
      <c r="MGE96" s="11"/>
      <c r="MGF96" s="11"/>
      <c r="MGG96" s="11"/>
      <c r="MGH96" s="11"/>
      <c r="MGI96" s="11"/>
      <c r="MGJ96" s="11"/>
      <c r="MGK96" s="11"/>
      <c r="MGL96" s="11"/>
      <c r="MGM96" s="11"/>
      <c r="MGN96" s="11"/>
      <c r="MGO96" s="11"/>
      <c r="MGP96" s="11"/>
      <c r="MGQ96" s="11"/>
      <c r="MGR96" s="11"/>
      <c r="MGS96" s="11"/>
      <c r="MGT96" s="11"/>
      <c r="MGU96" s="11"/>
      <c r="MGV96" s="11"/>
      <c r="MGW96" s="11"/>
      <c r="MGX96" s="11"/>
      <c r="MGY96" s="11"/>
      <c r="MGZ96" s="11"/>
      <c r="MHA96" s="11"/>
      <c r="MHB96" s="11"/>
      <c r="MHC96" s="11"/>
      <c r="MHD96" s="11"/>
      <c r="MHE96" s="11"/>
      <c r="MHF96" s="11"/>
      <c r="MHG96" s="11"/>
      <c r="MHH96" s="11"/>
      <c r="MHI96" s="11"/>
      <c r="MHJ96" s="11"/>
      <c r="MHK96" s="11"/>
      <c r="MHL96" s="11"/>
      <c r="MHM96" s="11"/>
      <c r="MHN96" s="11"/>
      <c r="MHO96" s="11"/>
      <c r="MHP96" s="11"/>
      <c r="MHQ96" s="11"/>
      <c r="MHR96" s="11"/>
      <c r="MHS96" s="11"/>
      <c r="MHT96" s="11"/>
      <c r="MHU96" s="11"/>
      <c r="MHV96" s="11"/>
      <c r="MHW96" s="11"/>
      <c r="MHX96" s="11"/>
      <c r="MHY96" s="11"/>
      <c r="MHZ96" s="11"/>
      <c r="MIA96" s="11"/>
      <c r="MIB96" s="11"/>
      <c r="MIC96" s="11"/>
      <c r="MID96" s="11"/>
      <c r="MIE96" s="11"/>
      <c r="MIF96" s="11"/>
      <c r="MIG96" s="11"/>
      <c r="MIH96" s="11"/>
      <c r="MII96" s="11"/>
      <c r="MIJ96" s="11"/>
      <c r="MIK96" s="11"/>
      <c r="MIL96" s="11"/>
      <c r="MIM96" s="11"/>
      <c r="MIN96" s="11"/>
      <c r="MIO96" s="11"/>
      <c r="MIP96" s="11"/>
      <c r="MIQ96" s="11"/>
      <c r="MIR96" s="11"/>
      <c r="MIS96" s="11"/>
      <c r="MIT96" s="11"/>
      <c r="MIU96" s="11"/>
      <c r="MIV96" s="11"/>
      <c r="MIW96" s="11"/>
      <c r="MIX96" s="11"/>
      <c r="MIY96" s="11"/>
      <c r="MIZ96" s="11"/>
      <c r="MJA96" s="11"/>
      <c r="MJB96" s="11"/>
      <c r="MJC96" s="11"/>
      <c r="MJD96" s="11"/>
      <c r="MJE96" s="11"/>
      <c r="MJF96" s="11"/>
      <c r="MJG96" s="11"/>
      <c r="MJH96" s="11"/>
      <c r="MJI96" s="11"/>
      <c r="MJJ96" s="11"/>
      <c r="MJK96" s="11"/>
      <c r="MJL96" s="11"/>
      <c r="MJM96" s="11"/>
      <c r="MJN96" s="11"/>
      <c r="MJO96" s="11"/>
      <c r="MJP96" s="11"/>
      <c r="MJQ96" s="11"/>
      <c r="MJR96" s="11"/>
      <c r="MJS96" s="11"/>
      <c r="MJT96" s="11"/>
      <c r="MJU96" s="11"/>
      <c r="MJV96" s="11"/>
      <c r="MJW96" s="11"/>
      <c r="MJX96" s="11"/>
      <c r="MJY96" s="11"/>
      <c r="MJZ96" s="11"/>
      <c r="MKA96" s="11"/>
      <c r="MKB96" s="11"/>
      <c r="MKC96" s="11"/>
      <c r="MKD96" s="11"/>
      <c r="MKE96" s="11"/>
      <c r="MKF96" s="11"/>
      <c r="MKG96" s="11"/>
      <c r="MKH96" s="11"/>
      <c r="MKI96" s="11"/>
      <c r="MKJ96" s="11"/>
      <c r="MKK96" s="11"/>
      <c r="MKL96" s="11"/>
      <c r="MKM96" s="11"/>
      <c r="MKN96" s="11"/>
      <c r="MKO96" s="11"/>
      <c r="MKP96" s="11"/>
      <c r="MKQ96" s="11"/>
      <c r="MKR96" s="11"/>
      <c r="MKS96" s="11"/>
      <c r="MKT96" s="11"/>
      <c r="MKU96" s="11"/>
      <c r="MKV96" s="11"/>
      <c r="MKW96" s="11"/>
      <c r="MKX96" s="11"/>
      <c r="MKY96" s="11"/>
      <c r="MKZ96" s="11"/>
      <c r="MLA96" s="11"/>
      <c r="MLB96" s="11"/>
      <c r="MLC96" s="11"/>
      <c r="MLD96" s="11"/>
      <c r="MLE96" s="11"/>
      <c r="MLF96" s="11"/>
      <c r="MLG96" s="11"/>
      <c r="MLH96" s="11"/>
      <c r="MLI96" s="11"/>
      <c r="MLJ96" s="11"/>
      <c r="MLK96" s="11"/>
      <c r="MLL96" s="11"/>
      <c r="MLM96" s="11"/>
      <c r="MLN96" s="11"/>
      <c r="MLO96" s="11"/>
      <c r="MLP96" s="11"/>
      <c r="MLQ96" s="11"/>
      <c r="MLR96" s="11"/>
      <c r="MLS96" s="11"/>
      <c r="MLT96" s="11"/>
      <c r="MLU96" s="11"/>
      <c r="MLV96" s="11"/>
      <c r="MLW96" s="11"/>
      <c r="MLX96" s="11"/>
      <c r="MLY96" s="11"/>
      <c r="MLZ96" s="11"/>
      <c r="MMA96" s="11"/>
      <c r="MMB96" s="11"/>
      <c r="MMC96" s="11"/>
      <c r="MMD96" s="11"/>
      <c r="MME96" s="11"/>
      <c r="MMF96" s="11"/>
      <c r="MMG96" s="11"/>
      <c r="MMH96" s="11"/>
      <c r="MMI96" s="11"/>
      <c r="MMJ96" s="11"/>
      <c r="MMK96" s="11"/>
      <c r="MML96" s="11"/>
      <c r="MMM96" s="11"/>
      <c r="MMN96" s="11"/>
      <c r="MMO96" s="11"/>
      <c r="MMP96" s="11"/>
      <c r="MMQ96" s="11"/>
      <c r="MMR96" s="11"/>
      <c r="MMS96" s="11"/>
      <c r="MMT96" s="11"/>
      <c r="MMU96" s="11"/>
      <c r="MMV96" s="11"/>
      <c r="MMW96" s="11"/>
      <c r="MMX96" s="11"/>
      <c r="MMY96" s="11"/>
      <c r="MMZ96" s="11"/>
      <c r="MNA96" s="11"/>
      <c r="MNB96" s="11"/>
      <c r="MNC96" s="11"/>
      <c r="MND96" s="11"/>
      <c r="MNE96" s="11"/>
      <c r="MNF96" s="11"/>
      <c r="MNG96" s="11"/>
      <c r="MNH96" s="11"/>
      <c r="MNI96" s="11"/>
      <c r="MNJ96" s="11"/>
      <c r="MNK96" s="11"/>
      <c r="MNL96" s="11"/>
      <c r="MNM96" s="11"/>
      <c r="MNN96" s="11"/>
      <c r="MNO96" s="11"/>
      <c r="MNP96" s="11"/>
      <c r="MNQ96" s="11"/>
      <c r="MNR96" s="11"/>
      <c r="MNS96" s="11"/>
      <c r="MNT96" s="11"/>
      <c r="MNU96" s="11"/>
      <c r="MNV96" s="11"/>
      <c r="MNW96" s="11"/>
      <c r="MNX96" s="11"/>
      <c r="MNY96" s="11"/>
      <c r="MNZ96" s="11"/>
      <c r="MOA96" s="11"/>
      <c r="MOB96" s="11"/>
      <c r="MOC96" s="11"/>
      <c r="MOD96" s="11"/>
      <c r="MOE96" s="11"/>
      <c r="MOF96" s="11"/>
      <c r="MOG96" s="11"/>
      <c r="MOH96" s="11"/>
      <c r="MOI96" s="11"/>
      <c r="MOJ96" s="11"/>
      <c r="MOK96" s="11"/>
      <c r="MOL96" s="11"/>
      <c r="MOM96" s="11"/>
      <c r="MON96" s="11"/>
      <c r="MOO96" s="11"/>
      <c r="MOP96" s="11"/>
      <c r="MOQ96" s="11"/>
      <c r="MOR96" s="11"/>
      <c r="MOS96" s="11"/>
      <c r="MOT96" s="11"/>
      <c r="MOU96" s="11"/>
      <c r="MOV96" s="11"/>
      <c r="MOW96" s="11"/>
      <c r="MOX96" s="11"/>
      <c r="MOY96" s="11"/>
      <c r="MOZ96" s="11"/>
      <c r="MPA96" s="11"/>
      <c r="MPB96" s="11"/>
      <c r="MPC96" s="11"/>
      <c r="MPD96" s="11"/>
      <c r="MPE96" s="11"/>
      <c r="MPF96" s="11"/>
      <c r="MPG96" s="11"/>
      <c r="MPH96" s="11"/>
      <c r="MPI96" s="11"/>
      <c r="MPJ96" s="11"/>
      <c r="MPK96" s="11"/>
      <c r="MPL96" s="11"/>
      <c r="MPM96" s="11"/>
      <c r="MPN96" s="11"/>
      <c r="MPO96" s="11"/>
      <c r="MPP96" s="11"/>
      <c r="MPQ96" s="11"/>
      <c r="MPR96" s="11"/>
      <c r="MPS96" s="11"/>
      <c r="MPT96" s="11"/>
      <c r="MPU96" s="11"/>
      <c r="MPV96" s="11"/>
      <c r="MPW96" s="11"/>
      <c r="MPX96" s="11"/>
      <c r="MPY96" s="11"/>
      <c r="MPZ96" s="11"/>
      <c r="MQA96" s="11"/>
      <c r="MQB96" s="11"/>
      <c r="MQC96" s="11"/>
      <c r="MQD96" s="11"/>
      <c r="MQE96" s="11"/>
      <c r="MQF96" s="11"/>
      <c r="MQG96" s="11"/>
      <c r="MQH96" s="11"/>
      <c r="MQI96" s="11"/>
      <c r="MQJ96" s="11"/>
      <c r="MQK96" s="11"/>
      <c r="MQL96" s="11"/>
      <c r="MQM96" s="11"/>
      <c r="MQN96" s="11"/>
      <c r="MQO96" s="11"/>
      <c r="MQP96" s="11"/>
      <c r="MQQ96" s="11"/>
      <c r="MQR96" s="11"/>
      <c r="MQS96" s="11"/>
      <c r="MQT96" s="11"/>
      <c r="MQU96" s="11"/>
      <c r="MQV96" s="11"/>
      <c r="MQW96" s="11"/>
      <c r="MQX96" s="11"/>
      <c r="MQY96" s="11"/>
      <c r="MQZ96" s="11"/>
      <c r="MRA96" s="11"/>
      <c r="MRB96" s="11"/>
      <c r="MRC96" s="11"/>
      <c r="MRD96" s="11"/>
      <c r="MRE96" s="11"/>
      <c r="MRF96" s="11"/>
      <c r="MRG96" s="11"/>
      <c r="MRH96" s="11"/>
      <c r="MRI96" s="11"/>
      <c r="MRJ96" s="11"/>
      <c r="MRK96" s="11"/>
      <c r="MRL96" s="11"/>
      <c r="MRM96" s="11"/>
      <c r="MRN96" s="11"/>
      <c r="MRO96" s="11"/>
      <c r="MRP96" s="11"/>
      <c r="MRQ96" s="11"/>
      <c r="MRR96" s="11"/>
      <c r="MRS96" s="11"/>
      <c r="MRT96" s="11"/>
      <c r="MRU96" s="11"/>
      <c r="MRV96" s="11"/>
      <c r="MRW96" s="11"/>
      <c r="MRX96" s="11"/>
      <c r="MRY96" s="11"/>
      <c r="MRZ96" s="11"/>
      <c r="MSA96" s="11"/>
      <c r="MSB96" s="11"/>
      <c r="MSC96" s="11"/>
      <c r="MSD96" s="11"/>
      <c r="MSE96" s="11"/>
      <c r="MSF96" s="11"/>
      <c r="MSG96" s="11"/>
      <c r="MSH96" s="11"/>
      <c r="MSI96" s="11"/>
      <c r="MSJ96" s="11"/>
      <c r="MSK96" s="11"/>
      <c r="MSL96" s="11"/>
      <c r="MSM96" s="11"/>
      <c r="MSN96" s="11"/>
      <c r="MSO96" s="11"/>
      <c r="MSP96" s="11"/>
      <c r="MSQ96" s="11"/>
      <c r="MSR96" s="11"/>
      <c r="MSS96" s="11"/>
      <c r="MST96" s="11"/>
      <c r="MSU96" s="11"/>
      <c r="MSV96" s="11"/>
      <c r="MSW96" s="11"/>
      <c r="MSX96" s="11"/>
      <c r="MSY96" s="11"/>
      <c r="MSZ96" s="11"/>
      <c r="MTA96" s="11"/>
      <c r="MTB96" s="11"/>
      <c r="MTC96" s="11"/>
      <c r="MTD96" s="11"/>
      <c r="MTE96" s="11"/>
      <c r="MTF96" s="11"/>
      <c r="MTG96" s="11"/>
      <c r="MTH96" s="11"/>
      <c r="MTI96" s="11"/>
      <c r="MTJ96" s="11"/>
      <c r="MTK96" s="11"/>
      <c r="MTL96" s="11"/>
      <c r="MTM96" s="11"/>
      <c r="MTN96" s="11"/>
      <c r="MTO96" s="11"/>
      <c r="MTP96" s="11"/>
      <c r="MTQ96" s="11"/>
      <c r="MTR96" s="11"/>
      <c r="MTS96" s="11"/>
      <c r="MTT96" s="11"/>
      <c r="MTU96" s="11"/>
      <c r="MTV96" s="11"/>
      <c r="MTW96" s="11"/>
      <c r="MTX96" s="11"/>
      <c r="MTY96" s="11"/>
      <c r="MTZ96" s="11"/>
      <c r="MUA96" s="11"/>
      <c r="MUB96" s="11"/>
      <c r="MUC96" s="11"/>
      <c r="MUD96" s="11"/>
      <c r="MUE96" s="11"/>
      <c r="MUF96" s="11"/>
      <c r="MUG96" s="11"/>
      <c r="MUH96" s="11"/>
      <c r="MUI96" s="11"/>
      <c r="MUJ96" s="11"/>
      <c r="MUK96" s="11"/>
      <c r="MUL96" s="11"/>
      <c r="MUM96" s="11"/>
      <c r="MUN96" s="11"/>
      <c r="MUO96" s="11"/>
      <c r="MUP96" s="11"/>
      <c r="MUQ96" s="11"/>
      <c r="MUR96" s="11"/>
      <c r="MUS96" s="11"/>
      <c r="MUT96" s="11"/>
      <c r="MUU96" s="11"/>
      <c r="MUV96" s="11"/>
      <c r="MUW96" s="11"/>
      <c r="MUX96" s="11"/>
      <c r="MUY96" s="11"/>
      <c r="MUZ96" s="11"/>
      <c r="MVA96" s="11"/>
      <c r="MVB96" s="11"/>
      <c r="MVC96" s="11"/>
      <c r="MVD96" s="11"/>
      <c r="MVE96" s="11"/>
      <c r="MVF96" s="11"/>
      <c r="MVG96" s="11"/>
      <c r="MVH96" s="11"/>
      <c r="MVI96" s="11"/>
      <c r="MVJ96" s="11"/>
      <c r="MVK96" s="11"/>
      <c r="MVL96" s="11"/>
      <c r="MVM96" s="11"/>
      <c r="MVN96" s="11"/>
      <c r="MVO96" s="11"/>
      <c r="MVP96" s="11"/>
      <c r="MVQ96" s="11"/>
      <c r="MVR96" s="11"/>
      <c r="MVS96" s="11"/>
      <c r="MVT96" s="11"/>
      <c r="MVU96" s="11"/>
      <c r="MVV96" s="11"/>
      <c r="MVW96" s="11"/>
      <c r="MVX96" s="11"/>
      <c r="MVY96" s="11"/>
      <c r="MVZ96" s="11"/>
      <c r="MWA96" s="11"/>
      <c r="MWB96" s="11"/>
      <c r="MWC96" s="11"/>
      <c r="MWD96" s="11"/>
      <c r="MWE96" s="11"/>
      <c r="MWF96" s="11"/>
      <c r="MWG96" s="11"/>
      <c r="MWH96" s="11"/>
      <c r="MWI96" s="11"/>
      <c r="MWJ96" s="11"/>
      <c r="MWK96" s="11"/>
      <c r="MWL96" s="11"/>
      <c r="MWM96" s="11"/>
      <c r="MWN96" s="11"/>
      <c r="MWO96" s="11"/>
      <c r="MWP96" s="11"/>
      <c r="MWQ96" s="11"/>
      <c r="MWR96" s="11"/>
      <c r="MWS96" s="11"/>
      <c r="MWT96" s="11"/>
      <c r="MWU96" s="11"/>
      <c r="MWV96" s="11"/>
      <c r="MWW96" s="11"/>
      <c r="MWX96" s="11"/>
      <c r="MWY96" s="11"/>
      <c r="MWZ96" s="11"/>
      <c r="MXA96" s="11"/>
      <c r="MXB96" s="11"/>
      <c r="MXC96" s="11"/>
      <c r="MXD96" s="11"/>
      <c r="MXE96" s="11"/>
      <c r="MXF96" s="11"/>
      <c r="MXG96" s="11"/>
      <c r="MXH96" s="11"/>
      <c r="MXI96" s="11"/>
      <c r="MXJ96" s="11"/>
      <c r="MXK96" s="11"/>
      <c r="MXL96" s="11"/>
      <c r="MXM96" s="11"/>
      <c r="MXN96" s="11"/>
      <c r="MXO96" s="11"/>
      <c r="MXP96" s="11"/>
      <c r="MXQ96" s="11"/>
      <c r="MXR96" s="11"/>
      <c r="MXS96" s="11"/>
      <c r="MXT96" s="11"/>
      <c r="MXU96" s="11"/>
      <c r="MXV96" s="11"/>
      <c r="MXW96" s="11"/>
      <c r="MXX96" s="11"/>
      <c r="MXY96" s="11"/>
      <c r="MXZ96" s="11"/>
      <c r="MYA96" s="11"/>
      <c r="MYB96" s="11"/>
      <c r="MYC96" s="11"/>
      <c r="MYD96" s="11"/>
      <c r="MYE96" s="11"/>
      <c r="MYF96" s="11"/>
      <c r="MYG96" s="11"/>
      <c r="MYH96" s="11"/>
      <c r="MYI96" s="11"/>
      <c r="MYJ96" s="11"/>
      <c r="MYK96" s="11"/>
      <c r="MYL96" s="11"/>
      <c r="MYM96" s="11"/>
      <c r="MYN96" s="11"/>
      <c r="MYO96" s="11"/>
      <c r="MYP96" s="11"/>
      <c r="MYQ96" s="11"/>
      <c r="MYR96" s="11"/>
      <c r="MYS96" s="11"/>
      <c r="MYT96" s="11"/>
      <c r="MYU96" s="11"/>
      <c r="MYV96" s="11"/>
      <c r="MYW96" s="11"/>
      <c r="MYX96" s="11"/>
      <c r="MYY96" s="11"/>
      <c r="MYZ96" s="11"/>
      <c r="MZA96" s="11"/>
      <c r="MZB96" s="11"/>
      <c r="MZC96" s="11"/>
      <c r="MZD96" s="11"/>
      <c r="MZE96" s="11"/>
      <c r="MZF96" s="11"/>
      <c r="MZG96" s="11"/>
      <c r="MZH96" s="11"/>
      <c r="MZI96" s="11"/>
      <c r="MZJ96" s="11"/>
      <c r="MZK96" s="11"/>
      <c r="MZL96" s="11"/>
      <c r="MZM96" s="11"/>
      <c r="MZN96" s="11"/>
      <c r="MZO96" s="11"/>
      <c r="MZP96" s="11"/>
      <c r="MZQ96" s="11"/>
      <c r="MZR96" s="11"/>
      <c r="MZS96" s="11"/>
      <c r="MZT96" s="11"/>
      <c r="MZU96" s="11"/>
      <c r="MZV96" s="11"/>
      <c r="MZW96" s="11"/>
      <c r="MZX96" s="11"/>
      <c r="MZY96" s="11"/>
      <c r="MZZ96" s="11"/>
      <c r="NAA96" s="11"/>
      <c r="NAB96" s="11"/>
      <c r="NAC96" s="11"/>
      <c r="NAD96" s="11"/>
      <c r="NAE96" s="11"/>
      <c r="NAF96" s="11"/>
      <c r="NAG96" s="11"/>
      <c r="NAH96" s="11"/>
      <c r="NAI96" s="11"/>
      <c r="NAJ96" s="11"/>
      <c r="NAK96" s="11"/>
      <c r="NAL96" s="11"/>
      <c r="NAM96" s="11"/>
      <c r="NAN96" s="11"/>
      <c r="NAO96" s="11"/>
      <c r="NAP96" s="11"/>
      <c r="NAQ96" s="11"/>
      <c r="NAR96" s="11"/>
      <c r="NAS96" s="11"/>
      <c r="NAT96" s="11"/>
      <c r="NAU96" s="11"/>
      <c r="NAV96" s="11"/>
      <c r="NAW96" s="11"/>
      <c r="NAX96" s="11"/>
      <c r="NAY96" s="11"/>
      <c r="NAZ96" s="11"/>
      <c r="NBA96" s="11"/>
      <c r="NBB96" s="11"/>
      <c r="NBC96" s="11"/>
      <c r="NBD96" s="11"/>
      <c r="NBE96" s="11"/>
      <c r="NBF96" s="11"/>
      <c r="NBG96" s="11"/>
      <c r="NBH96" s="11"/>
      <c r="NBI96" s="11"/>
      <c r="NBJ96" s="11"/>
      <c r="NBK96" s="11"/>
      <c r="NBL96" s="11"/>
      <c r="NBM96" s="11"/>
      <c r="NBN96" s="11"/>
      <c r="NBO96" s="11"/>
      <c r="NBP96" s="11"/>
      <c r="NBQ96" s="11"/>
      <c r="NBR96" s="11"/>
      <c r="NBS96" s="11"/>
      <c r="NBT96" s="11"/>
      <c r="NBU96" s="11"/>
      <c r="NBV96" s="11"/>
      <c r="NBW96" s="11"/>
      <c r="NBX96" s="11"/>
      <c r="NBY96" s="11"/>
      <c r="NBZ96" s="11"/>
      <c r="NCA96" s="11"/>
      <c r="NCB96" s="11"/>
      <c r="NCC96" s="11"/>
      <c r="NCD96" s="11"/>
      <c r="NCE96" s="11"/>
      <c r="NCF96" s="11"/>
      <c r="NCG96" s="11"/>
      <c r="NCH96" s="11"/>
      <c r="NCI96" s="11"/>
      <c r="NCJ96" s="11"/>
      <c r="NCK96" s="11"/>
      <c r="NCL96" s="11"/>
      <c r="NCM96" s="11"/>
      <c r="NCN96" s="11"/>
      <c r="NCO96" s="11"/>
      <c r="NCP96" s="11"/>
      <c r="NCQ96" s="11"/>
      <c r="NCR96" s="11"/>
      <c r="NCS96" s="11"/>
      <c r="NCT96" s="11"/>
      <c r="NCU96" s="11"/>
      <c r="NCV96" s="11"/>
      <c r="NCW96" s="11"/>
      <c r="NCX96" s="11"/>
      <c r="NCY96" s="11"/>
      <c r="NCZ96" s="11"/>
      <c r="NDA96" s="11"/>
      <c r="NDB96" s="11"/>
      <c r="NDC96" s="11"/>
      <c r="NDD96" s="11"/>
      <c r="NDE96" s="11"/>
      <c r="NDF96" s="11"/>
      <c r="NDG96" s="11"/>
      <c r="NDH96" s="11"/>
      <c r="NDI96" s="11"/>
      <c r="NDJ96" s="11"/>
      <c r="NDK96" s="11"/>
      <c r="NDL96" s="11"/>
      <c r="NDM96" s="11"/>
      <c r="NDN96" s="11"/>
      <c r="NDO96" s="11"/>
      <c r="NDP96" s="11"/>
      <c r="NDQ96" s="11"/>
      <c r="NDR96" s="11"/>
      <c r="NDS96" s="11"/>
      <c r="NDT96" s="11"/>
      <c r="NDU96" s="11"/>
      <c r="NDV96" s="11"/>
      <c r="NDW96" s="11"/>
      <c r="NDX96" s="11"/>
      <c r="NDY96" s="11"/>
      <c r="NDZ96" s="11"/>
      <c r="NEA96" s="11"/>
      <c r="NEB96" s="11"/>
      <c r="NEC96" s="11"/>
      <c r="NED96" s="11"/>
      <c r="NEE96" s="11"/>
      <c r="NEF96" s="11"/>
      <c r="NEG96" s="11"/>
      <c r="NEH96" s="11"/>
      <c r="NEI96" s="11"/>
      <c r="NEJ96" s="11"/>
      <c r="NEK96" s="11"/>
      <c r="NEL96" s="11"/>
      <c r="NEM96" s="11"/>
      <c r="NEN96" s="11"/>
      <c r="NEO96" s="11"/>
      <c r="NEP96" s="11"/>
      <c r="NEQ96" s="11"/>
      <c r="NER96" s="11"/>
      <c r="NES96" s="11"/>
      <c r="NET96" s="11"/>
      <c r="NEU96" s="11"/>
      <c r="NEV96" s="11"/>
      <c r="NEW96" s="11"/>
      <c r="NEX96" s="11"/>
      <c r="NEY96" s="11"/>
      <c r="NEZ96" s="11"/>
      <c r="NFA96" s="11"/>
      <c r="NFB96" s="11"/>
      <c r="NFC96" s="11"/>
      <c r="NFD96" s="11"/>
      <c r="NFE96" s="11"/>
      <c r="NFF96" s="11"/>
      <c r="NFG96" s="11"/>
      <c r="NFH96" s="11"/>
      <c r="NFI96" s="11"/>
      <c r="NFJ96" s="11"/>
      <c r="NFK96" s="11"/>
      <c r="NFL96" s="11"/>
      <c r="NFM96" s="11"/>
      <c r="NFN96" s="11"/>
      <c r="NFO96" s="11"/>
      <c r="NFP96" s="11"/>
      <c r="NFQ96" s="11"/>
      <c r="NFR96" s="11"/>
      <c r="NFS96" s="11"/>
      <c r="NFT96" s="11"/>
      <c r="NFU96" s="11"/>
      <c r="NFV96" s="11"/>
      <c r="NFW96" s="11"/>
      <c r="NFX96" s="11"/>
      <c r="NFY96" s="11"/>
      <c r="NFZ96" s="11"/>
      <c r="NGA96" s="11"/>
      <c r="NGB96" s="11"/>
      <c r="NGC96" s="11"/>
      <c r="NGD96" s="11"/>
      <c r="NGE96" s="11"/>
      <c r="NGF96" s="11"/>
      <c r="NGG96" s="11"/>
      <c r="NGH96" s="11"/>
      <c r="NGI96" s="11"/>
      <c r="NGJ96" s="11"/>
      <c r="NGK96" s="11"/>
      <c r="NGL96" s="11"/>
      <c r="NGM96" s="11"/>
      <c r="NGN96" s="11"/>
      <c r="NGO96" s="11"/>
      <c r="NGP96" s="11"/>
      <c r="NGQ96" s="11"/>
      <c r="NGR96" s="11"/>
      <c r="NGS96" s="11"/>
      <c r="NGT96" s="11"/>
      <c r="NGU96" s="11"/>
      <c r="NGV96" s="11"/>
      <c r="NGW96" s="11"/>
      <c r="NGX96" s="11"/>
      <c r="NGY96" s="11"/>
      <c r="NGZ96" s="11"/>
      <c r="NHA96" s="11"/>
      <c r="NHB96" s="11"/>
      <c r="NHC96" s="11"/>
      <c r="NHD96" s="11"/>
      <c r="NHE96" s="11"/>
      <c r="NHF96" s="11"/>
      <c r="NHG96" s="11"/>
      <c r="NHH96" s="11"/>
      <c r="NHI96" s="11"/>
      <c r="NHJ96" s="11"/>
      <c r="NHK96" s="11"/>
      <c r="NHL96" s="11"/>
      <c r="NHM96" s="11"/>
      <c r="NHN96" s="11"/>
      <c r="NHO96" s="11"/>
      <c r="NHP96" s="11"/>
      <c r="NHQ96" s="11"/>
      <c r="NHR96" s="11"/>
      <c r="NHS96" s="11"/>
      <c r="NHT96" s="11"/>
      <c r="NHU96" s="11"/>
      <c r="NHV96" s="11"/>
      <c r="NHW96" s="11"/>
      <c r="NHX96" s="11"/>
      <c r="NHY96" s="11"/>
      <c r="NHZ96" s="11"/>
      <c r="NIA96" s="11"/>
      <c r="NIB96" s="11"/>
      <c r="NIC96" s="11"/>
      <c r="NID96" s="11"/>
      <c r="NIE96" s="11"/>
      <c r="NIF96" s="11"/>
      <c r="NIG96" s="11"/>
      <c r="NIH96" s="11"/>
      <c r="NII96" s="11"/>
      <c r="NIJ96" s="11"/>
      <c r="NIK96" s="11"/>
      <c r="NIL96" s="11"/>
      <c r="NIM96" s="11"/>
      <c r="NIN96" s="11"/>
      <c r="NIO96" s="11"/>
      <c r="NIP96" s="11"/>
      <c r="NIQ96" s="11"/>
      <c r="NIR96" s="11"/>
      <c r="NIS96" s="11"/>
      <c r="NIT96" s="11"/>
      <c r="NIU96" s="11"/>
      <c r="NIV96" s="11"/>
      <c r="NIW96" s="11"/>
      <c r="NIX96" s="11"/>
      <c r="NIY96" s="11"/>
      <c r="NIZ96" s="11"/>
      <c r="NJA96" s="11"/>
      <c r="NJB96" s="11"/>
      <c r="NJC96" s="11"/>
      <c r="NJD96" s="11"/>
      <c r="NJE96" s="11"/>
      <c r="NJF96" s="11"/>
      <c r="NJG96" s="11"/>
      <c r="NJH96" s="11"/>
      <c r="NJI96" s="11"/>
      <c r="NJJ96" s="11"/>
      <c r="NJK96" s="11"/>
      <c r="NJL96" s="11"/>
      <c r="NJM96" s="11"/>
      <c r="NJN96" s="11"/>
      <c r="NJO96" s="11"/>
      <c r="NJP96" s="11"/>
      <c r="NJQ96" s="11"/>
      <c r="NJR96" s="11"/>
      <c r="NJS96" s="11"/>
      <c r="NJT96" s="11"/>
      <c r="NJU96" s="11"/>
      <c r="NJV96" s="11"/>
      <c r="NJW96" s="11"/>
      <c r="NJX96" s="11"/>
      <c r="NJY96" s="11"/>
      <c r="NJZ96" s="11"/>
      <c r="NKA96" s="11"/>
      <c r="NKB96" s="11"/>
      <c r="NKC96" s="11"/>
      <c r="NKD96" s="11"/>
      <c r="NKE96" s="11"/>
      <c r="NKF96" s="11"/>
      <c r="NKG96" s="11"/>
      <c r="NKH96" s="11"/>
      <c r="NKI96" s="11"/>
      <c r="NKJ96" s="11"/>
      <c r="NKK96" s="11"/>
      <c r="NKL96" s="11"/>
      <c r="NKM96" s="11"/>
      <c r="NKN96" s="11"/>
      <c r="NKO96" s="11"/>
      <c r="NKP96" s="11"/>
      <c r="NKQ96" s="11"/>
      <c r="NKR96" s="11"/>
      <c r="NKS96" s="11"/>
      <c r="NKT96" s="11"/>
      <c r="NKU96" s="11"/>
      <c r="NKV96" s="11"/>
      <c r="NKW96" s="11"/>
      <c r="NKX96" s="11"/>
      <c r="NKY96" s="11"/>
      <c r="NKZ96" s="11"/>
      <c r="NLA96" s="11"/>
      <c r="NLB96" s="11"/>
      <c r="NLC96" s="11"/>
      <c r="NLD96" s="11"/>
      <c r="NLE96" s="11"/>
      <c r="NLF96" s="11"/>
      <c r="NLG96" s="11"/>
      <c r="NLH96" s="11"/>
      <c r="NLI96" s="11"/>
      <c r="NLJ96" s="11"/>
      <c r="NLK96" s="11"/>
      <c r="NLL96" s="11"/>
      <c r="NLM96" s="11"/>
      <c r="NLN96" s="11"/>
      <c r="NLO96" s="11"/>
      <c r="NLP96" s="11"/>
      <c r="NLQ96" s="11"/>
      <c r="NLR96" s="11"/>
      <c r="NLS96" s="11"/>
      <c r="NLT96" s="11"/>
      <c r="NLU96" s="11"/>
      <c r="NLV96" s="11"/>
      <c r="NLW96" s="11"/>
      <c r="NLX96" s="11"/>
      <c r="NLY96" s="11"/>
      <c r="NLZ96" s="11"/>
      <c r="NMA96" s="11"/>
      <c r="NMB96" s="11"/>
      <c r="NMC96" s="11"/>
      <c r="NMD96" s="11"/>
      <c r="NME96" s="11"/>
      <c r="NMF96" s="11"/>
      <c r="NMG96" s="11"/>
      <c r="NMH96" s="11"/>
      <c r="NMI96" s="11"/>
      <c r="NMJ96" s="11"/>
      <c r="NMK96" s="11"/>
      <c r="NML96" s="11"/>
      <c r="NMM96" s="11"/>
      <c r="NMN96" s="11"/>
      <c r="NMO96" s="11"/>
      <c r="NMP96" s="11"/>
      <c r="NMQ96" s="11"/>
      <c r="NMR96" s="11"/>
      <c r="NMS96" s="11"/>
      <c r="NMT96" s="11"/>
      <c r="NMU96" s="11"/>
      <c r="NMV96" s="11"/>
      <c r="NMW96" s="11"/>
      <c r="NMX96" s="11"/>
      <c r="NMY96" s="11"/>
      <c r="NMZ96" s="11"/>
      <c r="NNA96" s="11"/>
      <c r="NNB96" s="11"/>
      <c r="NNC96" s="11"/>
      <c r="NND96" s="11"/>
      <c r="NNE96" s="11"/>
      <c r="NNF96" s="11"/>
      <c r="NNG96" s="11"/>
      <c r="NNH96" s="11"/>
      <c r="NNI96" s="11"/>
      <c r="NNJ96" s="11"/>
      <c r="NNK96" s="11"/>
      <c r="NNL96" s="11"/>
      <c r="NNM96" s="11"/>
      <c r="NNN96" s="11"/>
      <c r="NNO96" s="11"/>
      <c r="NNP96" s="11"/>
      <c r="NNQ96" s="11"/>
      <c r="NNR96" s="11"/>
      <c r="NNS96" s="11"/>
      <c r="NNT96" s="11"/>
      <c r="NNU96" s="11"/>
      <c r="NNV96" s="11"/>
      <c r="NNW96" s="11"/>
      <c r="NNX96" s="11"/>
      <c r="NNY96" s="11"/>
      <c r="NNZ96" s="11"/>
      <c r="NOA96" s="11"/>
      <c r="NOB96" s="11"/>
      <c r="NOC96" s="11"/>
      <c r="NOD96" s="11"/>
      <c r="NOE96" s="11"/>
      <c r="NOF96" s="11"/>
      <c r="NOG96" s="11"/>
      <c r="NOH96" s="11"/>
      <c r="NOI96" s="11"/>
      <c r="NOJ96" s="11"/>
      <c r="NOK96" s="11"/>
      <c r="NOL96" s="11"/>
      <c r="NOM96" s="11"/>
      <c r="NON96" s="11"/>
      <c r="NOO96" s="11"/>
      <c r="NOP96" s="11"/>
      <c r="NOQ96" s="11"/>
      <c r="NOR96" s="11"/>
      <c r="NOS96" s="11"/>
      <c r="NOT96" s="11"/>
      <c r="NOU96" s="11"/>
      <c r="NOV96" s="11"/>
      <c r="NOW96" s="11"/>
      <c r="NOX96" s="11"/>
      <c r="NOY96" s="11"/>
      <c r="NOZ96" s="11"/>
      <c r="NPA96" s="11"/>
      <c r="NPB96" s="11"/>
      <c r="NPC96" s="11"/>
      <c r="NPD96" s="11"/>
      <c r="NPE96" s="11"/>
      <c r="NPF96" s="11"/>
      <c r="NPG96" s="11"/>
      <c r="NPH96" s="11"/>
      <c r="NPI96" s="11"/>
      <c r="NPJ96" s="11"/>
      <c r="NPK96" s="11"/>
      <c r="NPL96" s="11"/>
      <c r="NPM96" s="11"/>
      <c r="NPN96" s="11"/>
      <c r="NPO96" s="11"/>
      <c r="NPP96" s="11"/>
      <c r="NPQ96" s="11"/>
      <c r="NPR96" s="11"/>
      <c r="NPS96" s="11"/>
      <c r="NPT96" s="11"/>
      <c r="NPU96" s="11"/>
      <c r="NPV96" s="11"/>
      <c r="NPW96" s="11"/>
      <c r="NPX96" s="11"/>
      <c r="NPY96" s="11"/>
      <c r="NPZ96" s="11"/>
      <c r="NQA96" s="11"/>
      <c r="NQB96" s="11"/>
      <c r="NQC96" s="11"/>
      <c r="NQD96" s="11"/>
      <c r="NQE96" s="11"/>
      <c r="NQF96" s="11"/>
      <c r="NQG96" s="11"/>
      <c r="NQH96" s="11"/>
      <c r="NQI96" s="11"/>
      <c r="NQJ96" s="11"/>
      <c r="NQK96" s="11"/>
      <c r="NQL96" s="11"/>
      <c r="NQM96" s="11"/>
      <c r="NQN96" s="11"/>
      <c r="NQO96" s="11"/>
      <c r="NQP96" s="11"/>
      <c r="NQQ96" s="11"/>
      <c r="NQR96" s="11"/>
      <c r="NQS96" s="11"/>
      <c r="NQT96" s="11"/>
      <c r="NQU96" s="11"/>
      <c r="NQV96" s="11"/>
      <c r="NQW96" s="11"/>
      <c r="NQX96" s="11"/>
      <c r="NQY96" s="11"/>
      <c r="NQZ96" s="11"/>
      <c r="NRA96" s="11"/>
      <c r="NRB96" s="11"/>
      <c r="NRC96" s="11"/>
      <c r="NRD96" s="11"/>
      <c r="NRE96" s="11"/>
      <c r="NRF96" s="11"/>
      <c r="NRG96" s="11"/>
      <c r="NRH96" s="11"/>
      <c r="NRI96" s="11"/>
      <c r="NRJ96" s="11"/>
      <c r="NRK96" s="11"/>
      <c r="NRL96" s="11"/>
      <c r="NRM96" s="11"/>
      <c r="NRN96" s="11"/>
      <c r="NRO96" s="11"/>
      <c r="NRP96" s="11"/>
      <c r="NRQ96" s="11"/>
      <c r="NRR96" s="11"/>
      <c r="NRS96" s="11"/>
      <c r="NRT96" s="11"/>
      <c r="NRU96" s="11"/>
      <c r="NRV96" s="11"/>
      <c r="NRW96" s="11"/>
      <c r="NRX96" s="11"/>
      <c r="NRY96" s="11"/>
      <c r="NRZ96" s="11"/>
      <c r="NSA96" s="11"/>
      <c r="NSB96" s="11"/>
      <c r="NSC96" s="11"/>
      <c r="NSD96" s="11"/>
      <c r="NSE96" s="11"/>
      <c r="NSF96" s="11"/>
      <c r="NSG96" s="11"/>
      <c r="NSH96" s="11"/>
      <c r="NSI96" s="11"/>
      <c r="NSJ96" s="11"/>
      <c r="NSK96" s="11"/>
      <c r="NSL96" s="11"/>
      <c r="NSM96" s="11"/>
      <c r="NSN96" s="11"/>
      <c r="NSO96" s="11"/>
      <c r="NSP96" s="11"/>
      <c r="NSQ96" s="11"/>
      <c r="NSR96" s="11"/>
      <c r="NSS96" s="11"/>
      <c r="NST96" s="11"/>
      <c r="NSU96" s="11"/>
      <c r="NSV96" s="11"/>
      <c r="NSW96" s="11"/>
      <c r="NSX96" s="11"/>
      <c r="NSY96" s="11"/>
      <c r="NSZ96" s="11"/>
      <c r="NTA96" s="11"/>
      <c r="NTB96" s="11"/>
      <c r="NTC96" s="11"/>
      <c r="NTD96" s="11"/>
      <c r="NTE96" s="11"/>
      <c r="NTF96" s="11"/>
      <c r="NTG96" s="11"/>
      <c r="NTH96" s="11"/>
      <c r="NTI96" s="11"/>
      <c r="NTJ96" s="11"/>
      <c r="NTK96" s="11"/>
      <c r="NTL96" s="11"/>
      <c r="NTM96" s="11"/>
      <c r="NTN96" s="11"/>
      <c r="NTO96" s="11"/>
      <c r="NTP96" s="11"/>
      <c r="NTQ96" s="11"/>
      <c r="NTR96" s="11"/>
      <c r="NTS96" s="11"/>
      <c r="NTT96" s="11"/>
      <c r="NTU96" s="11"/>
      <c r="NTV96" s="11"/>
      <c r="NTW96" s="11"/>
      <c r="NTX96" s="11"/>
      <c r="NTY96" s="11"/>
      <c r="NTZ96" s="11"/>
      <c r="NUA96" s="11"/>
      <c r="NUB96" s="11"/>
      <c r="NUC96" s="11"/>
      <c r="NUD96" s="11"/>
      <c r="NUE96" s="11"/>
      <c r="NUF96" s="11"/>
      <c r="NUG96" s="11"/>
      <c r="NUH96" s="11"/>
      <c r="NUI96" s="11"/>
      <c r="NUJ96" s="11"/>
      <c r="NUK96" s="11"/>
      <c r="NUL96" s="11"/>
      <c r="NUM96" s="11"/>
      <c r="NUN96" s="11"/>
      <c r="NUO96" s="11"/>
      <c r="NUP96" s="11"/>
      <c r="NUQ96" s="11"/>
      <c r="NUR96" s="11"/>
      <c r="NUS96" s="11"/>
      <c r="NUT96" s="11"/>
      <c r="NUU96" s="11"/>
      <c r="NUV96" s="11"/>
      <c r="NUW96" s="11"/>
      <c r="NUX96" s="11"/>
      <c r="NUY96" s="11"/>
      <c r="NUZ96" s="11"/>
      <c r="NVA96" s="11"/>
      <c r="NVB96" s="11"/>
      <c r="NVC96" s="11"/>
      <c r="NVD96" s="11"/>
      <c r="NVE96" s="11"/>
      <c r="NVF96" s="11"/>
      <c r="NVG96" s="11"/>
      <c r="NVH96" s="11"/>
      <c r="NVI96" s="11"/>
      <c r="NVJ96" s="11"/>
      <c r="NVK96" s="11"/>
      <c r="NVL96" s="11"/>
      <c r="NVM96" s="11"/>
      <c r="NVN96" s="11"/>
      <c r="NVO96" s="11"/>
      <c r="NVP96" s="11"/>
      <c r="NVQ96" s="11"/>
      <c r="NVR96" s="11"/>
      <c r="NVS96" s="11"/>
      <c r="NVT96" s="11"/>
      <c r="NVU96" s="11"/>
      <c r="NVV96" s="11"/>
      <c r="NVW96" s="11"/>
      <c r="NVX96" s="11"/>
      <c r="NVY96" s="11"/>
      <c r="NVZ96" s="11"/>
      <c r="NWA96" s="11"/>
      <c r="NWB96" s="11"/>
      <c r="NWC96" s="11"/>
      <c r="NWD96" s="11"/>
      <c r="NWE96" s="11"/>
      <c r="NWF96" s="11"/>
      <c r="NWG96" s="11"/>
      <c r="NWH96" s="11"/>
      <c r="NWI96" s="11"/>
      <c r="NWJ96" s="11"/>
      <c r="NWK96" s="11"/>
      <c r="NWL96" s="11"/>
      <c r="NWM96" s="11"/>
      <c r="NWN96" s="11"/>
      <c r="NWO96" s="11"/>
      <c r="NWP96" s="11"/>
      <c r="NWQ96" s="11"/>
      <c r="NWR96" s="11"/>
      <c r="NWS96" s="11"/>
      <c r="NWT96" s="11"/>
      <c r="NWU96" s="11"/>
      <c r="NWV96" s="11"/>
      <c r="NWW96" s="11"/>
      <c r="NWX96" s="11"/>
      <c r="NWY96" s="11"/>
      <c r="NWZ96" s="11"/>
      <c r="NXA96" s="11"/>
      <c r="NXB96" s="11"/>
      <c r="NXC96" s="11"/>
      <c r="NXD96" s="11"/>
      <c r="NXE96" s="11"/>
      <c r="NXF96" s="11"/>
      <c r="NXG96" s="11"/>
      <c r="NXH96" s="11"/>
      <c r="NXI96" s="11"/>
      <c r="NXJ96" s="11"/>
      <c r="NXK96" s="11"/>
      <c r="NXL96" s="11"/>
      <c r="NXM96" s="11"/>
      <c r="NXN96" s="11"/>
      <c r="NXO96" s="11"/>
      <c r="NXP96" s="11"/>
      <c r="NXQ96" s="11"/>
      <c r="NXR96" s="11"/>
      <c r="NXS96" s="11"/>
      <c r="NXT96" s="11"/>
      <c r="NXU96" s="11"/>
      <c r="NXV96" s="11"/>
      <c r="NXW96" s="11"/>
      <c r="NXX96" s="11"/>
      <c r="NXY96" s="11"/>
      <c r="NXZ96" s="11"/>
      <c r="NYA96" s="11"/>
      <c r="NYB96" s="11"/>
      <c r="NYC96" s="11"/>
      <c r="NYD96" s="11"/>
      <c r="NYE96" s="11"/>
      <c r="NYF96" s="11"/>
      <c r="NYG96" s="11"/>
      <c r="NYH96" s="11"/>
      <c r="NYI96" s="11"/>
      <c r="NYJ96" s="11"/>
      <c r="NYK96" s="11"/>
      <c r="NYL96" s="11"/>
      <c r="NYM96" s="11"/>
      <c r="NYN96" s="11"/>
      <c r="NYO96" s="11"/>
      <c r="NYP96" s="11"/>
      <c r="NYQ96" s="11"/>
      <c r="NYR96" s="11"/>
      <c r="NYS96" s="11"/>
      <c r="NYT96" s="11"/>
      <c r="NYU96" s="11"/>
      <c r="NYV96" s="11"/>
      <c r="NYW96" s="11"/>
      <c r="NYX96" s="11"/>
      <c r="NYY96" s="11"/>
      <c r="NYZ96" s="11"/>
      <c r="NZA96" s="11"/>
      <c r="NZB96" s="11"/>
      <c r="NZC96" s="11"/>
      <c r="NZD96" s="11"/>
      <c r="NZE96" s="11"/>
      <c r="NZF96" s="11"/>
      <c r="NZG96" s="11"/>
      <c r="NZH96" s="11"/>
      <c r="NZI96" s="11"/>
      <c r="NZJ96" s="11"/>
      <c r="NZK96" s="11"/>
      <c r="NZL96" s="11"/>
      <c r="NZM96" s="11"/>
      <c r="NZN96" s="11"/>
      <c r="NZO96" s="11"/>
      <c r="NZP96" s="11"/>
      <c r="NZQ96" s="11"/>
      <c r="NZR96" s="11"/>
      <c r="NZS96" s="11"/>
      <c r="NZT96" s="11"/>
      <c r="NZU96" s="11"/>
      <c r="NZV96" s="11"/>
      <c r="NZW96" s="11"/>
      <c r="NZX96" s="11"/>
      <c r="NZY96" s="11"/>
      <c r="NZZ96" s="11"/>
      <c r="OAA96" s="11"/>
      <c r="OAB96" s="11"/>
      <c r="OAC96" s="11"/>
      <c r="OAD96" s="11"/>
      <c r="OAE96" s="11"/>
      <c r="OAF96" s="11"/>
      <c r="OAG96" s="11"/>
      <c r="OAH96" s="11"/>
      <c r="OAI96" s="11"/>
      <c r="OAJ96" s="11"/>
      <c r="OAK96" s="11"/>
      <c r="OAL96" s="11"/>
      <c r="OAM96" s="11"/>
      <c r="OAN96" s="11"/>
      <c r="OAO96" s="11"/>
      <c r="OAP96" s="11"/>
      <c r="OAQ96" s="11"/>
      <c r="OAR96" s="11"/>
      <c r="OAS96" s="11"/>
      <c r="OAT96" s="11"/>
      <c r="OAU96" s="11"/>
      <c r="OAV96" s="11"/>
      <c r="OAW96" s="11"/>
      <c r="OAX96" s="11"/>
      <c r="OAY96" s="11"/>
      <c r="OAZ96" s="11"/>
      <c r="OBA96" s="11"/>
      <c r="OBB96" s="11"/>
      <c r="OBC96" s="11"/>
      <c r="OBD96" s="11"/>
      <c r="OBE96" s="11"/>
      <c r="OBF96" s="11"/>
      <c r="OBG96" s="11"/>
      <c r="OBH96" s="11"/>
      <c r="OBI96" s="11"/>
      <c r="OBJ96" s="11"/>
      <c r="OBK96" s="11"/>
      <c r="OBL96" s="11"/>
      <c r="OBM96" s="11"/>
      <c r="OBN96" s="11"/>
      <c r="OBO96" s="11"/>
      <c r="OBP96" s="11"/>
      <c r="OBQ96" s="11"/>
      <c r="OBR96" s="11"/>
      <c r="OBS96" s="11"/>
      <c r="OBT96" s="11"/>
      <c r="OBU96" s="11"/>
      <c r="OBV96" s="11"/>
      <c r="OBW96" s="11"/>
      <c r="OBX96" s="11"/>
      <c r="OBY96" s="11"/>
      <c r="OBZ96" s="11"/>
      <c r="OCA96" s="11"/>
      <c r="OCB96" s="11"/>
      <c r="OCC96" s="11"/>
      <c r="OCD96" s="11"/>
      <c r="OCE96" s="11"/>
      <c r="OCF96" s="11"/>
      <c r="OCG96" s="11"/>
      <c r="OCH96" s="11"/>
      <c r="OCI96" s="11"/>
      <c r="OCJ96" s="11"/>
      <c r="OCK96" s="11"/>
      <c r="OCL96" s="11"/>
      <c r="OCM96" s="11"/>
      <c r="OCN96" s="11"/>
      <c r="OCO96" s="11"/>
      <c r="OCP96" s="11"/>
      <c r="OCQ96" s="11"/>
      <c r="OCR96" s="11"/>
      <c r="OCS96" s="11"/>
      <c r="OCT96" s="11"/>
      <c r="OCU96" s="11"/>
      <c r="OCV96" s="11"/>
      <c r="OCW96" s="11"/>
      <c r="OCX96" s="11"/>
      <c r="OCY96" s="11"/>
      <c r="OCZ96" s="11"/>
      <c r="ODA96" s="11"/>
      <c r="ODB96" s="11"/>
      <c r="ODC96" s="11"/>
      <c r="ODD96" s="11"/>
      <c r="ODE96" s="11"/>
      <c r="ODF96" s="11"/>
      <c r="ODG96" s="11"/>
      <c r="ODH96" s="11"/>
      <c r="ODI96" s="11"/>
      <c r="ODJ96" s="11"/>
      <c r="ODK96" s="11"/>
      <c r="ODL96" s="11"/>
      <c r="ODM96" s="11"/>
      <c r="ODN96" s="11"/>
      <c r="ODO96" s="11"/>
      <c r="ODP96" s="11"/>
      <c r="ODQ96" s="11"/>
      <c r="ODR96" s="11"/>
      <c r="ODS96" s="11"/>
      <c r="ODT96" s="11"/>
      <c r="ODU96" s="11"/>
      <c r="ODV96" s="11"/>
      <c r="ODW96" s="11"/>
      <c r="ODX96" s="11"/>
      <c r="ODY96" s="11"/>
      <c r="ODZ96" s="11"/>
      <c r="OEA96" s="11"/>
      <c r="OEB96" s="11"/>
      <c r="OEC96" s="11"/>
      <c r="OED96" s="11"/>
      <c r="OEE96" s="11"/>
      <c r="OEF96" s="11"/>
      <c r="OEG96" s="11"/>
      <c r="OEH96" s="11"/>
      <c r="OEI96" s="11"/>
      <c r="OEJ96" s="11"/>
      <c r="OEK96" s="11"/>
      <c r="OEL96" s="11"/>
      <c r="OEM96" s="11"/>
      <c r="OEN96" s="11"/>
      <c r="OEO96" s="11"/>
      <c r="OEP96" s="11"/>
      <c r="OEQ96" s="11"/>
      <c r="OER96" s="11"/>
      <c r="OES96" s="11"/>
      <c r="OET96" s="11"/>
      <c r="OEU96" s="11"/>
      <c r="OEV96" s="11"/>
      <c r="OEW96" s="11"/>
      <c r="OEX96" s="11"/>
      <c r="OEY96" s="11"/>
      <c r="OEZ96" s="11"/>
      <c r="OFA96" s="11"/>
      <c r="OFB96" s="11"/>
      <c r="OFC96" s="11"/>
      <c r="OFD96" s="11"/>
      <c r="OFE96" s="11"/>
      <c r="OFF96" s="11"/>
      <c r="OFG96" s="11"/>
      <c r="OFH96" s="11"/>
      <c r="OFI96" s="11"/>
      <c r="OFJ96" s="11"/>
      <c r="OFK96" s="11"/>
      <c r="OFL96" s="11"/>
      <c r="OFM96" s="11"/>
      <c r="OFN96" s="11"/>
      <c r="OFO96" s="11"/>
      <c r="OFP96" s="11"/>
      <c r="OFQ96" s="11"/>
      <c r="OFR96" s="11"/>
      <c r="OFS96" s="11"/>
      <c r="OFT96" s="11"/>
      <c r="OFU96" s="11"/>
      <c r="OFV96" s="11"/>
      <c r="OFW96" s="11"/>
      <c r="OFX96" s="11"/>
      <c r="OFY96" s="11"/>
      <c r="OFZ96" s="11"/>
      <c r="OGA96" s="11"/>
      <c r="OGB96" s="11"/>
      <c r="OGC96" s="11"/>
      <c r="OGD96" s="11"/>
      <c r="OGE96" s="11"/>
      <c r="OGF96" s="11"/>
      <c r="OGG96" s="11"/>
      <c r="OGH96" s="11"/>
      <c r="OGI96" s="11"/>
      <c r="OGJ96" s="11"/>
      <c r="OGK96" s="11"/>
      <c r="OGL96" s="11"/>
      <c r="OGM96" s="11"/>
      <c r="OGN96" s="11"/>
      <c r="OGO96" s="11"/>
      <c r="OGP96" s="11"/>
      <c r="OGQ96" s="11"/>
      <c r="OGR96" s="11"/>
      <c r="OGS96" s="11"/>
      <c r="OGT96" s="11"/>
      <c r="OGU96" s="11"/>
      <c r="OGV96" s="11"/>
      <c r="OGW96" s="11"/>
      <c r="OGX96" s="11"/>
      <c r="OGY96" s="11"/>
      <c r="OGZ96" s="11"/>
      <c r="OHA96" s="11"/>
      <c r="OHB96" s="11"/>
      <c r="OHC96" s="11"/>
      <c r="OHD96" s="11"/>
      <c r="OHE96" s="11"/>
      <c r="OHF96" s="11"/>
      <c r="OHG96" s="11"/>
      <c r="OHH96" s="11"/>
      <c r="OHI96" s="11"/>
      <c r="OHJ96" s="11"/>
      <c r="OHK96" s="11"/>
      <c r="OHL96" s="11"/>
      <c r="OHM96" s="11"/>
      <c r="OHN96" s="11"/>
      <c r="OHO96" s="11"/>
      <c r="OHP96" s="11"/>
      <c r="OHQ96" s="11"/>
      <c r="OHR96" s="11"/>
      <c r="OHS96" s="11"/>
      <c r="OHT96" s="11"/>
      <c r="OHU96" s="11"/>
      <c r="OHV96" s="11"/>
      <c r="OHW96" s="11"/>
      <c r="OHX96" s="11"/>
      <c r="OHY96" s="11"/>
      <c r="OHZ96" s="11"/>
      <c r="OIA96" s="11"/>
      <c r="OIB96" s="11"/>
      <c r="OIC96" s="11"/>
      <c r="OID96" s="11"/>
      <c r="OIE96" s="11"/>
      <c r="OIF96" s="11"/>
      <c r="OIG96" s="11"/>
      <c r="OIH96" s="11"/>
      <c r="OII96" s="11"/>
      <c r="OIJ96" s="11"/>
      <c r="OIK96" s="11"/>
      <c r="OIL96" s="11"/>
      <c r="OIM96" s="11"/>
      <c r="OIN96" s="11"/>
      <c r="OIO96" s="11"/>
      <c r="OIP96" s="11"/>
      <c r="OIQ96" s="11"/>
      <c r="OIR96" s="11"/>
      <c r="OIS96" s="11"/>
      <c r="OIT96" s="11"/>
      <c r="OIU96" s="11"/>
      <c r="OIV96" s="11"/>
      <c r="OIW96" s="11"/>
      <c r="OIX96" s="11"/>
      <c r="OIY96" s="11"/>
      <c r="OIZ96" s="11"/>
      <c r="OJA96" s="11"/>
      <c r="OJB96" s="11"/>
      <c r="OJC96" s="11"/>
      <c r="OJD96" s="11"/>
      <c r="OJE96" s="11"/>
      <c r="OJF96" s="11"/>
      <c r="OJG96" s="11"/>
      <c r="OJH96" s="11"/>
      <c r="OJI96" s="11"/>
      <c r="OJJ96" s="11"/>
      <c r="OJK96" s="11"/>
      <c r="OJL96" s="11"/>
      <c r="OJM96" s="11"/>
      <c r="OJN96" s="11"/>
      <c r="OJO96" s="11"/>
      <c r="OJP96" s="11"/>
      <c r="OJQ96" s="11"/>
      <c r="OJR96" s="11"/>
      <c r="OJS96" s="11"/>
      <c r="OJT96" s="11"/>
      <c r="OJU96" s="11"/>
      <c r="OJV96" s="11"/>
      <c r="OJW96" s="11"/>
      <c r="OJX96" s="11"/>
      <c r="OJY96" s="11"/>
      <c r="OJZ96" s="11"/>
      <c r="OKA96" s="11"/>
      <c r="OKB96" s="11"/>
      <c r="OKC96" s="11"/>
      <c r="OKD96" s="11"/>
      <c r="OKE96" s="11"/>
      <c r="OKF96" s="11"/>
      <c r="OKG96" s="11"/>
      <c r="OKH96" s="11"/>
      <c r="OKI96" s="11"/>
      <c r="OKJ96" s="11"/>
      <c r="OKK96" s="11"/>
      <c r="OKL96" s="11"/>
      <c r="OKM96" s="11"/>
      <c r="OKN96" s="11"/>
      <c r="OKO96" s="11"/>
      <c r="OKP96" s="11"/>
      <c r="OKQ96" s="11"/>
      <c r="OKR96" s="11"/>
      <c r="OKS96" s="11"/>
      <c r="OKT96" s="11"/>
      <c r="OKU96" s="11"/>
      <c r="OKV96" s="11"/>
      <c r="OKW96" s="11"/>
      <c r="OKX96" s="11"/>
      <c r="OKY96" s="11"/>
      <c r="OKZ96" s="11"/>
      <c r="OLA96" s="11"/>
      <c r="OLB96" s="11"/>
      <c r="OLC96" s="11"/>
      <c r="OLD96" s="11"/>
      <c r="OLE96" s="11"/>
      <c r="OLF96" s="11"/>
      <c r="OLG96" s="11"/>
      <c r="OLH96" s="11"/>
      <c r="OLI96" s="11"/>
      <c r="OLJ96" s="11"/>
      <c r="OLK96" s="11"/>
      <c r="OLL96" s="11"/>
      <c r="OLM96" s="11"/>
      <c r="OLN96" s="11"/>
      <c r="OLO96" s="11"/>
      <c r="OLP96" s="11"/>
      <c r="OLQ96" s="11"/>
      <c r="OLR96" s="11"/>
      <c r="OLS96" s="11"/>
      <c r="OLT96" s="11"/>
      <c r="OLU96" s="11"/>
      <c r="OLV96" s="11"/>
      <c r="OLW96" s="11"/>
      <c r="OLX96" s="11"/>
      <c r="OLY96" s="11"/>
      <c r="OLZ96" s="11"/>
      <c r="OMA96" s="11"/>
      <c r="OMB96" s="11"/>
      <c r="OMC96" s="11"/>
      <c r="OMD96" s="11"/>
      <c r="OME96" s="11"/>
      <c r="OMF96" s="11"/>
      <c r="OMG96" s="11"/>
      <c r="OMH96" s="11"/>
      <c r="OMI96" s="11"/>
      <c r="OMJ96" s="11"/>
      <c r="OMK96" s="11"/>
      <c r="OML96" s="11"/>
      <c r="OMM96" s="11"/>
      <c r="OMN96" s="11"/>
      <c r="OMO96" s="11"/>
      <c r="OMP96" s="11"/>
      <c r="OMQ96" s="11"/>
      <c r="OMR96" s="11"/>
      <c r="OMS96" s="11"/>
      <c r="OMT96" s="11"/>
      <c r="OMU96" s="11"/>
      <c r="OMV96" s="11"/>
      <c r="OMW96" s="11"/>
      <c r="OMX96" s="11"/>
      <c r="OMY96" s="11"/>
      <c r="OMZ96" s="11"/>
      <c r="ONA96" s="11"/>
      <c r="ONB96" s="11"/>
      <c r="ONC96" s="11"/>
      <c r="OND96" s="11"/>
      <c r="ONE96" s="11"/>
      <c r="ONF96" s="11"/>
      <c r="ONG96" s="11"/>
      <c r="ONH96" s="11"/>
      <c r="ONI96" s="11"/>
      <c r="ONJ96" s="11"/>
      <c r="ONK96" s="11"/>
      <c r="ONL96" s="11"/>
      <c r="ONM96" s="11"/>
      <c r="ONN96" s="11"/>
      <c r="ONO96" s="11"/>
      <c r="ONP96" s="11"/>
      <c r="ONQ96" s="11"/>
      <c r="ONR96" s="11"/>
      <c r="ONS96" s="11"/>
      <c r="ONT96" s="11"/>
      <c r="ONU96" s="11"/>
      <c r="ONV96" s="11"/>
      <c r="ONW96" s="11"/>
      <c r="ONX96" s="11"/>
      <c r="ONY96" s="11"/>
      <c r="ONZ96" s="11"/>
      <c r="OOA96" s="11"/>
      <c r="OOB96" s="11"/>
      <c r="OOC96" s="11"/>
      <c r="OOD96" s="11"/>
      <c r="OOE96" s="11"/>
      <c r="OOF96" s="11"/>
      <c r="OOG96" s="11"/>
      <c r="OOH96" s="11"/>
      <c r="OOI96" s="11"/>
      <c r="OOJ96" s="11"/>
      <c r="OOK96" s="11"/>
      <c r="OOL96" s="11"/>
      <c r="OOM96" s="11"/>
      <c r="OON96" s="11"/>
      <c r="OOO96" s="11"/>
      <c r="OOP96" s="11"/>
      <c r="OOQ96" s="11"/>
      <c r="OOR96" s="11"/>
      <c r="OOS96" s="11"/>
      <c r="OOT96" s="11"/>
      <c r="OOU96" s="11"/>
      <c r="OOV96" s="11"/>
      <c r="OOW96" s="11"/>
      <c r="OOX96" s="11"/>
      <c r="OOY96" s="11"/>
      <c r="OOZ96" s="11"/>
      <c r="OPA96" s="11"/>
      <c r="OPB96" s="11"/>
      <c r="OPC96" s="11"/>
      <c r="OPD96" s="11"/>
      <c r="OPE96" s="11"/>
      <c r="OPF96" s="11"/>
      <c r="OPG96" s="11"/>
      <c r="OPH96" s="11"/>
      <c r="OPI96" s="11"/>
      <c r="OPJ96" s="11"/>
      <c r="OPK96" s="11"/>
      <c r="OPL96" s="11"/>
      <c r="OPM96" s="11"/>
      <c r="OPN96" s="11"/>
      <c r="OPO96" s="11"/>
      <c r="OPP96" s="11"/>
      <c r="OPQ96" s="11"/>
      <c r="OPR96" s="11"/>
      <c r="OPS96" s="11"/>
      <c r="OPT96" s="11"/>
      <c r="OPU96" s="11"/>
      <c r="OPV96" s="11"/>
      <c r="OPW96" s="11"/>
      <c r="OPX96" s="11"/>
      <c r="OPY96" s="11"/>
      <c r="OPZ96" s="11"/>
      <c r="OQA96" s="11"/>
      <c r="OQB96" s="11"/>
      <c r="OQC96" s="11"/>
      <c r="OQD96" s="11"/>
      <c r="OQE96" s="11"/>
      <c r="OQF96" s="11"/>
      <c r="OQG96" s="11"/>
      <c r="OQH96" s="11"/>
      <c r="OQI96" s="11"/>
      <c r="OQJ96" s="11"/>
      <c r="OQK96" s="11"/>
      <c r="OQL96" s="11"/>
      <c r="OQM96" s="11"/>
      <c r="OQN96" s="11"/>
      <c r="OQO96" s="11"/>
      <c r="OQP96" s="11"/>
      <c r="OQQ96" s="11"/>
      <c r="OQR96" s="11"/>
      <c r="OQS96" s="11"/>
      <c r="OQT96" s="11"/>
      <c r="OQU96" s="11"/>
      <c r="OQV96" s="11"/>
      <c r="OQW96" s="11"/>
      <c r="OQX96" s="11"/>
      <c r="OQY96" s="11"/>
      <c r="OQZ96" s="11"/>
      <c r="ORA96" s="11"/>
      <c r="ORB96" s="11"/>
      <c r="ORC96" s="11"/>
      <c r="ORD96" s="11"/>
      <c r="ORE96" s="11"/>
      <c r="ORF96" s="11"/>
      <c r="ORG96" s="11"/>
      <c r="ORH96" s="11"/>
      <c r="ORI96" s="11"/>
      <c r="ORJ96" s="11"/>
      <c r="ORK96" s="11"/>
      <c r="ORL96" s="11"/>
      <c r="ORM96" s="11"/>
      <c r="ORN96" s="11"/>
      <c r="ORO96" s="11"/>
      <c r="ORP96" s="11"/>
      <c r="ORQ96" s="11"/>
      <c r="ORR96" s="11"/>
      <c r="ORS96" s="11"/>
      <c r="ORT96" s="11"/>
      <c r="ORU96" s="11"/>
      <c r="ORV96" s="11"/>
      <c r="ORW96" s="11"/>
      <c r="ORX96" s="11"/>
      <c r="ORY96" s="11"/>
      <c r="ORZ96" s="11"/>
      <c r="OSA96" s="11"/>
      <c r="OSB96" s="11"/>
      <c r="OSC96" s="11"/>
      <c r="OSD96" s="11"/>
      <c r="OSE96" s="11"/>
      <c r="OSF96" s="11"/>
      <c r="OSG96" s="11"/>
      <c r="OSH96" s="11"/>
      <c r="OSI96" s="11"/>
      <c r="OSJ96" s="11"/>
      <c r="OSK96" s="11"/>
      <c r="OSL96" s="11"/>
      <c r="OSM96" s="11"/>
      <c r="OSN96" s="11"/>
      <c r="OSO96" s="11"/>
      <c r="OSP96" s="11"/>
      <c r="OSQ96" s="11"/>
      <c r="OSR96" s="11"/>
      <c r="OSS96" s="11"/>
      <c r="OST96" s="11"/>
      <c r="OSU96" s="11"/>
      <c r="OSV96" s="11"/>
      <c r="OSW96" s="11"/>
      <c r="OSX96" s="11"/>
      <c r="OSY96" s="11"/>
      <c r="OSZ96" s="11"/>
      <c r="OTA96" s="11"/>
      <c r="OTB96" s="11"/>
      <c r="OTC96" s="11"/>
      <c r="OTD96" s="11"/>
      <c r="OTE96" s="11"/>
      <c r="OTF96" s="11"/>
      <c r="OTG96" s="11"/>
      <c r="OTH96" s="11"/>
      <c r="OTI96" s="11"/>
      <c r="OTJ96" s="11"/>
      <c r="OTK96" s="11"/>
      <c r="OTL96" s="11"/>
      <c r="OTM96" s="11"/>
      <c r="OTN96" s="11"/>
      <c r="OTO96" s="11"/>
      <c r="OTP96" s="11"/>
      <c r="OTQ96" s="11"/>
      <c r="OTR96" s="11"/>
      <c r="OTS96" s="11"/>
      <c r="OTT96" s="11"/>
      <c r="OTU96" s="11"/>
      <c r="OTV96" s="11"/>
      <c r="OTW96" s="11"/>
      <c r="OTX96" s="11"/>
      <c r="OTY96" s="11"/>
      <c r="OTZ96" s="11"/>
      <c r="OUA96" s="11"/>
      <c r="OUB96" s="11"/>
      <c r="OUC96" s="11"/>
      <c r="OUD96" s="11"/>
      <c r="OUE96" s="11"/>
      <c r="OUF96" s="11"/>
      <c r="OUG96" s="11"/>
      <c r="OUH96" s="11"/>
      <c r="OUI96" s="11"/>
      <c r="OUJ96" s="11"/>
      <c r="OUK96" s="11"/>
      <c r="OUL96" s="11"/>
      <c r="OUM96" s="11"/>
      <c r="OUN96" s="11"/>
      <c r="OUO96" s="11"/>
      <c r="OUP96" s="11"/>
      <c r="OUQ96" s="11"/>
      <c r="OUR96" s="11"/>
      <c r="OUS96" s="11"/>
      <c r="OUT96" s="11"/>
      <c r="OUU96" s="11"/>
      <c r="OUV96" s="11"/>
      <c r="OUW96" s="11"/>
      <c r="OUX96" s="11"/>
      <c r="OUY96" s="11"/>
      <c r="OUZ96" s="11"/>
      <c r="OVA96" s="11"/>
      <c r="OVB96" s="11"/>
      <c r="OVC96" s="11"/>
      <c r="OVD96" s="11"/>
      <c r="OVE96" s="11"/>
      <c r="OVF96" s="11"/>
      <c r="OVG96" s="11"/>
      <c r="OVH96" s="11"/>
      <c r="OVI96" s="11"/>
      <c r="OVJ96" s="11"/>
      <c r="OVK96" s="11"/>
      <c r="OVL96" s="11"/>
      <c r="OVM96" s="11"/>
      <c r="OVN96" s="11"/>
      <c r="OVO96" s="11"/>
      <c r="OVP96" s="11"/>
      <c r="OVQ96" s="11"/>
      <c r="OVR96" s="11"/>
      <c r="OVS96" s="11"/>
      <c r="OVT96" s="11"/>
      <c r="OVU96" s="11"/>
      <c r="OVV96" s="11"/>
      <c r="OVW96" s="11"/>
      <c r="OVX96" s="11"/>
      <c r="OVY96" s="11"/>
      <c r="OVZ96" s="11"/>
      <c r="OWA96" s="11"/>
      <c r="OWB96" s="11"/>
      <c r="OWC96" s="11"/>
      <c r="OWD96" s="11"/>
      <c r="OWE96" s="11"/>
      <c r="OWF96" s="11"/>
      <c r="OWG96" s="11"/>
      <c r="OWH96" s="11"/>
      <c r="OWI96" s="11"/>
      <c r="OWJ96" s="11"/>
      <c r="OWK96" s="11"/>
      <c r="OWL96" s="11"/>
      <c r="OWM96" s="11"/>
      <c r="OWN96" s="11"/>
      <c r="OWO96" s="11"/>
      <c r="OWP96" s="11"/>
      <c r="OWQ96" s="11"/>
      <c r="OWR96" s="11"/>
      <c r="OWS96" s="11"/>
      <c r="OWT96" s="11"/>
      <c r="OWU96" s="11"/>
      <c r="OWV96" s="11"/>
      <c r="OWW96" s="11"/>
      <c r="OWX96" s="11"/>
      <c r="OWY96" s="11"/>
      <c r="OWZ96" s="11"/>
      <c r="OXA96" s="11"/>
      <c r="OXB96" s="11"/>
      <c r="OXC96" s="11"/>
      <c r="OXD96" s="11"/>
      <c r="OXE96" s="11"/>
      <c r="OXF96" s="11"/>
      <c r="OXG96" s="11"/>
      <c r="OXH96" s="11"/>
      <c r="OXI96" s="11"/>
      <c r="OXJ96" s="11"/>
      <c r="OXK96" s="11"/>
      <c r="OXL96" s="11"/>
      <c r="OXM96" s="11"/>
      <c r="OXN96" s="11"/>
      <c r="OXO96" s="11"/>
      <c r="OXP96" s="11"/>
      <c r="OXQ96" s="11"/>
      <c r="OXR96" s="11"/>
      <c r="OXS96" s="11"/>
      <c r="OXT96" s="11"/>
      <c r="OXU96" s="11"/>
      <c r="OXV96" s="11"/>
      <c r="OXW96" s="11"/>
      <c r="OXX96" s="11"/>
      <c r="OXY96" s="11"/>
      <c r="OXZ96" s="11"/>
      <c r="OYA96" s="11"/>
      <c r="OYB96" s="11"/>
      <c r="OYC96" s="11"/>
      <c r="OYD96" s="11"/>
      <c r="OYE96" s="11"/>
      <c r="OYF96" s="11"/>
      <c r="OYG96" s="11"/>
      <c r="OYH96" s="11"/>
      <c r="OYI96" s="11"/>
      <c r="OYJ96" s="11"/>
      <c r="OYK96" s="11"/>
      <c r="OYL96" s="11"/>
      <c r="OYM96" s="11"/>
      <c r="OYN96" s="11"/>
      <c r="OYO96" s="11"/>
      <c r="OYP96" s="11"/>
      <c r="OYQ96" s="11"/>
      <c r="OYR96" s="11"/>
      <c r="OYS96" s="11"/>
      <c r="OYT96" s="11"/>
      <c r="OYU96" s="11"/>
      <c r="OYV96" s="11"/>
      <c r="OYW96" s="11"/>
      <c r="OYX96" s="11"/>
      <c r="OYY96" s="11"/>
      <c r="OYZ96" s="11"/>
      <c r="OZA96" s="11"/>
      <c r="OZB96" s="11"/>
      <c r="OZC96" s="11"/>
      <c r="OZD96" s="11"/>
      <c r="OZE96" s="11"/>
      <c r="OZF96" s="11"/>
      <c r="OZG96" s="11"/>
      <c r="OZH96" s="11"/>
      <c r="OZI96" s="11"/>
      <c r="OZJ96" s="11"/>
      <c r="OZK96" s="11"/>
      <c r="OZL96" s="11"/>
      <c r="OZM96" s="11"/>
      <c r="OZN96" s="11"/>
      <c r="OZO96" s="11"/>
      <c r="OZP96" s="11"/>
      <c r="OZQ96" s="11"/>
      <c r="OZR96" s="11"/>
      <c r="OZS96" s="11"/>
      <c r="OZT96" s="11"/>
      <c r="OZU96" s="11"/>
      <c r="OZV96" s="11"/>
      <c r="OZW96" s="11"/>
      <c r="OZX96" s="11"/>
      <c r="OZY96" s="11"/>
      <c r="OZZ96" s="11"/>
      <c r="PAA96" s="11"/>
      <c r="PAB96" s="11"/>
      <c r="PAC96" s="11"/>
      <c r="PAD96" s="11"/>
      <c r="PAE96" s="11"/>
      <c r="PAF96" s="11"/>
      <c r="PAG96" s="11"/>
      <c r="PAH96" s="11"/>
      <c r="PAI96" s="11"/>
      <c r="PAJ96" s="11"/>
      <c r="PAK96" s="11"/>
      <c r="PAL96" s="11"/>
      <c r="PAM96" s="11"/>
      <c r="PAN96" s="11"/>
      <c r="PAO96" s="11"/>
      <c r="PAP96" s="11"/>
      <c r="PAQ96" s="11"/>
      <c r="PAR96" s="11"/>
      <c r="PAS96" s="11"/>
      <c r="PAT96" s="11"/>
      <c r="PAU96" s="11"/>
      <c r="PAV96" s="11"/>
      <c r="PAW96" s="11"/>
      <c r="PAX96" s="11"/>
      <c r="PAY96" s="11"/>
      <c r="PAZ96" s="11"/>
      <c r="PBA96" s="11"/>
      <c r="PBB96" s="11"/>
      <c r="PBC96" s="11"/>
      <c r="PBD96" s="11"/>
      <c r="PBE96" s="11"/>
      <c r="PBF96" s="11"/>
      <c r="PBG96" s="11"/>
      <c r="PBH96" s="11"/>
      <c r="PBI96" s="11"/>
      <c r="PBJ96" s="11"/>
      <c r="PBK96" s="11"/>
      <c r="PBL96" s="11"/>
      <c r="PBM96" s="11"/>
      <c r="PBN96" s="11"/>
      <c r="PBO96" s="11"/>
      <c r="PBP96" s="11"/>
      <c r="PBQ96" s="11"/>
      <c r="PBR96" s="11"/>
      <c r="PBS96" s="11"/>
      <c r="PBT96" s="11"/>
      <c r="PBU96" s="11"/>
      <c r="PBV96" s="11"/>
      <c r="PBW96" s="11"/>
      <c r="PBX96" s="11"/>
      <c r="PBY96" s="11"/>
      <c r="PBZ96" s="11"/>
      <c r="PCA96" s="11"/>
      <c r="PCB96" s="11"/>
      <c r="PCC96" s="11"/>
      <c r="PCD96" s="11"/>
      <c r="PCE96" s="11"/>
      <c r="PCF96" s="11"/>
      <c r="PCG96" s="11"/>
      <c r="PCH96" s="11"/>
      <c r="PCI96" s="11"/>
      <c r="PCJ96" s="11"/>
      <c r="PCK96" s="11"/>
      <c r="PCL96" s="11"/>
      <c r="PCM96" s="11"/>
      <c r="PCN96" s="11"/>
      <c r="PCO96" s="11"/>
      <c r="PCP96" s="11"/>
      <c r="PCQ96" s="11"/>
      <c r="PCR96" s="11"/>
      <c r="PCS96" s="11"/>
      <c r="PCT96" s="11"/>
      <c r="PCU96" s="11"/>
      <c r="PCV96" s="11"/>
      <c r="PCW96" s="11"/>
      <c r="PCX96" s="11"/>
      <c r="PCY96" s="11"/>
      <c r="PCZ96" s="11"/>
      <c r="PDA96" s="11"/>
      <c r="PDB96" s="11"/>
      <c r="PDC96" s="11"/>
      <c r="PDD96" s="11"/>
      <c r="PDE96" s="11"/>
      <c r="PDF96" s="11"/>
      <c r="PDG96" s="11"/>
      <c r="PDH96" s="11"/>
      <c r="PDI96" s="11"/>
      <c r="PDJ96" s="11"/>
      <c r="PDK96" s="11"/>
      <c r="PDL96" s="11"/>
      <c r="PDM96" s="11"/>
      <c r="PDN96" s="11"/>
      <c r="PDO96" s="11"/>
      <c r="PDP96" s="11"/>
      <c r="PDQ96" s="11"/>
      <c r="PDR96" s="11"/>
      <c r="PDS96" s="11"/>
      <c r="PDT96" s="11"/>
      <c r="PDU96" s="11"/>
      <c r="PDV96" s="11"/>
      <c r="PDW96" s="11"/>
      <c r="PDX96" s="11"/>
      <c r="PDY96" s="11"/>
      <c r="PDZ96" s="11"/>
      <c r="PEA96" s="11"/>
      <c r="PEB96" s="11"/>
      <c r="PEC96" s="11"/>
      <c r="PED96" s="11"/>
      <c r="PEE96" s="11"/>
      <c r="PEF96" s="11"/>
      <c r="PEG96" s="11"/>
      <c r="PEH96" s="11"/>
      <c r="PEI96" s="11"/>
      <c r="PEJ96" s="11"/>
      <c r="PEK96" s="11"/>
      <c r="PEL96" s="11"/>
      <c r="PEM96" s="11"/>
      <c r="PEN96" s="11"/>
      <c r="PEO96" s="11"/>
      <c r="PEP96" s="11"/>
      <c r="PEQ96" s="11"/>
      <c r="PER96" s="11"/>
      <c r="PES96" s="11"/>
      <c r="PET96" s="11"/>
      <c r="PEU96" s="11"/>
      <c r="PEV96" s="11"/>
      <c r="PEW96" s="11"/>
      <c r="PEX96" s="11"/>
      <c r="PEY96" s="11"/>
      <c r="PEZ96" s="11"/>
      <c r="PFA96" s="11"/>
      <c r="PFB96" s="11"/>
      <c r="PFC96" s="11"/>
      <c r="PFD96" s="11"/>
      <c r="PFE96" s="11"/>
      <c r="PFF96" s="11"/>
      <c r="PFG96" s="11"/>
      <c r="PFH96" s="11"/>
      <c r="PFI96" s="11"/>
      <c r="PFJ96" s="11"/>
      <c r="PFK96" s="11"/>
      <c r="PFL96" s="11"/>
      <c r="PFM96" s="11"/>
      <c r="PFN96" s="11"/>
      <c r="PFO96" s="11"/>
      <c r="PFP96" s="11"/>
      <c r="PFQ96" s="11"/>
      <c r="PFR96" s="11"/>
      <c r="PFS96" s="11"/>
      <c r="PFT96" s="11"/>
      <c r="PFU96" s="11"/>
      <c r="PFV96" s="11"/>
      <c r="PFW96" s="11"/>
      <c r="PFX96" s="11"/>
      <c r="PFY96" s="11"/>
      <c r="PFZ96" s="11"/>
      <c r="PGA96" s="11"/>
      <c r="PGB96" s="11"/>
      <c r="PGC96" s="11"/>
      <c r="PGD96" s="11"/>
      <c r="PGE96" s="11"/>
      <c r="PGF96" s="11"/>
      <c r="PGG96" s="11"/>
      <c r="PGH96" s="11"/>
      <c r="PGI96" s="11"/>
      <c r="PGJ96" s="11"/>
      <c r="PGK96" s="11"/>
      <c r="PGL96" s="11"/>
      <c r="PGM96" s="11"/>
      <c r="PGN96" s="11"/>
      <c r="PGO96" s="11"/>
      <c r="PGP96" s="11"/>
      <c r="PGQ96" s="11"/>
      <c r="PGR96" s="11"/>
      <c r="PGS96" s="11"/>
      <c r="PGT96" s="11"/>
      <c r="PGU96" s="11"/>
      <c r="PGV96" s="11"/>
      <c r="PGW96" s="11"/>
      <c r="PGX96" s="11"/>
      <c r="PGY96" s="11"/>
      <c r="PGZ96" s="11"/>
      <c r="PHA96" s="11"/>
      <c r="PHB96" s="11"/>
      <c r="PHC96" s="11"/>
      <c r="PHD96" s="11"/>
      <c r="PHE96" s="11"/>
      <c r="PHF96" s="11"/>
      <c r="PHG96" s="11"/>
      <c r="PHH96" s="11"/>
      <c r="PHI96" s="11"/>
      <c r="PHJ96" s="11"/>
      <c r="PHK96" s="11"/>
      <c r="PHL96" s="11"/>
      <c r="PHM96" s="11"/>
      <c r="PHN96" s="11"/>
      <c r="PHO96" s="11"/>
      <c r="PHP96" s="11"/>
      <c r="PHQ96" s="11"/>
      <c r="PHR96" s="11"/>
      <c r="PHS96" s="11"/>
      <c r="PHT96" s="11"/>
      <c r="PHU96" s="11"/>
      <c r="PHV96" s="11"/>
      <c r="PHW96" s="11"/>
      <c r="PHX96" s="11"/>
      <c r="PHY96" s="11"/>
      <c r="PHZ96" s="11"/>
      <c r="PIA96" s="11"/>
      <c r="PIB96" s="11"/>
      <c r="PIC96" s="11"/>
      <c r="PID96" s="11"/>
      <c r="PIE96" s="11"/>
      <c r="PIF96" s="11"/>
      <c r="PIG96" s="11"/>
      <c r="PIH96" s="11"/>
      <c r="PII96" s="11"/>
      <c r="PIJ96" s="11"/>
      <c r="PIK96" s="11"/>
      <c r="PIL96" s="11"/>
      <c r="PIM96" s="11"/>
      <c r="PIN96" s="11"/>
      <c r="PIO96" s="11"/>
      <c r="PIP96" s="11"/>
      <c r="PIQ96" s="11"/>
      <c r="PIR96" s="11"/>
      <c r="PIS96" s="11"/>
      <c r="PIT96" s="11"/>
      <c r="PIU96" s="11"/>
      <c r="PIV96" s="11"/>
      <c r="PIW96" s="11"/>
      <c r="PIX96" s="11"/>
      <c r="PIY96" s="11"/>
      <c r="PIZ96" s="11"/>
      <c r="PJA96" s="11"/>
      <c r="PJB96" s="11"/>
      <c r="PJC96" s="11"/>
      <c r="PJD96" s="11"/>
      <c r="PJE96" s="11"/>
      <c r="PJF96" s="11"/>
      <c r="PJG96" s="11"/>
      <c r="PJH96" s="11"/>
      <c r="PJI96" s="11"/>
      <c r="PJJ96" s="11"/>
      <c r="PJK96" s="11"/>
      <c r="PJL96" s="11"/>
      <c r="PJM96" s="11"/>
      <c r="PJN96" s="11"/>
      <c r="PJO96" s="11"/>
      <c r="PJP96" s="11"/>
      <c r="PJQ96" s="11"/>
      <c r="PJR96" s="11"/>
      <c r="PJS96" s="11"/>
      <c r="PJT96" s="11"/>
      <c r="PJU96" s="11"/>
      <c r="PJV96" s="11"/>
      <c r="PJW96" s="11"/>
      <c r="PJX96" s="11"/>
      <c r="PJY96" s="11"/>
      <c r="PJZ96" s="11"/>
      <c r="PKA96" s="11"/>
      <c r="PKB96" s="11"/>
      <c r="PKC96" s="11"/>
      <c r="PKD96" s="11"/>
      <c r="PKE96" s="11"/>
      <c r="PKF96" s="11"/>
      <c r="PKG96" s="11"/>
      <c r="PKH96" s="11"/>
      <c r="PKI96" s="11"/>
      <c r="PKJ96" s="11"/>
      <c r="PKK96" s="11"/>
      <c r="PKL96" s="11"/>
      <c r="PKM96" s="11"/>
      <c r="PKN96" s="11"/>
      <c r="PKO96" s="11"/>
      <c r="PKP96" s="11"/>
      <c r="PKQ96" s="11"/>
      <c r="PKR96" s="11"/>
      <c r="PKS96" s="11"/>
      <c r="PKT96" s="11"/>
      <c r="PKU96" s="11"/>
      <c r="PKV96" s="11"/>
      <c r="PKW96" s="11"/>
      <c r="PKX96" s="11"/>
      <c r="PKY96" s="11"/>
      <c r="PKZ96" s="11"/>
      <c r="PLA96" s="11"/>
      <c r="PLB96" s="11"/>
      <c r="PLC96" s="11"/>
      <c r="PLD96" s="11"/>
      <c r="PLE96" s="11"/>
      <c r="PLF96" s="11"/>
      <c r="PLG96" s="11"/>
      <c r="PLH96" s="11"/>
      <c r="PLI96" s="11"/>
      <c r="PLJ96" s="11"/>
      <c r="PLK96" s="11"/>
      <c r="PLL96" s="11"/>
      <c r="PLM96" s="11"/>
      <c r="PLN96" s="11"/>
      <c r="PLO96" s="11"/>
      <c r="PLP96" s="11"/>
      <c r="PLQ96" s="11"/>
      <c r="PLR96" s="11"/>
      <c r="PLS96" s="11"/>
      <c r="PLT96" s="11"/>
      <c r="PLU96" s="11"/>
      <c r="PLV96" s="11"/>
      <c r="PLW96" s="11"/>
      <c r="PLX96" s="11"/>
      <c r="PLY96" s="11"/>
      <c r="PLZ96" s="11"/>
      <c r="PMA96" s="11"/>
      <c r="PMB96" s="11"/>
      <c r="PMC96" s="11"/>
      <c r="PMD96" s="11"/>
      <c r="PME96" s="11"/>
      <c r="PMF96" s="11"/>
      <c r="PMG96" s="11"/>
      <c r="PMH96" s="11"/>
      <c r="PMI96" s="11"/>
      <c r="PMJ96" s="11"/>
      <c r="PMK96" s="11"/>
      <c r="PML96" s="11"/>
      <c r="PMM96" s="11"/>
      <c r="PMN96" s="11"/>
      <c r="PMO96" s="11"/>
      <c r="PMP96" s="11"/>
      <c r="PMQ96" s="11"/>
      <c r="PMR96" s="11"/>
      <c r="PMS96" s="11"/>
      <c r="PMT96" s="11"/>
      <c r="PMU96" s="11"/>
      <c r="PMV96" s="11"/>
      <c r="PMW96" s="11"/>
      <c r="PMX96" s="11"/>
      <c r="PMY96" s="11"/>
      <c r="PMZ96" s="11"/>
      <c r="PNA96" s="11"/>
      <c r="PNB96" s="11"/>
      <c r="PNC96" s="11"/>
      <c r="PND96" s="11"/>
      <c r="PNE96" s="11"/>
      <c r="PNF96" s="11"/>
      <c r="PNG96" s="11"/>
      <c r="PNH96" s="11"/>
      <c r="PNI96" s="11"/>
      <c r="PNJ96" s="11"/>
      <c r="PNK96" s="11"/>
      <c r="PNL96" s="11"/>
      <c r="PNM96" s="11"/>
      <c r="PNN96" s="11"/>
      <c r="PNO96" s="11"/>
      <c r="PNP96" s="11"/>
      <c r="PNQ96" s="11"/>
      <c r="PNR96" s="11"/>
      <c r="PNS96" s="11"/>
      <c r="PNT96" s="11"/>
      <c r="PNU96" s="11"/>
      <c r="PNV96" s="11"/>
      <c r="PNW96" s="11"/>
      <c r="PNX96" s="11"/>
      <c r="PNY96" s="11"/>
      <c r="PNZ96" s="11"/>
      <c r="POA96" s="11"/>
      <c r="POB96" s="11"/>
      <c r="POC96" s="11"/>
      <c r="POD96" s="11"/>
      <c r="POE96" s="11"/>
      <c r="POF96" s="11"/>
      <c r="POG96" s="11"/>
      <c r="POH96" s="11"/>
      <c r="POI96" s="11"/>
      <c r="POJ96" s="11"/>
      <c r="POK96" s="11"/>
      <c r="POL96" s="11"/>
      <c r="POM96" s="11"/>
      <c r="PON96" s="11"/>
      <c r="POO96" s="11"/>
      <c r="POP96" s="11"/>
      <c r="POQ96" s="11"/>
      <c r="POR96" s="11"/>
      <c r="POS96" s="11"/>
      <c r="POT96" s="11"/>
      <c r="POU96" s="11"/>
      <c r="POV96" s="11"/>
      <c r="POW96" s="11"/>
      <c r="POX96" s="11"/>
      <c r="POY96" s="11"/>
      <c r="POZ96" s="11"/>
      <c r="PPA96" s="11"/>
      <c r="PPB96" s="11"/>
      <c r="PPC96" s="11"/>
      <c r="PPD96" s="11"/>
      <c r="PPE96" s="11"/>
      <c r="PPF96" s="11"/>
      <c r="PPG96" s="11"/>
      <c r="PPH96" s="11"/>
      <c r="PPI96" s="11"/>
      <c r="PPJ96" s="11"/>
      <c r="PPK96" s="11"/>
      <c r="PPL96" s="11"/>
      <c r="PPM96" s="11"/>
      <c r="PPN96" s="11"/>
      <c r="PPO96" s="11"/>
      <c r="PPP96" s="11"/>
      <c r="PPQ96" s="11"/>
      <c r="PPR96" s="11"/>
      <c r="PPS96" s="11"/>
      <c r="PPT96" s="11"/>
      <c r="PPU96" s="11"/>
      <c r="PPV96" s="11"/>
      <c r="PPW96" s="11"/>
      <c r="PPX96" s="11"/>
      <c r="PPY96" s="11"/>
      <c r="PPZ96" s="11"/>
      <c r="PQA96" s="11"/>
      <c r="PQB96" s="11"/>
      <c r="PQC96" s="11"/>
      <c r="PQD96" s="11"/>
      <c r="PQE96" s="11"/>
      <c r="PQF96" s="11"/>
      <c r="PQG96" s="11"/>
      <c r="PQH96" s="11"/>
      <c r="PQI96" s="11"/>
      <c r="PQJ96" s="11"/>
      <c r="PQK96" s="11"/>
      <c r="PQL96" s="11"/>
      <c r="PQM96" s="11"/>
      <c r="PQN96" s="11"/>
      <c r="PQO96" s="11"/>
      <c r="PQP96" s="11"/>
      <c r="PQQ96" s="11"/>
      <c r="PQR96" s="11"/>
      <c r="PQS96" s="11"/>
      <c r="PQT96" s="11"/>
      <c r="PQU96" s="11"/>
      <c r="PQV96" s="11"/>
      <c r="PQW96" s="11"/>
      <c r="PQX96" s="11"/>
      <c r="PQY96" s="11"/>
      <c r="PQZ96" s="11"/>
      <c r="PRA96" s="11"/>
      <c r="PRB96" s="11"/>
      <c r="PRC96" s="11"/>
      <c r="PRD96" s="11"/>
      <c r="PRE96" s="11"/>
      <c r="PRF96" s="11"/>
      <c r="PRG96" s="11"/>
      <c r="PRH96" s="11"/>
      <c r="PRI96" s="11"/>
      <c r="PRJ96" s="11"/>
      <c r="PRK96" s="11"/>
      <c r="PRL96" s="11"/>
      <c r="PRM96" s="11"/>
      <c r="PRN96" s="11"/>
      <c r="PRO96" s="11"/>
      <c r="PRP96" s="11"/>
      <c r="PRQ96" s="11"/>
      <c r="PRR96" s="11"/>
      <c r="PRS96" s="11"/>
      <c r="PRT96" s="11"/>
      <c r="PRU96" s="11"/>
      <c r="PRV96" s="11"/>
      <c r="PRW96" s="11"/>
      <c r="PRX96" s="11"/>
      <c r="PRY96" s="11"/>
      <c r="PRZ96" s="11"/>
      <c r="PSA96" s="11"/>
      <c r="PSB96" s="11"/>
      <c r="PSC96" s="11"/>
      <c r="PSD96" s="11"/>
      <c r="PSE96" s="11"/>
      <c r="PSF96" s="11"/>
      <c r="PSG96" s="11"/>
      <c r="PSH96" s="11"/>
      <c r="PSI96" s="11"/>
      <c r="PSJ96" s="11"/>
      <c r="PSK96" s="11"/>
      <c r="PSL96" s="11"/>
      <c r="PSM96" s="11"/>
      <c r="PSN96" s="11"/>
      <c r="PSO96" s="11"/>
      <c r="PSP96" s="11"/>
      <c r="PSQ96" s="11"/>
      <c r="PSR96" s="11"/>
      <c r="PSS96" s="11"/>
      <c r="PST96" s="11"/>
      <c r="PSU96" s="11"/>
      <c r="PSV96" s="11"/>
      <c r="PSW96" s="11"/>
      <c r="PSX96" s="11"/>
      <c r="PSY96" s="11"/>
      <c r="PSZ96" s="11"/>
      <c r="PTA96" s="11"/>
      <c r="PTB96" s="11"/>
      <c r="PTC96" s="11"/>
      <c r="PTD96" s="11"/>
      <c r="PTE96" s="11"/>
      <c r="PTF96" s="11"/>
      <c r="PTG96" s="11"/>
      <c r="PTH96" s="11"/>
      <c r="PTI96" s="11"/>
      <c r="PTJ96" s="11"/>
      <c r="PTK96" s="11"/>
      <c r="PTL96" s="11"/>
      <c r="PTM96" s="11"/>
      <c r="PTN96" s="11"/>
      <c r="PTO96" s="11"/>
      <c r="PTP96" s="11"/>
      <c r="PTQ96" s="11"/>
      <c r="PTR96" s="11"/>
      <c r="PTS96" s="11"/>
      <c r="PTT96" s="11"/>
      <c r="PTU96" s="11"/>
      <c r="PTV96" s="11"/>
      <c r="PTW96" s="11"/>
      <c r="PTX96" s="11"/>
      <c r="PTY96" s="11"/>
      <c r="PTZ96" s="11"/>
      <c r="PUA96" s="11"/>
      <c r="PUB96" s="11"/>
      <c r="PUC96" s="11"/>
      <c r="PUD96" s="11"/>
      <c r="PUE96" s="11"/>
      <c r="PUF96" s="11"/>
      <c r="PUG96" s="11"/>
      <c r="PUH96" s="11"/>
      <c r="PUI96" s="11"/>
      <c r="PUJ96" s="11"/>
      <c r="PUK96" s="11"/>
      <c r="PUL96" s="11"/>
      <c r="PUM96" s="11"/>
      <c r="PUN96" s="11"/>
      <c r="PUO96" s="11"/>
      <c r="PUP96" s="11"/>
      <c r="PUQ96" s="11"/>
      <c r="PUR96" s="11"/>
      <c r="PUS96" s="11"/>
      <c r="PUT96" s="11"/>
      <c r="PUU96" s="11"/>
      <c r="PUV96" s="11"/>
      <c r="PUW96" s="11"/>
      <c r="PUX96" s="11"/>
      <c r="PUY96" s="11"/>
      <c r="PUZ96" s="11"/>
      <c r="PVA96" s="11"/>
      <c r="PVB96" s="11"/>
      <c r="PVC96" s="11"/>
      <c r="PVD96" s="11"/>
      <c r="PVE96" s="11"/>
      <c r="PVF96" s="11"/>
      <c r="PVG96" s="11"/>
      <c r="PVH96" s="11"/>
      <c r="PVI96" s="11"/>
      <c r="PVJ96" s="11"/>
      <c r="PVK96" s="11"/>
      <c r="PVL96" s="11"/>
      <c r="PVM96" s="11"/>
      <c r="PVN96" s="11"/>
      <c r="PVO96" s="11"/>
      <c r="PVP96" s="11"/>
      <c r="PVQ96" s="11"/>
      <c r="PVR96" s="11"/>
      <c r="PVS96" s="11"/>
      <c r="PVT96" s="11"/>
      <c r="PVU96" s="11"/>
      <c r="PVV96" s="11"/>
      <c r="PVW96" s="11"/>
      <c r="PVX96" s="11"/>
      <c r="PVY96" s="11"/>
      <c r="PVZ96" s="11"/>
      <c r="PWA96" s="11"/>
      <c r="PWB96" s="11"/>
      <c r="PWC96" s="11"/>
      <c r="PWD96" s="11"/>
      <c r="PWE96" s="11"/>
      <c r="PWF96" s="11"/>
      <c r="PWG96" s="11"/>
      <c r="PWH96" s="11"/>
      <c r="PWI96" s="11"/>
      <c r="PWJ96" s="11"/>
      <c r="PWK96" s="11"/>
      <c r="PWL96" s="11"/>
      <c r="PWM96" s="11"/>
      <c r="PWN96" s="11"/>
      <c r="PWO96" s="11"/>
      <c r="PWP96" s="11"/>
      <c r="PWQ96" s="11"/>
      <c r="PWR96" s="11"/>
      <c r="PWS96" s="11"/>
      <c r="PWT96" s="11"/>
      <c r="PWU96" s="11"/>
      <c r="PWV96" s="11"/>
      <c r="PWW96" s="11"/>
      <c r="PWX96" s="11"/>
      <c r="PWY96" s="11"/>
      <c r="PWZ96" s="11"/>
      <c r="PXA96" s="11"/>
      <c r="PXB96" s="11"/>
      <c r="PXC96" s="11"/>
      <c r="PXD96" s="11"/>
      <c r="PXE96" s="11"/>
      <c r="PXF96" s="11"/>
      <c r="PXG96" s="11"/>
      <c r="PXH96" s="11"/>
      <c r="PXI96" s="11"/>
      <c r="PXJ96" s="11"/>
      <c r="PXK96" s="11"/>
      <c r="PXL96" s="11"/>
      <c r="PXM96" s="11"/>
      <c r="PXN96" s="11"/>
      <c r="PXO96" s="11"/>
      <c r="PXP96" s="11"/>
      <c r="PXQ96" s="11"/>
      <c r="PXR96" s="11"/>
      <c r="PXS96" s="11"/>
      <c r="PXT96" s="11"/>
      <c r="PXU96" s="11"/>
      <c r="PXV96" s="11"/>
      <c r="PXW96" s="11"/>
      <c r="PXX96" s="11"/>
      <c r="PXY96" s="11"/>
      <c r="PXZ96" s="11"/>
      <c r="PYA96" s="11"/>
      <c r="PYB96" s="11"/>
      <c r="PYC96" s="11"/>
      <c r="PYD96" s="11"/>
      <c r="PYE96" s="11"/>
      <c r="PYF96" s="11"/>
      <c r="PYG96" s="11"/>
      <c r="PYH96" s="11"/>
      <c r="PYI96" s="11"/>
      <c r="PYJ96" s="11"/>
      <c r="PYK96" s="11"/>
      <c r="PYL96" s="11"/>
      <c r="PYM96" s="11"/>
      <c r="PYN96" s="11"/>
      <c r="PYO96" s="11"/>
      <c r="PYP96" s="11"/>
      <c r="PYQ96" s="11"/>
      <c r="PYR96" s="11"/>
      <c r="PYS96" s="11"/>
      <c r="PYT96" s="11"/>
      <c r="PYU96" s="11"/>
      <c r="PYV96" s="11"/>
      <c r="PYW96" s="11"/>
      <c r="PYX96" s="11"/>
      <c r="PYY96" s="11"/>
      <c r="PYZ96" s="11"/>
      <c r="PZA96" s="11"/>
      <c r="PZB96" s="11"/>
      <c r="PZC96" s="11"/>
      <c r="PZD96" s="11"/>
      <c r="PZE96" s="11"/>
      <c r="PZF96" s="11"/>
      <c r="PZG96" s="11"/>
      <c r="PZH96" s="11"/>
      <c r="PZI96" s="11"/>
      <c r="PZJ96" s="11"/>
      <c r="PZK96" s="11"/>
      <c r="PZL96" s="11"/>
      <c r="PZM96" s="11"/>
      <c r="PZN96" s="11"/>
      <c r="PZO96" s="11"/>
      <c r="PZP96" s="11"/>
      <c r="PZQ96" s="11"/>
      <c r="PZR96" s="11"/>
      <c r="PZS96" s="11"/>
      <c r="PZT96" s="11"/>
      <c r="PZU96" s="11"/>
      <c r="PZV96" s="11"/>
      <c r="PZW96" s="11"/>
      <c r="PZX96" s="11"/>
      <c r="PZY96" s="11"/>
      <c r="PZZ96" s="11"/>
      <c r="QAA96" s="11"/>
      <c r="QAB96" s="11"/>
      <c r="QAC96" s="11"/>
      <c r="QAD96" s="11"/>
      <c r="QAE96" s="11"/>
      <c r="QAF96" s="11"/>
      <c r="QAG96" s="11"/>
      <c r="QAH96" s="11"/>
      <c r="QAI96" s="11"/>
      <c r="QAJ96" s="11"/>
      <c r="QAK96" s="11"/>
      <c r="QAL96" s="11"/>
      <c r="QAM96" s="11"/>
      <c r="QAN96" s="11"/>
      <c r="QAO96" s="11"/>
      <c r="QAP96" s="11"/>
      <c r="QAQ96" s="11"/>
      <c r="QAR96" s="11"/>
      <c r="QAS96" s="11"/>
      <c r="QAT96" s="11"/>
      <c r="QAU96" s="11"/>
      <c r="QAV96" s="11"/>
      <c r="QAW96" s="11"/>
      <c r="QAX96" s="11"/>
      <c r="QAY96" s="11"/>
      <c r="QAZ96" s="11"/>
      <c r="QBA96" s="11"/>
      <c r="QBB96" s="11"/>
      <c r="QBC96" s="11"/>
      <c r="QBD96" s="11"/>
      <c r="QBE96" s="11"/>
      <c r="QBF96" s="11"/>
      <c r="QBG96" s="11"/>
      <c r="QBH96" s="11"/>
      <c r="QBI96" s="11"/>
      <c r="QBJ96" s="11"/>
      <c r="QBK96" s="11"/>
      <c r="QBL96" s="11"/>
      <c r="QBM96" s="11"/>
      <c r="QBN96" s="11"/>
      <c r="QBO96" s="11"/>
      <c r="QBP96" s="11"/>
      <c r="QBQ96" s="11"/>
      <c r="QBR96" s="11"/>
      <c r="QBS96" s="11"/>
      <c r="QBT96" s="11"/>
      <c r="QBU96" s="11"/>
      <c r="QBV96" s="11"/>
      <c r="QBW96" s="11"/>
      <c r="QBX96" s="11"/>
      <c r="QBY96" s="11"/>
      <c r="QBZ96" s="11"/>
      <c r="QCA96" s="11"/>
      <c r="QCB96" s="11"/>
      <c r="QCC96" s="11"/>
      <c r="QCD96" s="11"/>
      <c r="QCE96" s="11"/>
      <c r="QCF96" s="11"/>
      <c r="QCG96" s="11"/>
      <c r="QCH96" s="11"/>
      <c r="QCI96" s="11"/>
      <c r="QCJ96" s="11"/>
      <c r="QCK96" s="11"/>
      <c r="QCL96" s="11"/>
      <c r="QCM96" s="11"/>
      <c r="QCN96" s="11"/>
      <c r="QCO96" s="11"/>
      <c r="QCP96" s="11"/>
      <c r="QCQ96" s="11"/>
      <c r="QCR96" s="11"/>
      <c r="QCS96" s="11"/>
      <c r="QCT96" s="11"/>
      <c r="QCU96" s="11"/>
      <c r="QCV96" s="11"/>
      <c r="QCW96" s="11"/>
      <c r="QCX96" s="11"/>
      <c r="QCY96" s="11"/>
      <c r="QCZ96" s="11"/>
      <c r="QDA96" s="11"/>
      <c r="QDB96" s="11"/>
      <c r="QDC96" s="11"/>
      <c r="QDD96" s="11"/>
      <c r="QDE96" s="11"/>
      <c r="QDF96" s="11"/>
      <c r="QDG96" s="11"/>
      <c r="QDH96" s="11"/>
      <c r="QDI96" s="11"/>
      <c r="QDJ96" s="11"/>
      <c r="QDK96" s="11"/>
      <c r="QDL96" s="11"/>
      <c r="QDM96" s="11"/>
      <c r="QDN96" s="11"/>
      <c r="QDO96" s="11"/>
      <c r="QDP96" s="11"/>
      <c r="QDQ96" s="11"/>
      <c r="QDR96" s="11"/>
      <c r="QDS96" s="11"/>
      <c r="QDT96" s="11"/>
      <c r="QDU96" s="11"/>
      <c r="QDV96" s="11"/>
      <c r="QDW96" s="11"/>
      <c r="QDX96" s="11"/>
      <c r="QDY96" s="11"/>
      <c r="QDZ96" s="11"/>
      <c r="QEA96" s="11"/>
      <c r="QEB96" s="11"/>
      <c r="QEC96" s="11"/>
      <c r="QED96" s="11"/>
      <c r="QEE96" s="11"/>
      <c r="QEF96" s="11"/>
      <c r="QEG96" s="11"/>
      <c r="QEH96" s="11"/>
      <c r="QEI96" s="11"/>
      <c r="QEJ96" s="11"/>
      <c r="QEK96" s="11"/>
      <c r="QEL96" s="11"/>
      <c r="QEM96" s="11"/>
      <c r="QEN96" s="11"/>
      <c r="QEO96" s="11"/>
      <c r="QEP96" s="11"/>
      <c r="QEQ96" s="11"/>
      <c r="QER96" s="11"/>
      <c r="QES96" s="11"/>
      <c r="QET96" s="11"/>
      <c r="QEU96" s="11"/>
      <c r="QEV96" s="11"/>
      <c r="QEW96" s="11"/>
      <c r="QEX96" s="11"/>
      <c r="QEY96" s="11"/>
      <c r="QEZ96" s="11"/>
      <c r="QFA96" s="11"/>
      <c r="QFB96" s="11"/>
      <c r="QFC96" s="11"/>
      <c r="QFD96" s="11"/>
      <c r="QFE96" s="11"/>
      <c r="QFF96" s="11"/>
      <c r="QFG96" s="11"/>
      <c r="QFH96" s="11"/>
      <c r="QFI96" s="11"/>
      <c r="QFJ96" s="11"/>
      <c r="QFK96" s="11"/>
      <c r="QFL96" s="11"/>
      <c r="QFM96" s="11"/>
      <c r="QFN96" s="11"/>
      <c r="QFO96" s="11"/>
      <c r="QFP96" s="11"/>
      <c r="QFQ96" s="11"/>
      <c r="QFR96" s="11"/>
      <c r="QFS96" s="11"/>
      <c r="QFT96" s="11"/>
      <c r="QFU96" s="11"/>
      <c r="QFV96" s="11"/>
      <c r="QFW96" s="11"/>
      <c r="QFX96" s="11"/>
      <c r="QFY96" s="11"/>
      <c r="QFZ96" s="11"/>
      <c r="QGA96" s="11"/>
      <c r="QGB96" s="11"/>
      <c r="QGC96" s="11"/>
      <c r="QGD96" s="11"/>
      <c r="QGE96" s="11"/>
      <c r="QGF96" s="11"/>
      <c r="QGG96" s="11"/>
      <c r="QGH96" s="11"/>
      <c r="QGI96" s="11"/>
      <c r="QGJ96" s="11"/>
      <c r="QGK96" s="11"/>
      <c r="QGL96" s="11"/>
      <c r="QGM96" s="11"/>
      <c r="QGN96" s="11"/>
      <c r="QGO96" s="11"/>
      <c r="QGP96" s="11"/>
      <c r="QGQ96" s="11"/>
      <c r="QGR96" s="11"/>
      <c r="QGS96" s="11"/>
      <c r="QGT96" s="11"/>
      <c r="QGU96" s="11"/>
      <c r="QGV96" s="11"/>
      <c r="QGW96" s="11"/>
      <c r="QGX96" s="11"/>
      <c r="QGY96" s="11"/>
      <c r="QGZ96" s="11"/>
      <c r="QHA96" s="11"/>
      <c r="QHB96" s="11"/>
      <c r="QHC96" s="11"/>
      <c r="QHD96" s="11"/>
      <c r="QHE96" s="11"/>
      <c r="QHF96" s="11"/>
      <c r="QHG96" s="11"/>
      <c r="QHH96" s="11"/>
      <c r="QHI96" s="11"/>
      <c r="QHJ96" s="11"/>
      <c r="QHK96" s="11"/>
      <c r="QHL96" s="11"/>
      <c r="QHM96" s="11"/>
      <c r="QHN96" s="11"/>
      <c r="QHO96" s="11"/>
      <c r="QHP96" s="11"/>
      <c r="QHQ96" s="11"/>
      <c r="QHR96" s="11"/>
      <c r="QHS96" s="11"/>
      <c r="QHT96" s="11"/>
      <c r="QHU96" s="11"/>
      <c r="QHV96" s="11"/>
      <c r="QHW96" s="11"/>
      <c r="QHX96" s="11"/>
      <c r="QHY96" s="11"/>
      <c r="QHZ96" s="11"/>
      <c r="QIA96" s="11"/>
      <c r="QIB96" s="11"/>
      <c r="QIC96" s="11"/>
      <c r="QID96" s="11"/>
      <c r="QIE96" s="11"/>
      <c r="QIF96" s="11"/>
      <c r="QIG96" s="11"/>
      <c r="QIH96" s="11"/>
      <c r="QII96" s="11"/>
      <c r="QIJ96" s="11"/>
      <c r="QIK96" s="11"/>
      <c r="QIL96" s="11"/>
      <c r="QIM96" s="11"/>
      <c r="QIN96" s="11"/>
      <c r="QIO96" s="11"/>
      <c r="QIP96" s="11"/>
      <c r="QIQ96" s="11"/>
      <c r="QIR96" s="11"/>
      <c r="QIS96" s="11"/>
      <c r="QIT96" s="11"/>
      <c r="QIU96" s="11"/>
      <c r="QIV96" s="11"/>
      <c r="QIW96" s="11"/>
      <c r="QIX96" s="11"/>
      <c r="QIY96" s="11"/>
      <c r="QIZ96" s="11"/>
      <c r="QJA96" s="11"/>
      <c r="QJB96" s="11"/>
      <c r="QJC96" s="11"/>
      <c r="QJD96" s="11"/>
      <c r="QJE96" s="11"/>
      <c r="QJF96" s="11"/>
      <c r="QJG96" s="11"/>
      <c r="QJH96" s="11"/>
      <c r="QJI96" s="11"/>
      <c r="QJJ96" s="11"/>
      <c r="QJK96" s="11"/>
      <c r="QJL96" s="11"/>
      <c r="QJM96" s="11"/>
      <c r="QJN96" s="11"/>
      <c r="QJO96" s="11"/>
      <c r="QJP96" s="11"/>
      <c r="QJQ96" s="11"/>
      <c r="QJR96" s="11"/>
      <c r="QJS96" s="11"/>
      <c r="QJT96" s="11"/>
      <c r="QJU96" s="11"/>
      <c r="QJV96" s="11"/>
      <c r="QJW96" s="11"/>
      <c r="QJX96" s="11"/>
      <c r="QJY96" s="11"/>
      <c r="QJZ96" s="11"/>
      <c r="QKA96" s="11"/>
      <c r="QKB96" s="11"/>
      <c r="QKC96" s="11"/>
      <c r="QKD96" s="11"/>
      <c r="QKE96" s="11"/>
      <c r="QKF96" s="11"/>
      <c r="QKG96" s="11"/>
      <c r="QKH96" s="11"/>
      <c r="QKI96" s="11"/>
      <c r="QKJ96" s="11"/>
      <c r="QKK96" s="11"/>
      <c r="QKL96" s="11"/>
      <c r="QKM96" s="11"/>
      <c r="QKN96" s="11"/>
      <c r="QKO96" s="11"/>
      <c r="QKP96" s="11"/>
      <c r="QKQ96" s="11"/>
      <c r="QKR96" s="11"/>
      <c r="QKS96" s="11"/>
      <c r="QKT96" s="11"/>
      <c r="QKU96" s="11"/>
      <c r="QKV96" s="11"/>
      <c r="QKW96" s="11"/>
      <c r="QKX96" s="11"/>
      <c r="QKY96" s="11"/>
      <c r="QKZ96" s="11"/>
      <c r="QLA96" s="11"/>
      <c r="QLB96" s="11"/>
      <c r="QLC96" s="11"/>
      <c r="QLD96" s="11"/>
      <c r="QLE96" s="11"/>
      <c r="QLF96" s="11"/>
      <c r="QLG96" s="11"/>
      <c r="QLH96" s="11"/>
      <c r="QLI96" s="11"/>
      <c r="QLJ96" s="11"/>
      <c r="QLK96" s="11"/>
      <c r="QLL96" s="11"/>
      <c r="QLM96" s="11"/>
      <c r="QLN96" s="11"/>
      <c r="QLO96" s="11"/>
      <c r="QLP96" s="11"/>
      <c r="QLQ96" s="11"/>
      <c r="QLR96" s="11"/>
      <c r="QLS96" s="11"/>
      <c r="QLT96" s="11"/>
      <c r="QLU96" s="11"/>
      <c r="QLV96" s="11"/>
      <c r="QLW96" s="11"/>
      <c r="QLX96" s="11"/>
      <c r="QLY96" s="11"/>
      <c r="QLZ96" s="11"/>
      <c r="QMA96" s="11"/>
      <c r="QMB96" s="11"/>
      <c r="QMC96" s="11"/>
      <c r="QMD96" s="11"/>
      <c r="QME96" s="11"/>
      <c r="QMF96" s="11"/>
      <c r="QMG96" s="11"/>
      <c r="QMH96" s="11"/>
      <c r="QMI96" s="11"/>
      <c r="QMJ96" s="11"/>
      <c r="QMK96" s="11"/>
      <c r="QML96" s="11"/>
      <c r="QMM96" s="11"/>
      <c r="QMN96" s="11"/>
      <c r="QMO96" s="11"/>
      <c r="QMP96" s="11"/>
      <c r="QMQ96" s="11"/>
      <c r="QMR96" s="11"/>
      <c r="QMS96" s="11"/>
      <c r="QMT96" s="11"/>
      <c r="QMU96" s="11"/>
      <c r="QMV96" s="11"/>
      <c r="QMW96" s="11"/>
      <c r="QMX96" s="11"/>
      <c r="QMY96" s="11"/>
      <c r="QMZ96" s="11"/>
      <c r="QNA96" s="11"/>
      <c r="QNB96" s="11"/>
      <c r="QNC96" s="11"/>
      <c r="QND96" s="11"/>
      <c r="QNE96" s="11"/>
      <c r="QNF96" s="11"/>
      <c r="QNG96" s="11"/>
      <c r="QNH96" s="11"/>
      <c r="QNI96" s="11"/>
      <c r="QNJ96" s="11"/>
      <c r="QNK96" s="11"/>
      <c r="QNL96" s="11"/>
      <c r="QNM96" s="11"/>
      <c r="QNN96" s="11"/>
      <c r="QNO96" s="11"/>
      <c r="QNP96" s="11"/>
      <c r="QNQ96" s="11"/>
      <c r="QNR96" s="11"/>
      <c r="QNS96" s="11"/>
      <c r="QNT96" s="11"/>
      <c r="QNU96" s="11"/>
      <c r="QNV96" s="11"/>
      <c r="QNW96" s="11"/>
      <c r="QNX96" s="11"/>
      <c r="QNY96" s="11"/>
      <c r="QNZ96" s="11"/>
      <c r="QOA96" s="11"/>
      <c r="QOB96" s="11"/>
      <c r="QOC96" s="11"/>
      <c r="QOD96" s="11"/>
      <c r="QOE96" s="11"/>
      <c r="QOF96" s="11"/>
      <c r="QOG96" s="11"/>
      <c r="QOH96" s="11"/>
      <c r="QOI96" s="11"/>
      <c r="QOJ96" s="11"/>
      <c r="QOK96" s="11"/>
      <c r="QOL96" s="11"/>
      <c r="QOM96" s="11"/>
      <c r="QON96" s="11"/>
      <c r="QOO96" s="11"/>
      <c r="QOP96" s="11"/>
      <c r="QOQ96" s="11"/>
      <c r="QOR96" s="11"/>
      <c r="QOS96" s="11"/>
      <c r="QOT96" s="11"/>
      <c r="QOU96" s="11"/>
      <c r="QOV96" s="11"/>
      <c r="QOW96" s="11"/>
      <c r="QOX96" s="11"/>
      <c r="QOY96" s="11"/>
      <c r="QOZ96" s="11"/>
      <c r="QPA96" s="11"/>
      <c r="QPB96" s="11"/>
      <c r="QPC96" s="11"/>
      <c r="QPD96" s="11"/>
      <c r="QPE96" s="11"/>
      <c r="QPF96" s="11"/>
      <c r="QPG96" s="11"/>
      <c r="QPH96" s="11"/>
      <c r="QPI96" s="11"/>
      <c r="QPJ96" s="11"/>
      <c r="QPK96" s="11"/>
      <c r="QPL96" s="11"/>
      <c r="QPM96" s="11"/>
      <c r="QPN96" s="11"/>
      <c r="QPO96" s="11"/>
      <c r="QPP96" s="11"/>
      <c r="QPQ96" s="11"/>
      <c r="QPR96" s="11"/>
      <c r="QPS96" s="11"/>
      <c r="QPT96" s="11"/>
      <c r="QPU96" s="11"/>
      <c r="QPV96" s="11"/>
      <c r="QPW96" s="11"/>
      <c r="QPX96" s="11"/>
      <c r="QPY96" s="11"/>
      <c r="QPZ96" s="11"/>
      <c r="QQA96" s="11"/>
      <c r="QQB96" s="11"/>
      <c r="QQC96" s="11"/>
      <c r="QQD96" s="11"/>
      <c r="QQE96" s="11"/>
      <c r="QQF96" s="11"/>
      <c r="QQG96" s="11"/>
      <c r="QQH96" s="11"/>
      <c r="QQI96" s="11"/>
      <c r="QQJ96" s="11"/>
      <c r="QQK96" s="11"/>
      <c r="QQL96" s="11"/>
      <c r="QQM96" s="11"/>
      <c r="QQN96" s="11"/>
      <c r="QQO96" s="11"/>
      <c r="QQP96" s="11"/>
      <c r="QQQ96" s="11"/>
      <c r="QQR96" s="11"/>
      <c r="QQS96" s="11"/>
      <c r="QQT96" s="11"/>
      <c r="QQU96" s="11"/>
      <c r="QQV96" s="11"/>
      <c r="QQW96" s="11"/>
      <c r="QQX96" s="11"/>
      <c r="QQY96" s="11"/>
      <c r="QQZ96" s="11"/>
      <c r="QRA96" s="11"/>
      <c r="QRB96" s="11"/>
      <c r="QRC96" s="11"/>
      <c r="QRD96" s="11"/>
      <c r="QRE96" s="11"/>
      <c r="QRF96" s="11"/>
      <c r="QRG96" s="11"/>
      <c r="QRH96" s="11"/>
      <c r="QRI96" s="11"/>
      <c r="QRJ96" s="11"/>
      <c r="QRK96" s="11"/>
      <c r="QRL96" s="11"/>
      <c r="QRM96" s="11"/>
      <c r="QRN96" s="11"/>
      <c r="QRO96" s="11"/>
      <c r="QRP96" s="11"/>
      <c r="QRQ96" s="11"/>
      <c r="QRR96" s="11"/>
      <c r="QRS96" s="11"/>
      <c r="QRT96" s="11"/>
      <c r="QRU96" s="11"/>
      <c r="QRV96" s="11"/>
      <c r="QRW96" s="11"/>
      <c r="QRX96" s="11"/>
      <c r="QRY96" s="11"/>
      <c r="QRZ96" s="11"/>
      <c r="QSA96" s="11"/>
      <c r="QSB96" s="11"/>
      <c r="QSC96" s="11"/>
      <c r="QSD96" s="11"/>
      <c r="QSE96" s="11"/>
      <c r="QSF96" s="11"/>
      <c r="QSG96" s="11"/>
      <c r="QSH96" s="11"/>
      <c r="QSI96" s="11"/>
      <c r="QSJ96" s="11"/>
      <c r="QSK96" s="11"/>
      <c r="QSL96" s="11"/>
      <c r="QSM96" s="11"/>
      <c r="QSN96" s="11"/>
      <c r="QSO96" s="11"/>
      <c r="QSP96" s="11"/>
      <c r="QSQ96" s="11"/>
      <c r="QSR96" s="11"/>
      <c r="QSS96" s="11"/>
      <c r="QST96" s="11"/>
      <c r="QSU96" s="11"/>
      <c r="QSV96" s="11"/>
      <c r="QSW96" s="11"/>
      <c r="QSX96" s="11"/>
      <c r="QSY96" s="11"/>
      <c r="QSZ96" s="11"/>
      <c r="QTA96" s="11"/>
      <c r="QTB96" s="11"/>
      <c r="QTC96" s="11"/>
      <c r="QTD96" s="11"/>
      <c r="QTE96" s="11"/>
      <c r="QTF96" s="11"/>
      <c r="QTG96" s="11"/>
      <c r="QTH96" s="11"/>
      <c r="QTI96" s="11"/>
      <c r="QTJ96" s="11"/>
      <c r="QTK96" s="11"/>
      <c r="QTL96" s="11"/>
      <c r="QTM96" s="11"/>
      <c r="QTN96" s="11"/>
      <c r="QTO96" s="11"/>
      <c r="QTP96" s="11"/>
      <c r="QTQ96" s="11"/>
      <c r="QTR96" s="11"/>
      <c r="QTS96" s="11"/>
      <c r="QTT96" s="11"/>
      <c r="QTU96" s="11"/>
      <c r="QTV96" s="11"/>
      <c r="QTW96" s="11"/>
      <c r="QTX96" s="11"/>
      <c r="QTY96" s="11"/>
      <c r="QTZ96" s="11"/>
      <c r="QUA96" s="11"/>
      <c r="QUB96" s="11"/>
      <c r="QUC96" s="11"/>
      <c r="QUD96" s="11"/>
      <c r="QUE96" s="11"/>
      <c r="QUF96" s="11"/>
      <c r="QUG96" s="11"/>
      <c r="QUH96" s="11"/>
      <c r="QUI96" s="11"/>
      <c r="QUJ96" s="11"/>
      <c r="QUK96" s="11"/>
      <c r="QUL96" s="11"/>
      <c r="QUM96" s="11"/>
      <c r="QUN96" s="11"/>
      <c r="QUO96" s="11"/>
      <c r="QUP96" s="11"/>
      <c r="QUQ96" s="11"/>
      <c r="QUR96" s="11"/>
      <c r="QUS96" s="11"/>
      <c r="QUT96" s="11"/>
      <c r="QUU96" s="11"/>
      <c r="QUV96" s="11"/>
      <c r="QUW96" s="11"/>
      <c r="QUX96" s="11"/>
      <c r="QUY96" s="11"/>
      <c r="QUZ96" s="11"/>
      <c r="QVA96" s="11"/>
      <c r="QVB96" s="11"/>
      <c r="QVC96" s="11"/>
      <c r="QVD96" s="11"/>
      <c r="QVE96" s="11"/>
      <c r="QVF96" s="11"/>
      <c r="QVG96" s="11"/>
      <c r="QVH96" s="11"/>
      <c r="QVI96" s="11"/>
      <c r="QVJ96" s="11"/>
      <c r="QVK96" s="11"/>
      <c r="QVL96" s="11"/>
      <c r="QVM96" s="11"/>
      <c r="QVN96" s="11"/>
      <c r="QVO96" s="11"/>
      <c r="QVP96" s="11"/>
      <c r="QVQ96" s="11"/>
      <c r="QVR96" s="11"/>
      <c r="QVS96" s="11"/>
      <c r="QVT96" s="11"/>
      <c r="QVU96" s="11"/>
      <c r="QVV96" s="11"/>
      <c r="QVW96" s="11"/>
      <c r="QVX96" s="11"/>
      <c r="QVY96" s="11"/>
      <c r="QVZ96" s="11"/>
      <c r="QWA96" s="11"/>
      <c r="QWB96" s="11"/>
      <c r="QWC96" s="11"/>
      <c r="QWD96" s="11"/>
      <c r="QWE96" s="11"/>
      <c r="QWF96" s="11"/>
      <c r="QWG96" s="11"/>
      <c r="QWH96" s="11"/>
      <c r="QWI96" s="11"/>
      <c r="QWJ96" s="11"/>
      <c r="QWK96" s="11"/>
      <c r="QWL96" s="11"/>
      <c r="QWM96" s="11"/>
      <c r="QWN96" s="11"/>
      <c r="QWO96" s="11"/>
      <c r="QWP96" s="11"/>
      <c r="QWQ96" s="11"/>
      <c r="QWR96" s="11"/>
      <c r="QWS96" s="11"/>
      <c r="QWT96" s="11"/>
      <c r="QWU96" s="11"/>
      <c r="QWV96" s="11"/>
      <c r="QWW96" s="11"/>
      <c r="QWX96" s="11"/>
      <c r="QWY96" s="11"/>
      <c r="QWZ96" s="11"/>
      <c r="QXA96" s="11"/>
      <c r="QXB96" s="11"/>
      <c r="QXC96" s="11"/>
      <c r="QXD96" s="11"/>
      <c r="QXE96" s="11"/>
      <c r="QXF96" s="11"/>
      <c r="QXG96" s="11"/>
      <c r="QXH96" s="11"/>
      <c r="QXI96" s="11"/>
      <c r="QXJ96" s="11"/>
      <c r="QXK96" s="11"/>
      <c r="QXL96" s="11"/>
      <c r="QXM96" s="11"/>
      <c r="QXN96" s="11"/>
      <c r="QXO96" s="11"/>
      <c r="QXP96" s="11"/>
      <c r="QXQ96" s="11"/>
      <c r="QXR96" s="11"/>
      <c r="QXS96" s="11"/>
      <c r="QXT96" s="11"/>
      <c r="QXU96" s="11"/>
      <c r="QXV96" s="11"/>
      <c r="QXW96" s="11"/>
      <c r="QXX96" s="11"/>
      <c r="QXY96" s="11"/>
      <c r="QXZ96" s="11"/>
      <c r="QYA96" s="11"/>
      <c r="QYB96" s="11"/>
      <c r="QYC96" s="11"/>
      <c r="QYD96" s="11"/>
      <c r="QYE96" s="11"/>
      <c r="QYF96" s="11"/>
      <c r="QYG96" s="11"/>
      <c r="QYH96" s="11"/>
      <c r="QYI96" s="11"/>
      <c r="QYJ96" s="11"/>
      <c r="QYK96" s="11"/>
      <c r="QYL96" s="11"/>
      <c r="QYM96" s="11"/>
      <c r="QYN96" s="11"/>
      <c r="QYO96" s="11"/>
      <c r="QYP96" s="11"/>
      <c r="QYQ96" s="11"/>
      <c r="QYR96" s="11"/>
      <c r="QYS96" s="11"/>
      <c r="QYT96" s="11"/>
      <c r="QYU96" s="11"/>
      <c r="QYV96" s="11"/>
      <c r="QYW96" s="11"/>
      <c r="QYX96" s="11"/>
      <c r="QYY96" s="11"/>
      <c r="QYZ96" s="11"/>
      <c r="QZA96" s="11"/>
      <c r="QZB96" s="11"/>
      <c r="QZC96" s="11"/>
      <c r="QZD96" s="11"/>
      <c r="QZE96" s="11"/>
      <c r="QZF96" s="11"/>
      <c r="QZG96" s="11"/>
      <c r="QZH96" s="11"/>
      <c r="QZI96" s="11"/>
      <c r="QZJ96" s="11"/>
      <c r="QZK96" s="11"/>
      <c r="QZL96" s="11"/>
      <c r="QZM96" s="11"/>
      <c r="QZN96" s="11"/>
      <c r="QZO96" s="11"/>
      <c r="QZP96" s="11"/>
      <c r="QZQ96" s="11"/>
      <c r="QZR96" s="11"/>
      <c r="QZS96" s="11"/>
      <c r="QZT96" s="11"/>
      <c r="QZU96" s="11"/>
      <c r="QZV96" s="11"/>
      <c r="QZW96" s="11"/>
      <c r="QZX96" s="11"/>
      <c r="QZY96" s="11"/>
      <c r="QZZ96" s="11"/>
      <c r="RAA96" s="11"/>
      <c r="RAB96" s="11"/>
      <c r="RAC96" s="11"/>
      <c r="RAD96" s="11"/>
      <c r="RAE96" s="11"/>
      <c r="RAF96" s="11"/>
      <c r="RAG96" s="11"/>
      <c r="RAH96" s="11"/>
      <c r="RAI96" s="11"/>
      <c r="RAJ96" s="11"/>
      <c r="RAK96" s="11"/>
      <c r="RAL96" s="11"/>
      <c r="RAM96" s="11"/>
      <c r="RAN96" s="11"/>
      <c r="RAO96" s="11"/>
      <c r="RAP96" s="11"/>
      <c r="RAQ96" s="11"/>
      <c r="RAR96" s="11"/>
      <c r="RAS96" s="11"/>
      <c r="RAT96" s="11"/>
      <c r="RAU96" s="11"/>
      <c r="RAV96" s="11"/>
      <c r="RAW96" s="11"/>
      <c r="RAX96" s="11"/>
      <c r="RAY96" s="11"/>
      <c r="RAZ96" s="11"/>
      <c r="RBA96" s="11"/>
      <c r="RBB96" s="11"/>
      <c r="RBC96" s="11"/>
      <c r="RBD96" s="11"/>
      <c r="RBE96" s="11"/>
      <c r="RBF96" s="11"/>
      <c r="RBG96" s="11"/>
      <c r="RBH96" s="11"/>
      <c r="RBI96" s="11"/>
      <c r="RBJ96" s="11"/>
      <c r="RBK96" s="11"/>
      <c r="RBL96" s="11"/>
      <c r="RBM96" s="11"/>
      <c r="RBN96" s="11"/>
      <c r="RBO96" s="11"/>
      <c r="RBP96" s="11"/>
      <c r="RBQ96" s="11"/>
      <c r="RBR96" s="11"/>
      <c r="RBS96" s="11"/>
      <c r="RBT96" s="11"/>
      <c r="RBU96" s="11"/>
      <c r="RBV96" s="11"/>
      <c r="RBW96" s="11"/>
      <c r="RBX96" s="11"/>
      <c r="RBY96" s="11"/>
      <c r="RBZ96" s="11"/>
      <c r="RCA96" s="11"/>
      <c r="RCB96" s="11"/>
      <c r="RCC96" s="11"/>
      <c r="RCD96" s="11"/>
      <c r="RCE96" s="11"/>
      <c r="RCF96" s="11"/>
      <c r="RCG96" s="11"/>
      <c r="RCH96" s="11"/>
      <c r="RCI96" s="11"/>
      <c r="RCJ96" s="11"/>
      <c r="RCK96" s="11"/>
      <c r="RCL96" s="11"/>
      <c r="RCM96" s="11"/>
      <c r="RCN96" s="11"/>
      <c r="RCO96" s="11"/>
      <c r="RCP96" s="11"/>
      <c r="RCQ96" s="11"/>
      <c r="RCR96" s="11"/>
      <c r="RCS96" s="11"/>
      <c r="RCT96" s="11"/>
      <c r="RCU96" s="11"/>
      <c r="RCV96" s="11"/>
      <c r="RCW96" s="11"/>
      <c r="RCX96" s="11"/>
      <c r="RCY96" s="11"/>
      <c r="RCZ96" s="11"/>
      <c r="RDA96" s="11"/>
      <c r="RDB96" s="11"/>
      <c r="RDC96" s="11"/>
      <c r="RDD96" s="11"/>
      <c r="RDE96" s="11"/>
      <c r="RDF96" s="11"/>
      <c r="RDG96" s="11"/>
      <c r="RDH96" s="11"/>
      <c r="RDI96" s="11"/>
      <c r="RDJ96" s="11"/>
      <c r="RDK96" s="11"/>
      <c r="RDL96" s="11"/>
      <c r="RDM96" s="11"/>
      <c r="RDN96" s="11"/>
      <c r="RDO96" s="11"/>
      <c r="RDP96" s="11"/>
      <c r="RDQ96" s="11"/>
      <c r="RDR96" s="11"/>
      <c r="RDS96" s="11"/>
      <c r="RDT96" s="11"/>
      <c r="RDU96" s="11"/>
      <c r="RDV96" s="11"/>
      <c r="RDW96" s="11"/>
      <c r="RDX96" s="11"/>
      <c r="RDY96" s="11"/>
      <c r="RDZ96" s="11"/>
      <c r="REA96" s="11"/>
      <c r="REB96" s="11"/>
      <c r="REC96" s="11"/>
      <c r="RED96" s="11"/>
      <c r="REE96" s="11"/>
      <c r="REF96" s="11"/>
      <c r="REG96" s="11"/>
      <c r="REH96" s="11"/>
      <c r="REI96" s="11"/>
      <c r="REJ96" s="11"/>
      <c r="REK96" s="11"/>
      <c r="REL96" s="11"/>
      <c r="REM96" s="11"/>
      <c r="REN96" s="11"/>
      <c r="REO96" s="11"/>
      <c r="REP96" s="11"/>
      <c r="REQ96" s="11"/>
      <c r="RER96" s="11"/>
      <c r="RES96" s="11"/>
      <c r="RET96" s="11"/>
      <c r="REU96" s="11"/>
      <c r="REV96" s="11"/>
      <c r="REW96" s="11"/>
      <c r="REX96" s="11"/>
      <c r="REY96" s="11"/>
      <c r="REZ96" s="11"/>
      <c r="RFA96" s="11"/>
      <c r="RFB96" s="11"/>
      <c r="RFC96" s="11"/>
      <c r="RFD96" s="11"/>
      <c r="RFE96" s="11"/>
      <c r="RFF96" s="11"/>
      <c r="RFG96" s="11"/>
      <c r="RFH96" s="11"/>
      <c r="RFI96" s="11"/>
      <c r="RFJ96" s="11"/>
      <c r="RFK96" s="11"/>
      <c r="RFL96" s="11"/>
      <c r="RFM96" s="11"/>
      <c r="RFN96" s="11"/>
      <c r="RFO96" s="11"/>
      <c r="RFP96" s="11"/>
      <c r="RFQ96" s="11"/>
      <c r="RFR96" s="11"/>
      <c r="RFS96" s="11"/>
      <c r="RFT96" s="11"/>
      <c r="RFU96" s="11"/>
      <c r="RFV96" s="11"/>
      <c r="RFW96" s="11"/>
      <c r="RFX96" s="11"/>
      <c r="RFY96" s="11"/>
      <c r="RFZ96" s="11"/>
      <c r="RGA96" s="11"/>
      <c r="RGB96" s="11"/>
      <c r="RGC96" s="11"/>
      <c r="RGD96" s="11"/>
      <c r="RGE96" s="11"/>
      <c r="RGF96" s="11"/>
      <c r="RGG96" s="11"/>
      <c r="RGH96" s="11"/>
      <c r="RGI96" s="11"/>
      <c r="RGJ96" s="11"/>
      <c r="RGK96" s="11"/>
      <c r="RGL96" s="11"/>
      <c r="RGM96" s="11"/>
      <c r="RGN96" s="11"/>
      <c r="RGO96" s="11"/>
      <c r="RGP96" s="11"/>
      <c r="RGQ96" s="11"/>
      <c r="RGR96" s="11"/>
      <c r="RGS96" s="11"/>
      <c r="RGT96" s="11"/>
      <c r="RGU96" s="11"/>
      <c r="RGV96" s="11"/>
      <c r="RGW96" s="11"/>
      <c r="RGX96" s="11"/>
      <c r="RGY96" s="11"/>
      <c r="RGZ96" s="11"/>
      <c r="RHA96" s="11"/>
      <c r="RHB96" s="11"/>
      <c r="RHC96" s="11"/>
      <c r="RHD96" s="11"/>
      <c r="RHE96" s="11"/>
      <c r="RHF96" s="11"/>
      <c r="RHG96" s="11"/>
      <c r="RHH96" s="11"/>
      <c r="RHI96" s="11"/>
      <c r="RHJ96" s="11"/>
      <c r="RHK96" s="11"/>
      <c r="RHL96" s="11"/>
      <c r="RHM96" s="11"/>
      <c r="RHN96" s="11"/>
      <c r="RHO96" s="11"/>
      <c r="RHP96" s="11"/>
      <c r="RHQ96" s="11"/>
      <c r="RHR96" s="11"/>
      <c r="RHS96" s="11"/>
      <c r="RHT96" s="11"/>
      <c r="RHU96" s="11"/>
      <c r="RHV96" s="11"/>
      <c r="RHW96" s="11"/>
      <c r="RHX96" s="11"/>
      <c r="RHY96" s="11"/>
      <c r="RHZ96" s="11"/>
      <c r="RIA96" s="11"/>
      <c r="RIB96" s="11"/>
      <c r="RIC96" s="11"/>
      <c r="RID96" s="11"/>
      <c r="RIE96" s="11"/>
      <c r="RIF96" s="11"/>
      <c r="RIG96" s="11"/>
      <c r="RIH96" s="11"/>
      <c r="RII96" s="11"/>
      <c r="RIJ96" s="11"/>
      <c r="RIK96" s="11"/>
      <c r="RIL96" s="11"/>
      <c r="RIM96" s="11"/>
      <c r="RIN96" s="11"/>
      <c r="RIO96" s="11"/>
      <c r="RIP96" s="11"/>
      <c r="RIQ96" s="11"/>
      <c r="RIR96" s="11"/>
      <c r="RIS96" s="11"/>
      <c r="RIT96" s="11"/>
      <c r="RIU96" s="11"/>
      <c r="RIV96" s="11"/>
      <c r="RIW96" s="11"/>
      <c r="RIX96" s="11"/>
      <c r="RIY96" s="11"/>
      <c r="RIZ96" s="11"/>
      <c r="RJA96" s="11"/>
      <c r="RJB96" s="11"/>
      <c r="RJC96" s="11"/>
      <c r="RJD96" s="11"/>
      <c r="RJE96" s="11"/>
      <c r="RJF96" s="11"/>
      <c r="RJG96" s="11"/>
      <c r="RJH96" s="11"/>
      <c r="RJI96" s="11"/>
      <c r="RJJ96" s="11"/>
      <c r="RJK96" s="11"/>
      <c r="RJL96" s="11"/>
      <c r="RJM96" s="11"/>
      <c r="RJN96" s="11"/>
      <c r="RJO96" s="11"/>
      <c r="RJP96" s="11"/>
      <c r="RJQ96" s="11"/>
      <c r="RJR96" s="11"/>
      <c r="RJS96" s="11"/>
      <c r="RJT96" s="11"/>
      <c r="RJU96" s="11"/>
      <c r="RJV96" s="11"/>
      <c r="RJW96" s="11"/>
      <c r="RJX96" s="11"/>
      <c r="RJY96" s="11"/>
      <c r="RJZ96" s="11"/>
      <c r="RKA96" s="11"/>
      <c r="RKB96" s="11"/>
      <c r="RKC96" s="11"/>
      <c r="RKD96" s="11"/>
      <c r="RKE96" s="11"/>
      <c r="RKF96" s="11"/>
      <c r="RKG96" s="11"/>
      <c r="RKH96" s="11"/>
      <c r="RKI96" s="11"/>
      <c r="RKJ96" s="11"/>
      <c r="RKK96" s="11"/>
      <c r="RKL96" s="11"/>
      <c r="RKM96" s="11"/>
      <c r="RKN96" s="11"/>
      <c r="RKO96" s="11"/>
      <c r="RKP96" s="11"/>
      <c r="RKQ96" s="11"/>
      <c r="RKR96" s="11"/>
      <c r="RKS96" s="11"/>
      <c r="RKT96" s="11"/>
      <c r="RKU96" s="11"/>
      <c r="RKV96" s="11"/>
      <c r="RKW96" s="11"/>
      <c r="RKX96" s="11"/>
      <c r="RKY96" s="11"/>
      <c r="RKZ96" s="11"/>
      <c r="RLA96" s="11"/>
      <c r="RLB96" s="11"/>
      <c r="RLC96" s="11"/>
      <c r="RLD96" s="11"/>
      <c r="RLE96" s="11"/>
      <c r="RLF96" s="11"/>
      <c r="RLG96" s="11"/>
      <c r="RLH96" s="11"/>
      <c r="RLI96" s="11"/>
      <c r="RLJ96" s="11"/>
      <c r="RLK96" s="11"/>
      <c r="RLL96" s="11"/>
      <c r="RLM96" s="11"/>
      <c r="RLN96" s="11"/>
      <c r="RLO96" s="11"/>
      <c r="RLP96" s="11"/>
      <c r="RLQ96" s="11"/>
      <c r="RLR96" s="11"/>
      <c r="RLS96" s="11"/>
      <c r="RLT96" s="11"/>
      <c r="RLU96" s="11"/>
      <c r="RLV96" s="11"/>
      <c r="RLW96" s="11"/>
      <c r="RLX96" s="11"/>
      <c r="RLY96" s="11"/>
      <c r="RLZ96" s="11"/>
      <c r="RMA96" s="11"/>
      <c r="RMB96" s="11"/>
      <c r="RMC96" s="11"/>
      <c r="RMD96" s="11"/>
      <c r="RME96" s="11"/>
      <c r="RMF96" s="11"/>
      <c r="RMG96" s="11"/>
      <c r="RMH96" s="11"/>
      <c r="RMI96" s="11"/>
      <c r="RMJ96" s="11"/>
      <c r="RMK96" s="11"/>
      <c r="RML96" s="11"/>
      <c r="RMM96" s="11"/>
      <c r="RMN96" s="11"/>
      <c r="RMO96" s="11"/>
      <c r="RMP96" s="11"/>
      <c r="RMQ96" s="11"/>
      <c r="RMR96" s="11"/>
      <c r="RMS96" s="11"/>
      <c r="RMT96" s="11"/>
      <c r="RMU96" s="11"/>
      <c r="RMV96" s="11"/>
      <c r="RMW96" s="11"/>
      <c r="RMX96" s="11"/>
      <c r="RMY96" s="11"/>
      <c r="RMZ96" s="11"/>
      <c r="RNA96" s="11"/>
      <c r="RNB96" s="11"/>
      <c r="RNC96" s="11"/>
      <c r="RND96" s="11"/>
      <c r="RNE96" s="11"/>
      <c r="RNF96" s="11"/>
      <c r="RNG96" s="11"/>
      <c r="RNH96" s="11"/>
      <c r="RNI96" s="11"/>
      <c r="RNJ96" s="11"/>
      <c r="RNK96" s="11"/>
      <c r="RNL96" s="11"/>
      <c r="RNM96" s="11"/>
      <c r="RNN96" s="11"/>
      <c r="RNO96" s="11"/>
      <c r="RNP96" s="11"/>
      <c r="RNQ96" s="11"/>
      <c r="RNR96" s="11"/>
      <c r="RNS96" s="11"/>
      <c r="RNT96" s="11"/>
      <c r="RNU96" s="11"/>
      <c r="RNV96" s="11"/>
      <c r="RNW96" s="11"/>
      <c r="RNX96" s="11"/>
      <c r="RNY96" s="11"/>
      <c r="RNZ96" s="11"/>
      <c r="ROA96" s="11"/>
      <c r="ROB96" s="11"/>
      <c r="ROC96" s="11"/>
      <c r="ROD96" s="11"/>
      <c r="ROE96" s="11"/>
      <c r="ROF96" s="11"/>
      <c r="ROG96" s="11"/>
      <c r="ROH96" s="11"/>
      <c r="ROI96" s="11"/>
      <c r="ROJ96" s="11"/>
      <c r="ROK96" s="11"/>
      <c r="ROL96" s="11"/>
      <c r="ROM96" s="11"/>
      <c r="RON96" s="11"/>
      <c r="ROO96" s="11"/>
      <c r="ROP96" s="11"/>
      <c r="ROQ96" s="11"/>
      <c r="ROR96" s="11"/>
      <c r="ROS96" s="11"/>
      <c r="ROT96" s="11"/>
      <c r="ROU96" s="11"/>
      <c r="ROV96" s="11"/>
      <c r="ROW96" s="11"/>
      <c r="ROX96" s="11"/>
      <c r="ROY96" s="11"/>
      <c r="ROZ96" s="11"/>
      <c r="RPA96" s="11"/>
      <c r="RPB96" s="11"/>
      <c r="RPC96" s="11"/>
      <c r="RPD96" s="11"/>
      <c r="RPE96" s="11"/>
      <c r="RPF96" s="11"/>
      <c r="RPG96" s="11"/>
      <c r="RPH96" s="11"/>
      <c r="RPI96" s="11"/>
      <c r="RPJ96" s="11"/>
      <c r="RPK96" s="11"/>
      <c r="RPL96" s="11"/>
      <c r="RPM96" s="11"/>
      <c r="RPN96" s="11"/>
      <c r="RPO96" s="11"/>
      <c r="RPP96" s="11"/>
      <c r="RPQ96" s="11"/>
      <c r="RPR96" s="11"/>
      <c r="RPS96" s="11"/>
      <c r="RPT96" s="11"/>
      <c r="RPU96" s="11"/>
      <c r="RPV96" s="11"/>
      <c r="RPW96" s="11"/>
      <c r="RPX96" s="11"/>
      <c r="RPY96" s="11"/>
      <c r="RPZ96" s="11"/>
      <c r="RQA96" s="11"/>
      <c r="RQB96" s="11"/>
      <c r="RQC96" s="11"/>
      <c r="RQD96" s="11"/>
      <c r="RQE96" s="11"/>
      <c r="RQF96" s="11"/>
      <c r="RQG96" s="11"/>
      <c r="RQH96" s="11"/>
      <c r="RQI96" s="11"/>
      <c r="RQJ96" s="11"/>
      <c r="RQK96" s="11"/>
      <c r="RQL96" s="11"/>
      <c r="RQM96" s="11"/>
      <c r="RQN96" s="11"/>
      <c r="RQO96" s="11"/>
      <c r="RQP96" s="11"/>
      <c r="RQQ96" s="11"/>
      <c r="RQR96" s="11"/>
      <c r="RQS96" s="11"/>
      <c r="RQT96" s="11"/>
      <c r="RQU96" s="11"/>
      <c r="RQV96" s="11"/>
      <c r="RQW96" s="11"/>
      <c r="RQX96" s="11"/>
      <c r="RQY96" s="11"/>
      <c r="RQZ96" s="11"/>
      <c r="RRA96" s="11"/>
      <c r="RRB96" s="11"/>
      <c r="RRC96" s="11"/>
      <c r="RRD96" s="11"/>
      <c r="RRE96" s="11"/>
      <c r="RRF96" s="11"/>
      <c r="RRG96" s="11"/>
      <c r="RRH96" s="11"/>
      <c r="RRI96" s="11"/>
      <c r="RRJ96" s="11"/>
      <c r="RRK96" s="11"/>
      <c r="RRL96" s="11"/>
      <c r="RRM96" s="11"/>
      <c r="RRN96" s="11"/>
      <c r="RRO96" s="11"/>
      <c r="RRP96" s="11"/>
      <c r="RRQ96" s="11"/>
      <c r="RRR96" s="11"/>
      <c r="RRS96" s="11"/>
      <c r="RRT96" s="11"/>
      <c r="RRU96" s="11"/>
      <c r="RRV96" s="11"/>
      <c r="RRW96" s="11"/>
      <c r="RRX96" s="11"/>
      <c r="RRY96" s="11"/>
      <c r="RRZ96" s="11"/>
      <c r="RSA96" s="11"/>
      <c r="RSB96" s="11"/>
      <c r="RSC96" s="11"/>
      <c r="RSD96" s="11"/>
      <c r="RSE96" s="11"/>
      <c r="RSF96" s="11"/>
      <c r="RSG96" s="11"/>
      <c r="RSH96" s="11"/>
      <c r="RSI96" s="11"/>
      <c r="RSJ96" s="11"/>
      <c r="RSK96" s="11"/>
      <c r="RSL96" s="11"/>
      <c r="RSM96" s="11"/>
      <c r="RSN96" s="11"/>
      <c r="RSO96" s="11"/>
      <c r="RSP96" s="11"/>
      <c r="RSQ96" s="11"/>
      <c r="RSR96" s="11"/>
      <c r="RSS96" s="11"/>
      <c r="RST96" s="11"/>
      <c r="RSU96" s="11"/>
      <c r="RSV96" s="11"/>
      <c r="RSW96" s="11"/>
      <c r="RSX96" s="11"/>
      <c r="RSY96" s="11"/>
      <c r="RSZ96" s="11"/>
      <c r="RTA96" s="11"/>
      <c r="RTB96" s="11"/>
      <c r="RTC96" s="11"/>
      <c r="RTD96" s="11"/>
      <c r="RTE96" s="11"/>
      <c r="RTF96" s="11"/>
      <c r="RTG96" s="11"/>
      <c r="RTH96" s="11"/>
      <c r="RTI96" s="11"/>
      <c r="RTJ96" s="11"/>
      <c r="RTK96" s="11"/>
      <c r="RTL96" s="11"/>
      <c r="RTM96" s="11"/>
      <c r="RTN96" s="11"/>
      <c r="RTO96" s="11"/>
      <c r="RTP96" s="11"/>
      <c r="RTQ96" s="11"/>
      <c r="RTR96" s="11"/>
      <c r="RTS96" s="11"/>
      <c r="RTT96" s="11"/>
      <c r="RTU96" s="11"/>
      <c r="RTV96" s="11"/>
      <c r="RTW96" s="11"/>
      <c r="RTX96" s="11"/>
      <c r="RTY96" s="11"/>
      <c r="RTZ96" s="11"/>
      <c r="RUA96" s="11"/>
      <c r="RUB96" s="11"/>
      <c r="RUC96" s="11"/>
      <c r="RUD96" s="11"/>
      <c r="RUE96" s="11"/>
      <c r="RUF96" s="11"/>
      <c r="RUG96" s="11"/>
      <c r="RUH96" s="11"/>
      <c r="RUI96" s="11"/>
      <c r="RUJ96" s="11"/>
      <c r="RUK96" s="11"/>
      <c r="RUL96" s="11"/>
      <c r="RUM96" s="11"/>
      <c r="RUN96" s="11"/>
      <c r="RUO96" s="11"/>
      <c r="RUP96" s="11"/>
      <c r="RUQ96" s="11"/>
      <c r="RUR96" s="11"/>
      <c r="RUS96" s="11"/>
      <c r="RUT96" s="11"/>
      <c r="RUU96" s="11"/>
      <c r="RUV96" s="11"/>
      <c r="RUW96" s="11"/>
      <c r="RUX96" s="11"/>
      <c r="RUY96" s="11"/>
      <c r="RUZ96" s="11"/>
      <c r="RVA96" s="11"/>
      <c r="RVB96" s="11"/>
      <c r="RVC96" s="11"/>
      <c r="RVD96" s="11"/>
      <c r="RVE96" s="11"/>
      <c r="RVF96" s="11"/>
      <c r="RVG96" s="11"/>
      <c r="RVH96" s="11"/>
      <c r="RVI96" s="11"/>
      <c r="RVJ96" s="11"/>
      <c r="RVK96" s="11"/>
      <c r="RVL96" s="11"/>
      <c r="RVM96" s="11"/>
      <c r="RVN96" s="11"/>
      <c r="RVO96" s="11"/>
      <c r="RVP96" s="11"/>
      <c r="RVQ96" s="11"/>
      <c r="RVR96" s="11"/>
      <c r="RVS96" s="11"/>
      <c r="RVT96" s="11"/>
      <c r="RVU96" s="11"/>
      <c r="RVV96" s="11"/>
      <c r="RVW96" s="11"/>
      <c r="RVX96" s="11"/>
      <c r="RVY96" s="11"/>
      <c r="RVZ96" s="11"/>
      <c r="RWA96" s="11"/>
      <c r="RWB96" s="11"/>
      <c r="RWC96" s="11"/>
      <c r="RWD96" s="11"/>
      <c r="RWE96" s="11"/>
      <c r="RWF96" s="11"/>
      <c r="RWG96" s="11"/>
      <c r="RWH96" s="11"/>
      <c r="RWI96" s="11"/>
      <c r="RWJ96" s="11"/>
      <c r="RWK96" s="11"/>
      <c r="RWL96" s="11"/>
      <c r="RWM96" s="11"/>
      <c r="RWN96" s="11"/>
      <c r="RWO96" s="11"/>
      <c r="RWP96" s="11"/>
      <c r="RWQ96" s="11"/>
      <c r="RWR96" s="11"/>
      <c r="RWS96" s="11"/>
      <c r="RWT96" s="11"/>
      <c r="RWU96" s="11"/>
      <c r="RWV96" s="11"/>
      <c r="RWW96" s="11"/>
      <c r="RWX96" s="11"/>
      <c r="RWY96" s="11"/>
      <c r="RWZ96" s="11"/>
      <c r="RXA96" s="11"/>
      <c r="RXB96" s="11"/>
      <c r="RXC96" s="11"/>
      <c r="RXD96" s="11"/>
      <c r="RXE96" s="11"/>
      <c r="RXF96" s="11"/>
      <c r="RXG96" s="11"/>
      <c r="RXH96" s="11"/>
      <c r="RXI96" s="11"/>
      <c r="RXJ96" s="11"/>
      <c r="RXK96" s="11"/>
      <c r="RXL96" s="11"/>
      <c r="RXM96" s="11"/>
      <c r="RXN96" s="11"/>
      <c r="RXO96" s="11"/>
      <c r="RXP96" s="11"/>
      <c r="RXQ96" s="11"/>
      <c r="RXR96" s="11"/>
      <c r="RXS96" s="11"/>
      <c r="RXT96" s="11"/>
      <c r="RXU96" s="11"/>
      <c r="RXV96" s="11"/>
      <c r="RXW96" s="11"/>
      <c r="RXX96" s="11"/>
      <c r="RXY96" s="11"/>
      <c r="RXZ96" s="11"/>
      <c r="RYA96" s="11"/>
      <c r="RYB96" s="11"/>
      <c r="RYC96" s="11"/>
      <c r="RYD96" s="11"/>
      <c r="RYE96" s="11"/>
      <c r="RYF96" s="11"/>
      <c r="RYG96" s="11"/>
      <c r="RYH96" s="11"/>
      <c r="RYI96" s="11"/>
      <c r="RYJ96" s="11"/>
      <c r="RYK96" s="11"/>
      <c r="RYL96" s="11"/>
      <c r="RYM96" s="11"/>
      <c r="RYN96" s="11"/>
      <c r="RYO96" s="11"/>
      <c r="RYP96" s="11"/>
      <c r="RYQ96" s="11"/>
      <c r="RYR96" s="11"/>
      <c r="RYS96" s="11"/>
      <c r="RYT96" s="11"/>
      <c r="RYU96" s="11"/>
      <c r="RYV96" s="11"/>
      <c r="RYW96" s="11"/>
      <c r="RYX96" s="11"/>
      <c r="RYY96" s="11"/>
      <c r="RYZ96" s="11"/>
      <c r="RZA96" s="11"/>
      <c r="RZB96" s="11"/>
      <c r="RZC96" s="11"/>
      <c r="RZD96" s="11"/>
      <c r="RZE96" s="11"/>
      <c r="RZF96" s="11"/>
      <c r="RZG96" s="11"/>
      <c r="RZH96" s="11"/>
      <c r="RZI96" s="11"/>
      <c r="RZJ96" s="11"/>
      <c r="RZK96" s="11"/>
      <c r="RZL96" s="11"/>
      <c r="RZM96" s="11"/>
      <c r="RZN96" s="11"/>
      <c r="RZO96" s="11"/>
      <c r="RZP96" s="11"/>
      <c r="RZQ96" s="11"/>
      <c r="RZR96" s="11"/>
      <c r="RZS96" s="11"/>
      <c r="RZT96" s="11"/>
      <c r="RZU96" s="11"/>
      <c r="RZV96" s="11"/>
      <c r="RZW96" s="11"/>
      <c r="RZX96" s="11"/>
      <c r="RZY96" s="11"/>
      <c r="RZZ96" s="11"/>
      <c r="SAA96" s="11"/>
      <c r="SAB96" s="11"/>
      <c r="SAC96" s="11"/>
      <c r="SAD96" s="11"/>
      <c r="SAE96" s="11"/>
      <c r="SAF96" s="11"/>
      <c r="SAG96" s="11"/>
      <c r="SAH96" s="11"/>
      <c r="SAI96" s="11"/>
      <c r="SAJ96" s="11"/>
      <c r="SAK96" s="11"/>
      <c r="SAL96" s="11"/>
      <c r="SAM96" s="11"/>
      <c r="SAN96" s="11"/>
      <c r="SAO96" s="11"/>
      <c r="SAP96" s="11"/>
      <c r="SAQ96" s="11"/>
      <c r="SAR96" s="11"/>
      <c r="SAS96" s="11"/>
      <c r="SAT96" s="11"/>
      <c r="SAU96" s="11"/>
      <c r="SAV96" s="11"/>
      <c r="SAW96" s="11"/>
      <c r="SAX96" s="11"/>
      <c r="SAY96" s="11"/>
      <c r="SAZ96" s="11"/>
      <c r="SBA96" s="11"/>
      <c r="SBB96" s="11"/>
      <c r="SBC96" s="11"/>
      <c r="SBD96" s="11"/>
      <c r="SBE96" s="11"/>
      <c r="SBF96" s="11"/>
      <c r="SBG96" s="11"/>
      <c r="SBH96" s="11"/>
      <c r="SBI96" s="11"/>
      <c r="SBJ96" s="11"/>
      <c r="SBK96" s="11"/>
      <c r="SBL96" s="11"/>
      <c r="SBM96" s="11"/>
      <c r="SBN96" s="11"/>
      <c r="SBO96" s="11"/>
      <c r="SBP96" s="11"/>
      <c r="SBQ96" s="11"/>
      <c r="SBR96" s="11"/>
      <c r="SBS96" s="11"/>
      <c r="SBT96" s="11"/>
      <c r="SBU96" s="11"/>
      <c r="SBV96" s="11"/>
      <c r="SBW96" s="11"/>
      <c r="SBX96" s="11"/>
      <c r="SBY96" s="11"/>
      <c r="SBZ96" s="11"/>
      <c r="SCA96" s="11"/>
      <c r="SCB96" s="11"/>
      <c r="SCC96" s="11"/>
      <c r="SCD96" s="11"/>
      <c r="SCE96" s="11"/>
      <c r="SCF96" s="11"/>
      <c r="SCG96" s="11"/>
      <c r="SCH96" s="11"/>
      <c r="SCI96" s="11"/>
      <c r="SCJ96" s="11"/>
      <c r="SCK96" s="11"/>
      <c r="SCL96" s="11"/>
      <c r="SCM96" s="11"/>
      <c r="SCN96" s="11"/>
      <c r="SCO96" s="11"/>
      <c r="SCP96" s="11"/>
      <c r="SCQ96" s="11"/>
      <c r="SCR96" s="11"/>
      <c r="SCS96" s="11"/>
      <c r="SCT96" s="11"/>
      <c r="SCU96" s="11"/>
      <c r="SCV96" s="11"/>
      <c r="SCW96" s="11"/>
      <c r="SCX96" s="11"/>
      <c r="SCY96" s="11"/>
      <c r="SCZ96" s="11"/>
      <c r="SDA96" s="11"/>
      <c r="SDB96" s="11"/>
      <c r="SDC96" s="11"/>
      <c r="SDD96" s="11"/>
      <c r="SDE96" s="11"/>
      <c r="SDF96" s="11"/>
      <c r="SDG96" s="11"/>
      <c r="SDH96" s="11"/>
      <c r="SDI96" s="11"/>
      <c r="SDJ96" s="11"/>
      <c r="SDK96" s="11"/>
      <c r="SDL96" s="11"/>
      <c r="SDM96" s="11"/>
      <c r="SDN96" s="11"/>
      <c r="SDO96" s="11"/>
      <c r="SDP96" s="11"/>
      <c r="SDQ96" s="11"/>
      <c r="SDR96" s="11"/>
      <c r="SDS96" s="11"/>
      <c r="SDT96" s="11"/>
      <c r="SDU96" s="11"/>
      <c r="SDV96" s="11"/>
      <c r="SDW96" s="11"/>
      <c r="SDX96" s="11"/>
      <c r="SDY96" s="11"/>
      <c r="SDZ96" s="11"/>
      <c r="SEA96" s="11"/>
      <c r="SEB96" s="11"/>
      <c r="SEC96" s="11"/>
      <c r="SED96" s="11"/>
      <c r="SEE96" s="11"/>
      <c r="SEF96" s="11"/>
      <c r="SEG96" s="11"/>
      <c r="SEH96" s="11"/>
      <c r="SEI96" s="11"/>
      <c r="SEJ96" s="11"/>
      <c r="SEK96" s="11"/>
      <c r="SEL96" s="11"/>
      <c r="SEM96" s="11"/>
      <c r="SEN96" s="11"/>
      <c r="SEO96" s="11"/>
      <c r="SEP96" s="11"/>
      <c r="SEQ96" s="11"/>
      <c r="SER96" s="11"/>
      <c r="SES96" s="11"/>
      <c r="SET96" s="11"/>
      <c r="SEU96" s="11"/>
      <c r="SEV96" s="11"/>
      <c r="SEW96" s="11"/>
      <c r="SEX96" s="11"/>
      <c r="SEY96" s="11"/>
      <c r="SEZ96" s="11"/>
      <c r="SFA96" s="11"/>
      <c r="SFB96" s="11"/>
      <c r="SFC96" s="11"/>
      <c r="SFD96" s="11"/>
      <c r="SFE96" s="11"/>
      <c r="SFF96" s="11"/>
      <c r="SFG96" s="11"/>
      <c r="SFH96" s="11"/>
      <c r="SFI96" s="11"/>
      <c r="SFJ96" s="11"/>
      <c r="SFK96" s="11"/>
      <c r="SFL96" s="11"/>
      <c r="SFM96" s="11"/>
      <c r="SFN96" s="11"/>
      <c r="SFO96" s="11"/>
      <c r="SFP96" s="11"/>
      <c r="SFQ96" s="11"/>
      <c r="SFR96" s="11"/>
      <c r="SFS96" s="11"/>
      <c r="SFT96" s="11"/>
      <c r="SFU96" s="11"/>
      <c r="SFV96" s="11"/>
      <c r="SFW96" s="11"/>
      <c r="SFX96" s="11"/>
      <c r="SFY96" s="11"/>
      <c r="SFZ96" s="11"/>
      <c r="SGA96" s="11"/>
      <c r="SGB96" s="11"/>
      <c r="SGC96" s="11"/>
      <c r="SGD96" s="11"/>
      <c r="SGE96" s="11"/>
      <c r="SGF96" s="11"/>
      <c r="SGG96" s="11"/>
      <c r="SGH96" s="11"/>
      <c r="SGI96" s="11"/>
      <c r="SGJ96" s="11"/>
      <c r="SGK96" s="11"/>
      <c r="SGL96" s="11"/>
      <c r="SGM96" s="11"/>
      <c r="SGN96" s="11"/>
      <c r="SGO96" s="11"/>
      <c r="SGP96" s="11"/>
      <c r="SGQ96" s="11"/>
      <c r="SGR96" s="11"/>
      <c r="SGS96" s="11"/>
      <c r="SGT96" s="11"/>
      <c r="SGU96" s="11"/>
      <c r="SGV96" s="11"/>
      <c r="SGW96" s="11"/>
      <c r="SGX96" s="11"/>
      <c r="SGY96" s="11"/>
      <c r="SGZ96" s="11"/>
      <c r="SHA96" s="11"/>
      <c r="SHB96" s="11"/>
      <c r="SHC96" s="11"/>
      <c r="SHD96" s="11"/>
      <c r="SHE96" s="11"/>
      <c r="SHF96" s="11"/>
      <c r="SHG96" s="11"/>
      <c r="SHH96" s="11"/>
      <c r="SHI96" s="11"/>
      <c r="SHJ96" s="11"/>
      <c r="SHK96" s="11"/>
      <c r="SHL96" s="11"/>
      <c r="SHM96" s="11"/>
      <c r="SHN96" s="11"/>
      <c r="SHO96" s="11"/>
      <c r="SHP96" s="11"/>
      <c r="SHQ96" s="11"/>
      <c r="SHR96" s="11"/>
      <c r="SHS96" s="11"/>
      <c r="SHT96" s="11"/>
      <c r="SHU96" s="11"/>
      <c r="SHV96" s="11"/>
      <c r="SHW96" s="11"/>
      <c r="SHX96" s="11"/>
      <c r="SHY96" s="11"/>
      <c r="SHZ96" s="11"/>
      <c r="SIA96" s="11"/>
      <c r="SIB96" s="11"/>
      <c r="SIC96" s="11"/>
      <c r="SID96" s="11"/>
      <c r="SIE96" s="11"/>
      <c r="SIF96" s="11"/>
      <c r="SIG96" s="11"/>
      <c r="SIH96" s="11"/>
      <c r="SII96" s="11"/>
      <c r="SIJ96" s="11"/>
      <c r="SIK96" s="11"/>
      <c r="SIL96" s="11"/>
      <c r="SIM96" s="11"/>
      <c r="SIN96" s="11"/>
      <c r="SIO96" s="11"/>
      <c r="SIP96" s="11"/>
      <c r="SIQ96" s="11"/>
      <c r="SIR96" s="11"/>
      <c r="SIS96" s="11"/>
      <c r="SIT96" s="11"/>
      <c r="SIU96" s="11"/>
      <c r="SIV96" s="11"/>
      <c r="SIW96" s="11"/>
      <c r="SIX96" s="11"/>
      <c r="SIY96" s="11"/>
      <c r="SIZ96" s="11"/>
      <c r="SJA96" s="11"/>
      <c r="SJB96" s="11"/>
      <c r="SJC96" s="11"/>
      <c r="SJD96" s="11"/>
      <c r="SJE96" s="11"/>
      <c r="SJF96" s="11"/>
      <c r="SJG96" s="11"/>
      <c r="SJH96" s="11"/>
      <c r="SJI96" s="11"/>
      <c r="SJJ96" s="11"/>
      <c r="SJK96" s="11"/>
      <c r="SJL96" s="11"/>
      <c r="SJM96" s="11"/>
      <c r="SJN96" s="11"/>
      <c r="SJO96" s="11"/>
      <c r="SJP96" s="11"/>
      <c r="SJQ96" s="11"/>
      <c r="SJR96" s="11"/>
      <c r="SJS96" s="11"/>
      <c r="SJT96" s="11"/>
      <c r="SJU96" s="11"/>
      <c r="SJV96" s="11"/>
      <c r="SJW96" s="11"/>
      <c r="SJX96" s="11"/>
      <c r="SJY96" s="11"/>
      <c r="SJZ96" s="11"/>
      <c r="SKA96" s="11"/>
      <c r="SKB96" s="11"/>
      <c r="SKC96" s="11"/>
      <c r="SKD96" s="11"/>
      <c r="SKE96" s="11"/>
      <c r="SKF96" s="11"/>
      <c r="SKG96" s="11"/>
      <c r="SKH96" s="11"/>
      <c r="SKI96" s="11"/>
      <c r="SKJ96" s="11"/>
      <c r="SKK96" s="11"/>
      <c r="SKL96" s="11"/>
      <c r="SKM96" s="11"/>
      <c r="SKN96" s="11"/>
      <c r="SKO96" s="11"/>
      <c r="SKP96" s="11"/>
      <c r="SKQ96" s="11"/>
      <c r="SKR96" s="11"/>
      <c r="SKS96" s="11"/>
      <c r="SKT96" s="11"/>
      <c r="SKU96" s="11"/>
      <c r="SKV96" s="11"/>
      <c r="SKW96" s="11"/>
      <c r="SKX96" s="11"/>
      <c r="SKY96" s="11"/>
      <c r="SKZ96" s="11"/>
      <c r="SLA96" s="11"/>
      <c r="SLB96" s="11"/>
      <c r="SLC96" s="11"/>
      <c r="SLD96" s="11"/>
      <c r="SLE96" s="11"/>
      <c r="SLF96" s="11"/>
      <c r="SLG96" s="11"/>
      <c r="SLH96" s="11"/>
      <c r="SLI96" s="11"/>
      <c r="SLJ96" s="11"/>
      <c r="SLK96" s="11"/>
      <c r="SLL96" s="11"/>
      <c r="SLM96" s="11"/>
      <c r="SLN96" s="11"/>
      <c r="SLO96" s="11"/>
      <c r="SLP96" s="11"/>
      <c r="SLQ96" s="11"/>
      <c r="SLR96" s="11"/>
      <c r="SLS96" s="11"/>
      <c r="SLT96" s="11"/>
      <c r="SLU96" s="11"/>
      <c r="SLV96" s="11"/>
      <c r="SLW96" s="11"/>
      <c r="SLX96" s="11"/>
      <c r="SLY96" s="11"/>
      <c r="SLZ96" s="11"/>
      <c r="SMA96" s="11"/>
      <c r="SMB96" s="11"/>
      <c r="SMC96" s="11"/>
      <c r="SMD96" s="11"/>
      <c r="SME96" s="11"/>
      <c r="SMF96" s="11"/>
      <c r="SMG96" s="11"/>
      <c r="SMH96" s="11"/>
      <c r="SMI96" s="11"/>
      <c r="SMJ96" s="11"/>
      <c r="SMK96" s="11"/>
      <c r="SML96" s="11"/>
      <c r="SMM96" s="11"/>
      <c r="SMN96" s="11"/>
      <c r="SMO96" s="11"/>
      <c r="SMP96" s="11"/>
      <c r="SMQ96" s="11"/>
      <c r="SMR96" s="11"/>
      <c r="SMS96" s="11"/>
      <c r="SMT96" s="11"/>
      <c r="SMU96" s="11"/>
      <c r="SMV96" s="11"/>
      <c r="SMW96" s="11"/>
      <c r="SMX96" s="11"/>
      <c r="SMY96" s="11"/>
      <c r="SMZ96" s="11"/>
      <c r="SNA96" s="11"/>
      <c r="SNB96" s="11"/>
      <c r="SNC96" s="11"/>
      <c r="SND96" s="11"/>
      <c r="SNE96" s="11"/>
      <c r="SNF96" s="11"/>
      <c r="SNG96" s="11"/>
      <c r="SNH96" s="11"/>
      <c r="SNI96" s="11"/>
      <c r="SNJ96" s="11"/>
      <c r="SNK96" s="11"/>
      <c r="SNL96" s="11"/>
      <c r="SNM96" s="11"/>
      <c r="SNN96" s="11"/>
      <c r="SNO96" s="11"/>
      <c r="SNP96" s="11"/>
      <c r="SNQ96" s="11"/>
      <c r="SNR96" s="11"/>
      <c r="SNS96" s="11"/>
      <c r="SNT96" s="11"/>
      <c r="SNU96" s="11"/>
      <c r="SNV96" s="11"/>
      <c r="SNW96" s="11"/>
      <c r="SNX96" s="11"/>
      <c r="SNY96" s="11"/>
      <c r="SNZ96" s="11"/>
      <c r="SOA96" s="11"/>
      <c r="SOB96" s="11"/>
      <c r="SOC96" s="11"/>
      <c r="SOD96" s="11"/>
      <c r="SOE96" s="11"/>
      <c r="SOF96" s="11"/>
      <c r="SOG96" s="11"/>
      <c r="SOH96" s="11"/>
      <c r="SOI96" s="11"/>
      <c r="SOJ96" s="11"/>
      <c r="SOK96" s="11"/>
      <c r="SOL96" s="11"/>
      <c r="SOM96" s="11"/>
      <c r="SON96" s="11"/>
      <c r="SOO96" s="11"/>
      <c r="SOP96" s="11"/>
      <c r="SOQ96" s="11"/>
      <c r="SOR96" s="11"/>
      <c r="SOS96" s="11"/>
      <c r="SOT96" s="11"/>
      <c r="SOU96" s="11"/>
      <c r="SOV96" s="11"/>
      <c r="SOW96" s="11"/>
      <c r="SOX96" s="11"/>
      <c r="SOY96" s="11"/>
      <c r="SOZ96" s="11"/>
      <c r="SPA96" s="11"/>
      <c r="SPB96" s="11"/>
      <c r="SPC96" s="11"/>
      <c r="SPD96" s="11"/>
      <c r="SPE96" s="11"/>
      <c r="SPF96" s="11"/>
      <c r="SPG96" s="11"/>
      <c r="SPH96" s="11"/>
      <c r="SPI96" s="11"/>
      <c r="SPJ96" s="11"/>
      <c r="SPK96" s="11"/>
      <c r="SPL96" s="11"/>
      <c r="SPM96" s="11"/>
      <c r="SPN96" s="11"/>
      <c r="SPO96" s="11"/>
      <c r="SPP96" s="11"/>
      <c r="SPQ96" s="11"/>
      <c r="SPR96" s="11"/>
      <c r="SPS96" s="11"/>
      <c r="SPT96" s="11"/>
      <c r="SPU96" s="11"/>
      <c r="SPV96" s="11"/>
      <c r="SPW96" s="11"/>
      <c r="SPX96" s="11"/>
      <c r="SPY96" s="11"/>
      <c r="SPZ96" s="11"/>
      <c r="SQA96" s="11"/>
      <c r="SQB96" s="11"/>
      <c r="SQC96" s="11"/>
      <c r="SQD96" s="11"/>
      <c r="SQE96" s="11"/>
      <c r="SQF96" s="11"/>
      <c r="SQG96" s="11"/>
      <c r="SQH96" s="11"/>
      <c r="SQI96" s="11"/>
      <c r="SQJ96" s="11"/>
      <c r="SQK96" s="11"/>
      <c r="SQL96" s="11"/>
      <c r="SQM96" s="11"/>
      <c r="SQN96" s="11"/>
      <c r="SQO96" s="11"/>
      <c r="SQP96" s="11"/>
      <c r="SQQ96" s="11"/>
      <c r="SQR96" s="11"/>
      <c r="SQS96" s="11"/>
      <c r="SQT96" s="11"/>
      <c r="SQU96" s="11"/>
      <c r="SQV96" s="11"/>
      <c r="SQW96" s="11"/>
      <c r="SQX96" s="11"/>
      <c r="SQY96" s="11"/>
      <c r="SQZ96" s="11"/>
      <c r="SRA96" s="11"/>
      <c r="SRB96" s="11"/>
      <c r="SRC96" s="11"/>
      <c r="SRD96" s="11"/>
      <c r="SRE96" s="11"/>
      <c r="SRF96" s="11"/>
      <c r="SRG96" s="11"/>
      <c r="SRH96" s="11"/>
      <c r="SRI96" s="11"/>
      <c r="SRJ96" s="11"/>
      <c r="SRK96" s="11"/>
      <c r="SRL96" s="11"/>
      <c r="SRM96" s="11"/>
      <c r="SRN96" s="11"/>
      <c r="SRO96" s="11"/>
      <c r="SRP96" s="11"/>
      <c r="SRQ96" s="11"/>
      <c r="SRR96" s="11"/>
      <c r="SRS96" s="11"/>
      <c r="SRT96" s="11"/>
      <c r="SRU96" s="11"/>
      <c r="SRV96" s="11"/>
      <c r="SRW96" s="11"/>
      <c r="SRX96" s="11"/>
      <c r="SRY96" s="11"/>
      <c r="SRZ96" s="11"/>
      <c r="SSA96" s="11"/>
      <c r="SSB96" s="11"/>
      <c r="SSC96" s="11"/>
      <c r="SSD96" s="11"/>
      <c r="SSE96" s="11"/>
      <c r="SSF96" s="11"/>
      <c r="SSG96" s="11"/>
      <c r="SSH96" s="11"/>
      <c r="SSI96" s="11"/>
      <c r="SSJ96" s="11"/>
      <c r="SSK96" s="11"/>
      <c r="SSL96" s="11"/>
      <c r="SSM96" s="11"/>
      <c r="SSN96" s="11"/>
      <c r="SSO96" s="11"/>
      <c r="SSP96" s="11"/>
      <c r="SSQ96" s="11"/>
      <c r="SSR96" s="11"/>
      <c r="SSS96" s="11"/>
      <c r="SST96" s="11"/>
      <c r="SSU96" s="11"/>
      <c r="SSV96" s="11"/>
      <c r="SSW96" s="11"/>
      <c r="SSX96" s="11"/>
      <c r="SSY96" s="11"/>
      <c r="SSZ96" s="11"/>
      <c r="STA96" s="11"/>
      <c r="STB96" s="11"/>
      <c r="STC96" s="11"/>
      <c r="STD96" s="11"/>
      <c r="STE96" s="11"/>
      <c r="STF96" s="11"/>
      <c r="STG96" s="11"/>
      <c r="STH96" s="11"/>
      <c r="STI96" s="11"/>
      <c r="STJ96" s="11"/>
      <c r="STK96" s="11"/>
      <c r="STL96" s="11"/>
      <c r="STM96" s="11"/>
      <c r="STN96" s="11"/>
      <c r="STO96" s="11"/>
      <c r="STP96" s="11"/>
      <c r="STQ96" s="11"/>
      <c r="STR96" s="11"/>
      <c r="STS96" s="11"/>
      <c r="STT96" s="11"/>
      <c r="STU96" s="11"/>
      <c r="STV96" s="11"/>
      <c r="STW96" s="11"/>
      <c r="STX96" s="11"/>
      <c r="STY96" s="11"/>
      <c r="STZ96" s="11"/>
      <c r="SUA96" s="11"/>
      <c r="SUB96" s="11"/>
      <c r="SUC96" s="11"/>
      <c r="SUD96" s="11"/>
      <c r="SUE96" s="11"/>
      <c r="SUF96" s="11"/>
      <c r="SUG96" s="11"/>
      <c r="SUH96" s="11"/>
      <c r="SUI96" s="11"/>
      <c r="SUJ96" s="11"/>
      <c r="SUK96" s="11"/>
      <c r="SUL96" s="11"/>
      <c r="SUM96" s="11"/>
      <c r="SUN96" s="11"/>
      <c r="SUO96" s="11"/>
      <c r="SUP96" s="11"/>
      <c r="SUQ96" s="11"/>
      <c r="SUR96" s="11"/>
      <c r="SUS96" s="11"/>
      <c r="SUT96" s="11"/>
      <c r="SUU96" s="11"/>
      <c r="SUV96" s="11"/>
      <c r="SUW96" s="11"/>
      <c r="SUX96" s="11"/>
      <c r="SUY96" s="11"/>
      <c r="SUZ96" s="11"/>
      <c r="SVA96" s="11"/>
      <c r="SVB96" s="11"/>
      <c r="SVC96" s="11"/>
      <c r="SVD96" s="11"/>
      <c r="SVE96" s="11"/>
      <c r="SVF96" s="11"/>
      <c r="SVG96" s="11"/>
      <c r="SVH96" s="11"/>
      <c r="SVI96" s="11"/>
      <c r="SVJ96" s="11"/>
      <c r="SVK96" s="11"/>
      <c r="SVL96" s="11"/>
      <c r="SVM96" s="11"/>
      <c r="SVN96" s="11"/>
      <c r="SVO96" s="11"/>
      <c r="SVP96" s="11"/>
      <c r="SVQ96" s="11"/>
      <c r="SVR96" s="11"/>
      <c r="SVS96" s="11"/>
      <c r="SVT96" s="11"/>
      <c r="SVU96" s="11"/>
      <c r="SVV96" s="11"/>
      <c r="SVW96" s="11"/>
      <c r="SVX96" s="11"/>
      <c r="SVY96" s="11"/>
      <c r="SVZ96" s="11"/>
      <c r="SWA96" s="11"/>
      <c r="SWB96" s="11"/>
      <c r="SWC96" s="11"/>
      <c r="SWD96" s="11"/>
      <c r="SWE96" s="11"/>
      <c r="SWF96" s="11"/>
      <c r="SWG96" s="11"/>
      <c r="SWH96" s="11"/>
      <c r="SWI96" s="11"/>
      <c r="SWJ96" s="11"/>
      <c r="SWK96" s="11"/>
      <c r="SWL96" s="11"/>
      <c r="SWM96" s="11"/>
      <c r="SWN96" s="11"/>
      <c r="SWO96" s="11"/>
      <c r="SWP96" s="11"/>
      <c r="SWQ96" s="11"/>
      <c r="SWR96" s="11"/>
      <c r="SWS96" s="11"/>
      <c r="SWT96" s="11"/>
      <c r="SWU96" s="11"/>
      <c r="SWV96" s="11"/>
      <c r="SWW96" s="11"/>
      <c r="SWX96" s="11"/>
      <c r="SWY96" s="11"/>
      <c r="SWZ96" s="11"/>
      <c r="SXA96" s="11"/>
      <c r="SXB96" s="11"/>
      <c r="SXC96" s="11"/>
      <c r="SXD96" s="11"/>
      <c r="SXE96" s="11"/>
      <c r="SXF96" s="11"/>
      <c r="SXG96" s="11"/>
      <c r="SXH96" s="11"/>
      <c r="SXI96" s="11"/>
      <c r="SXJ96" s="11"/>
      <c r="SXK96" s="11"/>
      <c r="SXL96" s="11"/>
      <c r="SXM96" s="11"/>
      <c r="SXN96" s="11"/>
      <c r="SXO96" s="11"/>
      <c r="SXP96" s="11"/>
      <c r="SXQ96" s="11"/>
      <c r="SXR96" s="11"/>
      <c r="SXS96" s="11"/>
      <c r="SXT96" s="11"/>
      <c r="SXU96" s="11"/>
      <c r="SXV96" s="11"/>
      <c r="SXW96" s="11"/>
      <c r="SXX96" s="11"/>
      <c r="SXY96" s="11"/>
      <c r="SXZ96" s="11"/>
      <c r="SYA96" s="11"/>
      <c r="SYB96" s="11"/>
      <c r="SYC96" s="11"/>
      <c r="SYD96" s="11"/>
      <c r="SYE96" s="11"/>
      <c r="SYF96" s="11"/>
      <c r="SYG96" s="11"/>
      <c r="SYH96" s="11"/>
      <c r="SYI96" s="11"/>
      <c r="SYJ96" s="11"/>
      <c r="SYK96" s="11"/>
      <c r="SYL96" s="11"/>
      <c r="SYM96" s="11"/>
      <c r="SYN96" s="11"/>
      <c r="SYO96" s="11"/>
      <c r="SYP96" s="11"/>
      <c r="SYQ96" s="11"/>
      <c r="SYR96" s="11"/>
      <c r="SYS96" s="11"/>
      <c r="SYT96" s="11"/>
      <c r="SYU96" s="11"/>
      <c r="SYV96" s="11"/>
      <c r="SYW96" s="11"/>
      <c r="SYX96" s="11"/>
      <c r="SYY96" s="11"/>
      <c r="SYZ96" s="11"/>
      <c r="SZA96" s="11"/>
      <c r="SZB96" s="11"/>
      <c r="SZC96" s="11"/>
      <c r="SZD96" s="11"/>
      <c r="SZE96" s="11"/>
      <c r="SZF96" s="11"/>
      <c r="SZG96" s="11"/>
      <c r="SZH96" s="11"/>
      <c r="SZI96" s="11"/>
      <c r="SZJ96" s="11"/>
      <c r="SZK96" s="11"/>
      <c r="SZL96" s="11"/>
      <c r="SZM96" s="11"/>
      <c r="SZN96" s="11"/>
      <c r="SZO96" s="11"/>
      <c r="SZP96" s="11"/>
      <c r="SZQ96" s="11"/>
      <c r="SZR96" s="11"/>
      <c r="SZS96" s="11"/>
      <c r="SZT96" s="11"/>
      <c r="SZU96" s="11"/>
      <c r="SZV96" s="11"/>
      <c r="SZW96" s="11"/>
      <c r="SZX96" s="11"/>
      <c r="SZY96" s="11"/>
      <c r="SZZ96" s="11"/>
      <c r="TAA96" s="11"/>
      <c r="TAB96" s="11"/>
      <c r="TAC96" s="11"/>
      <c r="TAD96" s="11"/>
      <c r="TAE96" s="11"/>
      <c r="TAF96" s="11"/>
      <c r="TAG96" s="11"/>
      <c r="TAH96" s="11"/>
      <c r="TAI96" s="11"/>
      <c r="TAJ96" s="11"/>
      <c r="TAK96" s="11"/>
      <c r="TAL96" s="11"/>
      <c r="TAM96" s="11"/>
      <c r="TAN96" s="11"/>
      <c r="TAO96" s="11"/>
      <c r="TAP96" s="11"/>
      <c r="TAQ96" s="11"/>
      <c r="TAR96" s="11"/>
      <c r="TAS96" s="11"/>
      <c r="TAT96" s="11"/>
      <c r="TAU96" s="11"/>
      <c r="TAV96" s="11"/>
      <c r="TAW96" s="11"/>
      <c r="TAX96" s="11"/>
      <c r="TAY96" s="11"/>
      <c r="TAZ96" s="11"/>
      <c r="TBA96" s="11"/>
      <c r="TBB96" s="11"/>
      <c r="TBC96" s="11"/>
      <c r="TBD96" s="11"/>
      <c r="TBE96" s="11"/>
      <c r="TBF96" s="11"/>
      <c r="TBG96" s="11"/>
      <c r="TBH96" s="11"/>
      <c r="TBI96" s="11"/>
      <c r="TBJ96" s="11"/>
      <c r="TBK96" s="11"/>
      <c r="TBL96" s="11"/>
      <c r="TBM96" s="11"/>
      <c r="TBN96" s="11"/>
      <c r="TBO96" s="11"/>
      <c r="TBP96" s="11"/>
      <c r="TBQ96" s="11"/>
      <c r="TBR96" s="11"/>
      <c r="TBS96" s="11"/>
      <c r="TBT96" s="11"/>
      <c r="TBU96" s="11"/>
      <c r="TBV96" s="11"/>
      <c r="TBW96" s="11"/>
      <c r="TBX96" s="11"/>
      <c r="TBY96" s="11"/>
      <c r="TBZ96" s="11"/>
      <c r="TCA96" s="11"/>
      <c r="TCB96" s="11"/>
      <c r="TCC96" s="11"/>
      <c r="TCD96" s="11"/>
      <c r="TCE96" s="11"/>
      <c r="TCF96" s="11"/>
      <c r="TCG96" s="11"/>
      <c r="TCH96" s="11"/>
      <c r="TCI96" s="11"/>
      <c r="TCJ96" s="11"/>
      <c r="TCK96" s="11"/>
      <c r="TCL96" s="11"/>
      <c r="TCM96" s="11"/>
      <c r="TCN96" s="11"/>
      <c r="TCO96" s="11"/>
      <c r="TCP96" s="11"/>
      <c r="TCQ96" s="11"/>
      <c r="TCR96" s="11"/>
      <c r="TCS96" s="11"/>
      <c r="TCT96" s="11"/>
      <c r="TCU96" s="11"/>
      <c r="TCV96" s="11"/>
      <c r="TCW96" s="11"/>
      <c r="TCX96" s="11"/>
      <c r="TCY96" s="11"/>
      <c r="TCZ96" s="11"/>
      <c r="TDA96" s="11"/>
      <c r="TDB96" s="11"/>
      <c r="TDC96" s="11"/>
      <c r="TDD96" s="11"/>
      <c r="TDE96" s="11"/>
      <c r="TDF96" s="11"/>
      <c r="TDG96" s="11"/>
      <c r="TDH96" s="11"/>
      <c r="TDI96" s="11"/>
      <c r="TDJ96" s="11"/>
      <c r="TDK96" s="11"/>
      <c r="TDL96" s="11"/>
      <c r="TDM96" s="11"/>
      <c r="TDN96" s="11"/>
      <c r="TDO96" s="11"/>
      <c r="TDP96" s="11"/>
      <c r="TDQ96" s="11"/>
      <c r="TDR96" s="11"/>
      <c r="TDS96" s="11"/>
      <c r="TDT96" s="11"/>
      <c r="TDU96" s="11"/>
      <c r="TDV96" s="11"/>
      <c r="TDW96" s="11"/>
      <c r="TDX96" s="11"/>
      <c r="TDY96" s="11"/>
      <c r="TDZ96" s="11"/>
      <c r="TEA96" s="11"/>
      <c r="TEB96" s="11"/>
      <c r="TEC96" s="11"/>
      <c r="TED96" s="11"/>
      <c r="TEE96" s="11"/>
      <c r="TEF96" s="11"/>
      <c r="TEG96" s="11"/>
      <c r="TEH96" s="11"/>
      <c r="TEI96" s="11"/>
      <c r="TEJ96" s="11"/>
      <c r="TEK96" s="11"/>
      <c r="TEL96" s="11"/>
      <c r="TEM96" s="11"/>
      <c r="TEN96" s="11"/>
      <c r="TEO96" s="11"/>
      <c r="TEP96" s="11"/>
      <c r="TEQ96" s="11"/>
      <c r="TER96" s="11"/>
      <c r="TES96" s="11"/>
      <c r="TET96" s="11"/>
      <c r="TEU96" s="11"/>
      <c r="TEV96" s="11"/>
      <c r="TEW96" s="11"/>
      <c r="TEX96" s="11"/>
      <c r="TEY96" s="11"/>
      <c r="TEZ96" s="11"/>
      <c r="TFA96" s="11"/>
      <c r="TFB96" s="11"/>
      <c r="TFC96" s="11"/>
      <c r="TFD96" s="11"/>
      <c r="TFE96" s="11"/>
      <c r="TFF96" s="11"/>
      <c r="TFG96" s="11"/>
      <c r="TFH96" s="11"/>
      <c r="TFI96" s="11"/>
      <c r="TFJ96" s="11"/>
      <c r="TFK96" s="11"/>
      <c r="TFL96" s="11"/>
      <c r="TFM96" s="11"/>
      <c r="TFN96" s="11"/>
      <c r="TFO96" s="11"/>
      <c r="TFP96" s="11"/>
      <c r="TFQ96" s="11"/>
      <c r="TFR96" s="11"/>
      <c r="TFS96" s="11"/>
      <c r="TFT96" s="11"/>
      <c r="TFU96" s="11"/>
      <c r="TFV96" s="11"/>
      <c r="TFW96" s="11"/>
      <c r="TFX96" s="11"/>
      <c r="TFY96" s="11"/>
      <c r="TFZ96" s="11"/>
      <c r="TGA96" s="11"/>
      <c r="TGB96" s="11"/>
      <c r="TGC96" s="11"/>
      <c r="TGD96" s="11"/>
      <c r="TGE96" s="11"/>
      <c r="TGF96" s="11"/>
      <c r="TGG96" s="11"/>
      <c r="TGH96" s="11"/>
      <c r="TGI96" s="11"/>
      <c r="TGJ96" s="11"/>
      <c r="TGK96" s="11"/>
      <c r="TGL96" s="11"/>
      <c r="TGM96" s="11"/>
      <c r="TGN96" s="11"/>
      <c r="TGO96" s="11"/>
      <c r="TGP96" s="11"/>
      <c r="TGQ96" s="11"/>
      <c r="TGR96" s="11"/>
      <c r="TGS96" s="11"/>
      <c r="TGT96" s="11"/>
      <c r="TGU96" s="11"/>
      <c r="TGV96" s="11"/>
      <c r="TGW96" s="11"/>
      <c r="TGX96" s="11"/>
      <c r="TGY96" s="11"/>
      <c r="TGZ96" s="11"/>
      <c r="THA96" s="11"/>
      <c r="THB96" s="11"/>
      <c r="THC96" s="11"/>
      <c r="THD96" s="11"/>
      <c r="THE96" s="11"/>
      <c r="THF96" s="11"/>
      <c r="THG96" s="11"/>
      <c r="THH96" s="11"/>
      <c r="THI96" s="11"/>
      <c r="THJ96" s="11"/>
      <c r="THK96" s="11"/>
      <c r="THL96" s="11"/>
      <c r="THM96" s="11"/>
      <c r="THN96" s="11"/>
      <c r="THO96" s="11"/>
      <c r="THP96" s="11"/>
      <c r="THQ96" s="11"/>
      <c r="THR96" s="11"/>
      <c r="THS96" s="11"/>
      <c r="THT96" s="11"/>
      <c r="THU96" s="11"/>
      <c r="THV96" s="11"/>
      <c r="THW96" s="11"/>
      <c r="THX96" s="11"/>
      <c r="THY96" s="11"/>
      <c r="THZ96" s="11"/>
      <c r="TIA96" s="11"/>
      <c r="TIB96" s="11"/>
      <c r="TIC96" s="11"/>
      <c r="TID96" s="11"/>
      <c r="TIE96" s="11"/>
      <c r="TIF96" s="11"/>
      <c r="TIG96" s="11"/>
      <c r="TIH96" s="11"/>
      <c r="TII96" s="11"/>
      <c r="TIJ96" s="11"/>
      <c r="TIK96" s="11"/>
      <c r="TIL96" s="11"/>
      <c r="TIM96" s="11"/>
      <c r="TIN96" s="11"/>
      <c r="TIO96" s="11"/>
      <c r="TIP96" s="11"/>
      <c r="TIQ96" s="11"/>
      <c r="TIR96" s="11"/>
      <c r="TIS96" s="11"/>
      <c r="TIT96" s="11"/>
      <c r="TIU96" s="11"/>
      <c r="TIV96" s="11"/>
      <c r="TIW96" s="11"/>
      <c r="TIX96" s="11"/>
      <c r="TIY96" s="11"/>
      <c r="TIZ96" s="11"/>
      <c r="TJA96" s="11"/>
      <c r="TJB96" s="11"/>
      <c r="TJC96" s="11"/>
      <c r="TJD96" s="11"/>
      <c r="TJE96" s="11"/>
      <c r="TJF96" s="11"/>
      <c r="TJG96" s="11"/>
      <c r="TJH96" s="11"/>
      <c r="TJI96" s="11"/>
      <c r="TJJ96" s="11"/>
      <c r="TJK96" s="11"/>
      <c r="TJL96" s="11"/>
      <c r="TJM96" s="11"/>
      <c r="TJN96" s="11"/>
      <c r="TJO96" s="11"/>
      <c r="TJP96" s="11"/>
      <c r="TJQ96" s="11"/>
      <c r="TJR96" s="11"/>
      <c r="TJS96" s="11"/>
      <c r="TJT96" s="11"/>
      <c r="TJU96" s="11"/>
      <c r="TJV96" s="11"/>
      <c r="TJW96" s="11"/>
      <c r="TJX96" s="11"/>
      <c r="TJY96" s="11"/>
      <c r="TJZ96" s="11"/>
      <c r="TKA96" s="11"/>
      <c r="TKB96" s="11"/>
      <c r="TKC96" s="11"/>
      <c r="TKD96" s="11"/>
      <c r="TKE96" s="11"/>
      <c r="TKF96" s="11"/>
      <c r="TKG96" s="11"/>
      <c r="TKH96" s="11"/>
      <c r="TKI96" s="11"/>
      <c r="TKJ96" s="11"/>
      <c r="TKK96" s="11"/>
      <c r="TKL96" s="11"/>
      <c r="TKM96" s="11"/>
      <c r="TKN96" s="11"/>
      <c r="TKO96" s="11"/>
      <c r="TKP96" s="11"/>
      <c r="TKQ96" s="11"/>
      <c r="TKR96" s="11"/>
      <c r="TKS96" s="11"/>
      <c r="TKT96" s="11"/>
      <c r="TKU96" s="11"/>
      <c r="TKV96" s="11"/>
      <c r="TKW96" s="11"/>
      <c r="TKX96" s="11"/>
      <c r="TKY96" s="11"/>
      <c r="TKZ96" s="11"/>
      <c r="TLA96" s="11"/>
      <c r="TLB96" s="11"/>
      <c r="TLC96" s="11"/>
      <c r="TLD96" s="11"/>
      <c r="TLE96" s="11"/>
      <c r="TLF96" s="11"/>
      <c r="TLG96" s="11"/>
      <c r="TLH96" s="11"/>
      <c r="TLI96" s="11"/>
      <c r="TLJ96" s="11"/>
      <c r="TLK96" s="11"/>
      <c r="TLL96" s="11"/>
      <c r="TLM96" s="11"/>
      <c r="TLN96" s="11"/>
      <c r="TLO96" s="11"/>
      <c r="TLP96" s="11"/>
      <c r="TLQ96" s="11"/>
      <c r="TLR96" s="11"/>
      <c r="TLS96" s="11"/>
      <c r="TLT96" s="11"/>
      <c r="TLU96" s="11"/>
      <c r="TLV96" s="11"/>
      <c r="TLW96" s="11"/>
      <c r="TLX96" s="11"/>
      <c r="TLY96" s="11"/>
      <c r="TLZ96" s="11"/>
      <c r="TMA96" s="11"/>
      <c r="TMB96" s="11"/>
      <c r="TMC96" s="11"/>
      <c r="TMD96" s="11"/>
      <c r="TME96" s="11"/>
      <c r="TMF96" s="11"/>
      <c r="TMG96" s="11"/>
      <c r="TMH96" s="11"/>
      <c r="TMI96" s="11"/>
      <c r="TMJ96" s="11"/>
      <c r="TMK96" s="11"/>
      <c r="TML96" s="11"/>
      <c r="TMM96" s="11"/>
      <c r="TMN96" s="11"/>
      <c r="TMO96" s="11"/>
      <c r="TMP96" s="11"/>
      <c r="TMQ96" s="11"/>
      <c r="TMR96" s="11"/>
      <c r="TMS96" s="11"/>
      <c r="TMT96" s="11"/>
      <c r="TMU96" s="11"/>
      <c r="TMV96" s="11"/>
      <c r="TMW96" s="11"/>
      <c r="TMX96" s="11"/>
      <c r="TMY96" s="11"/>
      <c r="TMZ96" s="11"/>
      <c r="TNA96" s="11"/>
      <c r="TNB96" s="11"/>
      <c r="TNC96" s="11"/>
      <c r="TND96" s="11"/>
      <c r="TNE96" s="11"/>
      <c r="TNF96" s="11"/>
      <c r="TNG96" s="11"/>
      <c r="TNH96" s="11"/>
      <c r="TNI96" s="11"/>
      <c r="TNJ96" s="11"/>
      <c r="TNK96" s="11"/>
      <c r="TNL96" s="11"/>
      <c r="TNM96" s="11"/>
      <c r="TNN96" s="11"/>
      <c r="TNO96" s="11"/>
      <c r="TNP96" s="11"/>
      <c r="TNQ96" s="11"/>
      <c r="TNR96" s="11"/>
      <c r="TNS96" s="11"/>
      <c r="TNT96" s="11"/>
      <c r="TNU96" s="11"/>
      <c r="TNV96" s="11"/>
      <c r="TNW96" s="11"/>
      <c r="TNX96" s="11"/>
      <c r="TNY96" s="11"/>
      <c r="TNZ96" s="11"/>
      <c r="TOA96" s="11"/>
      <c r="TOB96" s="11"/>
      <c r="TOC96" s="11"/>
      <c r="TOD96" s="11"/>
      <c r="TOE96" s="11"/>
      <c r="TOF96" s="11"/>
      <c r="TOG96" s="11"/>
      <c r="TOH96" s="11"/>
      <c r="TOI96" s="11"/>
      <c r="TOJ96" s="11"/>
      <c r="TOK96" s="11"/>
      <c r="TOL96" s="11"/>
      <c r="TOM96" s="11"/>
      <c r="TON96" s="11"/>
      <c r="TOO96" s="11"/>
      <c r="TOP96" s="11"/>
      <c r="TOQ96" s="11"/>
      <c r="TOR96" s="11"/>
      <c r="TOS96" s="11"/>
      <c r="TOT96" s="11"/>
      <c r="TOU96" s="11"/>
      <c r="TOV96" s="11"/>
      <c r="TOW96" s="11"/>
      <c r="TOX96" s="11"/>
      <c r="TOY96" s="11"/>
      <c r="TOZ96" s="11"/>
      <c r="TPA96" s="11"/>
      <c r="TPB96" s="11"/>
      <c r="TPC96" s="11"/>
      <c r="TPD96" s="11"/>
      <c r="TPE96" s="11"/>
      <c r="TPF96" s="11"/>
      <c r="TPG96" s="11"/>
      <c r="TPH96" s="11"/>
      <c r="TPI96" s="11"/>
      <c r="TPJ96" s="11"/>
      <c r="TPK96" s="11"/>
      <c r="TPL96" s="11"/>
      <c r="TPM96" s="11"/>
      <c r="TPN96" s="11"/>
      <c r="TPO96" s="11"/>
      <c r="TPP96" s="11"/>
      <c r="TPQ96" s="11"/>
      <c r="TPR96" s="11"/>
      <c r="TPS96" s="11"/>
      <c r="TPT96" s="11"/>
      <c r="TPU96" s="11"/>
      <c r="TPV96" s="11"/>
      <c r="TPW96" s="11"/>
      <c r="TPX96" s="11"/>
      <c r="TPY96" s="11"/>
      <c r="TPZ96" s="11"/>
      <c r="TQA96" s="11"/>
      <c r="TQB96" s="11"/>
      <c r="TQC96" s="11"/>
      <c r="TQD96" s="11"/>
      <c r="TQE96" s="11"/>
      <c r="TQF96" s="11"/>
      <c r="TQG96" s="11"/>
      <c r="TQH96" s="11"/>
      <c r="TQI96" s="11"/>
      <c r="TQJ96" s="11"/>
      <c r="TQK96" s="11"/>
      <c r="TQL96" s="11"/>
      <c r="TQM96" s="11"/>
      <c r="TQN96" s="11"/>
      <c r="TQO96" s="11"/>
      <c r="TQP96" s="11"/>
      <c r="TQQ96" s="11"/>
      <c r="TQR96" s="11"/>
      <c r="TQS96" s="11"/>
      <c r="TQT96" s="11"/>
      <c r="TQU96" s="11"/>
      <c r="TQV96" s="11"/>
      <c r="TQW96" s="11"/>
      <c r="TQX96" s="11"/>
      <c r="TQY96" s="11"/>
      <c r="TQZ96" s="11"/>
      <c r="TRA96" s="11"/>
      <c r="TRB96" s="11"/>
      <c r="TRC96" s="11"/>
      <c r="TRD96" s="11"/>
      <c r="TRE96" s="11"/>
      <c r="TRF96" s="11"/>
      <c r="TRG96" s="11"/>
      <c r="TRH96" s="11"/>
      <c r="TRI96" s="11"/>
      <c r="TRJ96" s="11"/>
      <c r="TRK96" s="11"/>
      <c r="TRL96" s="11"/>
      <c r="TRM96" s="11"/>
      <c r="TRN96" s="11"/>
      <c r="TRO96" s="11"/>
      <c r="TRP96" s="11"/>
      <c r="TRQ96" s="11"/>
      <c r="TRR96" s="11"/>
      <c r="TRS96" s="11"/>
      <c r="TRT96" s="11"/>
      <c r="TRU96" s="11"/>
      <c r="TRV96" s="11"/>
      <c r="TRW96" s="11"/>
      <c r="TRX96" s="11"/>
      <c r="TRY96" s="11"/>
      <c r="TRZ96" s="11"/>
      <c r="TSA96" s="11"/>
      <c r="TSB96" s="11"/>
      <c r="TSC96" s="11"/>
      <c r="TSD96" s="11"/>
      <c r="TSE96" s="11"/>
      <c r="TSF96" s="11"/>
      <c r="TSG96" s="11"/>
      <c r="TSH96" s="11"/>
      <c r="TSI96" s="11"/>
      <c r="TSJ96" s="11"/>
      <c r="TSK96" s="11"/>
      <c r="TSL96" s="11"/>
      <c r="TSM96" s="11"/>
      <c r="TSN96" s="11"/>
      <c r="TSO96" s="11"/>
      <c r="TSP96" s="11"/>
      <c r="TSQ96" s="11"/>
      <c r="TSR96" s="11"/>
      <c r="TSS96" s="11"/>
      <c r="TST96" s="11"/>
      <c r="TSU96" s="11"/>
      <c r="TSV96" s="11"/>
      <c r="TSW96" s="11"/>
      <c r="TSX96" s="11"/>
      <c r="TSY96" s="11"/>
      <c r="TSZ96" s="11"/>
      <c r="TTA96" s="11"/>
      <c r="TTB96" s="11"/>
      <c r="TTC96" s="11"/>
      <c r="TTD96" s="11"/>
      <c r="TTE96" s="11"/>
      <c r="TTF96" s="11"/>
      <c r="TTG96" s="11"/>
      <c r="TTH96" s="11"/>
      <c r="TTI96" s="11"/>
      <c r="TTJ96" s="11"/>
      <c r="TTK96" s="11"/>
      <c r="TTL96" s="11"/>
      <c r="TTM96" s="11"/>
      <c r="TTN96" s="11"/>
      <c r="TTO96" s="11"/>
      <c r="TTP96" s="11"/>
      <c r="TTQ96" s="11"/>
      <c r="TTR96" s="11"/>
      <c r="TTS96" s="11"/>
      <c r="TTT96" s="11"/>
      <c r="TTU96" s="11"/>
      <c r="TTV96" s="11"/>
      <c r="TTW96" s="11"/>
      <c r="TTX96" s="11"/>
      <c r="TTY96" s="11"/>
      <c r="TTZ96" s="11"/>
      <c r="TUA96" s="11"/>
      <c r="TUB96" s="11"/>
      <c r="TUC96" s="11"/>
      <c r="TUD96" s="11"/>
      <c r="TUE96" s="11"/>
      <c r="TUF96" s="11"/>
      <c r="TUG96" s="11"/>
      <c r="TUH96" s="11"/>
      <c r="TUI96" s="11"/>
      <c r="TUJ96" s="11"/>
      <c r="TUK96" s="11"/>
      <c r="TUL96" s="11"/>
      <c r="TUM96" s="11"/>
      <c r="TUN96" s="11"/>
      <c r="TUO96" s="11"/>
      <c r="TUP96" s="11"/>
      <c r="TUQ96" s="11"/>
      <c r="TUR96" s="11"/>
      <c r="TUS96" s="11"/>
      <c r="TUT96" s="11"/>
      <c r="TUU96" s="11"/>
      <c r="TUV96" s="11"/>
      <c r="TUW96" s="11"/>
      <c r="TUX96" s="11"/>
      <c r="TUY96" s="11"/>
      <c r="TUZ96" s="11"/>
      <c r="TVA96" s="11"/>
      <c r="TVB96" s="11"/>
      <c r="TVC96" s="11"/>
      <c r="TVD96" s="11"/>
      <c r="TVE96" s="11"/>
      <c r="TVF96" s="11"/>
      <c r="TVG96" s="11"/>
      <c r="TVH96" s="11"/>
      <c r="TVI96" s="11"/>
      <c r="TVJ96" s="11"/>
      <c r="TVK96" s="11"/>
      <c r="TVL96" s="11"/>
      <c r="TVM96" s="11"/>
      <c r="TVN96" s="11"/>
      <c r="TVO96" s="11"/>
      <c r="TVP96" s="11"/>
      <c r="TVQ96" s="11"/>
      <c r="TVR96" s="11"/>
      <c r="TVS96" s="11"/>
      <c r="TVT96" s="11"/>
      <c r="TVU96" s="11"/>
      <c r="TVV96" s="11"/>
      <c r="TVW96" s="11"/>
      <c r="TVX96" s="11"/>
      <c r="TVY96" s="11"/>
      <c r="TVZ96" s="11"/>
      <c r="TWA96" s="11"/>
      <c r="TWB96" s="11"/>
      <c r="TWC96" s="11"/>
      <c r="TWD96" s="11"/>
      <c r="TWE96" s="11"/>
      <c r="TWF96" s="11"/>
      <c r="TWG96" s="11"/>
      <c r="TWH96" s="11"/>
      <c r="TWI96" s="11"/>
      <c r="TWJ96" s="11"/>
      <c r="TWK96" s="11"/>
      <c r="TWL96" s="11"/>
      <c r="TWM96" s="11"/>
      <c r="TWN96" s="11"/>
      <c r="TWO96" s="11"/>
      <c r="TWP96" s="11"/>
      <c r="TWQ96" s="11"/>
      <c r="TWR96" s="11"/>
      <c r="TWS96" s="11"/>
      <c r="TWT96" s="11"/>
      <c r="TWU96" s="11"/>
      <c r="TWV96" s="11"/>
      <c r="TWW96" s="11"/>
      <c r="TWX96" s="11"/>
      <c r="TWY96" s="11"/>
      <c r="TWZ96" s="11"/>
      <c r="TXA96" s="11"/>
      <c r="TXB96" s="11"/>
      <c r="TXC96" s="11"/>
      <c r="TXD96" s="11"/>
      <c r="TXE96" s="11"/>
      <c r="TXF96" s="11"/>
      <c r="TXG96" s="11"/>
      <c r="TXH96" s="11"/>
      <c r="TXI96" s="11"/>
      <c r="TXJ96" s="11"/>
      <c r="TXK96" s="11"/>
      <c r="TXL96" s="11"/>
      <c r="TXM96" s="11"/>
      <c r="TXN96" s="11"/>
      <c r="TXO96" s="11"/>
      <c r="TXP96" s="11"/>
      <c r="TXQ96" s="11"/>
      <c r="TXR96" s="11"/>
      <c r="TXS96" s="11"/>
      <c r="TXT96" s="11"/>
      <c r="TXU96" s="11"/>
      <c r="TXV96" s="11"/>
      <c r="TXW96" s="11"/>
      <c r="TXX96" s="11"/>
      <c r="TXY96" s="11"/>
      <c r="TXZ96" s="11"/>
      <c r="TYA96" s="11"/>
      <c r="TYB96" s="11"/>
      <c r="TYC96" s="11"/>
      <c r="TYD96" s="11"/>
      <c r="TYE96" s="11"/>
      <c r="TYF96" s="11"/>
      <c r="TYG96" s="11"/>
      <c r="TYH96" s="11"/>
      <c r="TYI96" s="11"/>
      <c r="TYJ96" s="11"/>
      <c r="TYK96" s="11"/>
      <c r="TYL96" s="11"/>
      <c r="TYM96" s="11"/>
      <c r="TYN96" s="11"/>
      <c r="TYO96" s="11"/>
      <c r="TYP96" s="11"/>
      <c r="TYQ96" s="11"/>
      <c r="TYR96" s="11"/>
      <c r="TYS96" s="11"/>
      <c r="TYT96" s="11"/>
      <c r="TYU96" s="11"/>
      <c r="TYV96" s="11"/>
      <c r="TYW96" s="11"/>
      <c r="TYX96" s="11"/>
      <c r="TYY96" s="11"/>
      <c r="TYZ96" s="11"/>
      <c r="TZA96" s="11"/>
      <c r="TZB96" s="11"/>
      <c r="TZC96" s="11"/>
      <c r="TZD96" s="11"/>
      <c r="TZE96" s="11"/>
      <c r="TZF96" s="11"/>
      <c r="TZG96" s="11"/>
      <c r="TZH96" s="11"/>
      <c r="TZI96" s="11"/>
      <c r="TZJ96" s="11"/>
      <c r="TZK96" s="11"/>
      <c r="TZL96" s="11"/>
      <c r="TZM96" s="11"/>
      <c r="TZN96" s="11"/>
      <c r="TZO96" s="11"/>
      <c r="TZP96" s="11"/>
      <c r="TZQ96" s="11"/>
      <c r="TZR96" s="11"/>
      <c r="TZS96" s="11"/>
      <c r="TZT96" s="11"/>
      <c r="TZU96" s="11"/>
      <c r="TZV96" s="11"/>
      <c r="TZW96" s="11"/>
      <c r="TZX96" s="11"/>
      <c r="TZY96" s="11"/>
      <c r="TZZ96" s="11"/>
      <c r="UAA96" s="11"/>
      <c r="UAB96" s="11"/>
      <c r="UAC96" s="11"/>
      <c r="UAD96" s="11"/>
      <c r="UAE96" s="11"/>
      <c r="UAF96" s="11"/>
      <c r="UAG96" s="11"/>
      <c r="UAH96" s="11"/>
      <c r="UAI96" s="11"/>
      <c r="UAJ96" s="11"/>
      <c r="UAK96" s="11"/>
      <c r="UAL96" s="11"/>
      <c r="UAM96" s="11"/>
      <c r="UAN96" s="11"/>
      <c r="UAO96" s="11"/>
      <c r="UAP96" s="11"/>
      <c r="UAQ96" s="11"/>
      <c r="UAR96" s="11"/>
      <c r="UAS96" s="11"/>
      <c r="UAT96" s="11"/>
      <c r="UAU96" s="11"/>
      <c r="UAV96" s="11"/>
      <c r="UAW96" s="11"/>
      <c r="UAX96" s="11"/>
      <c r="UAY96" s="11"/>
      <c r="UAZ96" s="11"/>
      <c r="UBA96" s="11"/>
      <c r="UBB96" s="11"/>
      <c r="UBC96" s="11"/>
      <c r="UBD96" s="11"/>
      <c r="UBE96" s="11"/>
      <c r="UBF96" s="11"/>
      <c r="UBG96" s="11"/>
      <c r="UBH96" s="11"/>
      <c r="UBI96" s="11"/>
      <c r="UBJ96" s="11"/>
      <c r="UBK96" s="11"/>
      <c r="UBL96" s="11"/>
      <c r="UBM96" s="11"/>
      <c r="UBN96" s="11"/>
      <c r="UBO96" s="11"/>
      <c r="UBP96" s="11"/>
      <c r="UBQ96" s="11"/>
      <c r="UBR96" s="11"/>
      <c r="UBS96" s="11"/>
      <c r="UBT96" s="11"/>
      <c r="UBU96" s="11"/>
      <c r="UBV96" s="11"/>
      <c r="UBW96" s="11"/>
      <c r="UBX96" s="11"/>
      <c r="UBY96" s="11"/>
      <c r="UBZ96" s="11"/>
      <c r="UCA96" s="11"/>
      <c r="UCB96" s="11"/>
      <c r="UCC96" s="11"/>
      <c r="UCD96" s="11"/>
      <c r="UCE96" s="11"/>
      <c r="UCF96" s="11"/>
      <c r="UCG96" s="11"/>
      <c r="UCH96" s="11"/>
      <c r="UCI96" s="11"/>
      <c r="UCJ96" s="11"/>
      <c r="UCK96" s="11"/>
      <c r="UCL96" s="11"/>
      <c r="UCM96" s="11"/>
      <c r="UCN96" s="11"/>
      <c r="UCO96" s="11"/>
      <c r="UCP96" s="11"/>
      <c r="UCQ96" s="11"/>
      <c r="UCR96" s="11"/>
      <c r="UCS96" s="11"/>
      <c r="UCT96" s="11"/>
      <c r="UCU96" s="11"/>
      <c r="UCV96" s="11"/>
      <c r="UCW96" s="11"/>
      <c r="UCX96" s="11"/>
      <c r="UCY96" s="11"/>
      <c r="UCZ96" s="11"/>
      <c r="UDA96" s="11"/>
      <c r="UDB96" s="11"/>
      <c r="UDC96" s="11"/>
      <c r="UDD96" s="11"/>
      <c r="UDE96" s="11"/>
      <c r="UDF96" s="11"/>
      <c r="UDG96" s="11"/>
      <c r="UDH96" s="11"/>
      <c r="UDI96" s="11"/>
      <c r="UDJ96" s="11"/>
      <c r="UDK96" s="11"/>
      <c r="UDL96" s="11"/>
      <c r="UDM96" s="11"/>
      <c r="UDN96" s="11"/>
      <c r="UDO96" s="11"/>
      <c r="UDP96" s="11"/>
      <c r="UDQ96" s="11"/>
      <c r="UDR96" s="11"/>
      <c r="UDS96" s="11"/>
      <c r="UDT96" s="11"/>
      <c r="UDU96" s="11"/>
      <c r="UDV96" s="11"/>
      <c r="UDW96" s="11"/>
      <c r="UDX96" s="11"/>
      <c r="UDY96" s="11"/>
      <c r="UDZ96" s="11"/>
      <c r="UEA96" s="11"/>
      <c r="UEB96" s="11"/>
      <c r="UEC96" s="11"/>
      <c r="UED96" s="11"/>
      <c r="UEE96" s="11"/>
      <c r="UEF96" s="11"/>
      <c r="UEG96" s="11"/>
      <c r="UEH96" s="11"/>
      <c r="UEI96" s="11"/>
      <c r="UEJ96" s="11"/>
      <c r="UEK96" s="11"/>
      <c r="UEL96" s="11"/>
      <c r="UEM96" s="11"/>
      <c r="UEN96" s="11"/>
      <c r="UEO96" s="11"/>
      <c r="UEP96" s="11"/>
      <c r="UEQ96" s="11"/>
      <c r="UER96" s="11"/>
      <c r="UES96" s="11"/>
      <c r="UET96" s="11"/>
      <c r="UEU96" s="11"/>
      <c r="UEV96" s="11"/>
      <c r="UEW96" s="11"/>
      <c r="UEX96" s="11"/>
      <c r="UEY96" s="11"/>
      <c r="UEZ96" s="11"/>
      <c r="UFA96" s="11"/>
      <c r="UFB96" s="11"/>
      <c r="UFC96" s="11"/>
      <c r="UFD96" s="11"/>
      <c r="UFE96" s="11"/>
      <c r="UFF96" s="11"/>
      <c r="UFG96" s="11"/>
      <c r="UFH96" s="11"/>
      <c r="UFI96" s="11"/>
      <c r="UFJ96" s="11"/>
      <c r="UFK96" s="11"/>
      <c r="UFL96" s="11"/>
      <c r="UFM96" s="11"/>
      <c r="UFN96" s="11"/>
      <c r="UFO96" s="11"/>
      <c r="UFP96" s="11"/>
      <c r="UFQ96" s="11"/>
      <c r="UFR96" s="11"/>
      <c r="UFS96" s="11"/>
      <c r="UFT96" s="11"/>
      <c r="UFU96" s="11"/>
      <c r="UFV96" s="11"/>
      <c r="UFW96" s="11"/>
      <c r="UFX96" s="11"/>
      <c r="UFY96" s="11"/>
      <c r="UFZ96" s="11"/>
      <c r="UGA96" s="11"/>
      <c r="UGB96" s="11"/>
      <c r="UGC96" s="11"/>
      <c r="UGD96" s="11"/>
      <c r="UGE96" s="11"/>
      <c r="UGF96" s="11"/>
      <c r="UGG96" s="11"/>
      <c r="UGH96" s="11"/>
      <c r="UGI96" s="11"/>
      <c r="UGJ96" s="11"/>
      <c r="UGK96" s="11"/>
      <c r="UGL96" s="11"/>
      <c r="UGM96" s="11"/>
      <c r="UGN96" s="11"/>
      <c r="UGO96" s="11"/>
      <c r="UGP96" s="11"/>
      <c r="UGQ96" s="11"/>
      <c r="UGR96" s="11"/>
      <c r="UGS96" s="11"/>
      <c r="UGT96" s="11"/>
      <c r="UGU96" s="11"/>
      <c r="UGV96" s="11"/>
      <c r="UGW96" s="11"/>
      <c r="UGX96" s="11"/>
      <c r="UGY96" s="11"/>
      <c r="UGZ96" s="11"/>
      <c r="UHA96" s="11"/>
      <c r="UHB96" s="11"/>
      <c r="UHC96" s="11"/>
      <c r="UHD96" s="11"/>
      <c r="UHE96" s="11"/>
      <c r="UHF96" s="11"/>
      <c r="UHG96" s="11"/>
      <c r="UHH96" s="11"/>
      <c r="UHI96" s="11"/>
      <c r="UHJ96" s="11"/>
      <c r="UHK96" s="11"/>
      <c r="UHL96" s="11"/>
      <c r="UHM96" s="11"/>
      <c r="UHN96" s="11"/>
      <c r="UHO96" s="11"/>
      <c r="UHP96" s="11"/>
      <c r="UHQ96" s="11"/>
      <c r="UHR96" s="11"/>
      <c r="UHS96" s="11"/>
      <c r="UHT96" s="11"/>
      <c r="UHU96" s="11"/>
      <c r="UHV96" s="11"/>
      <c r="UHW96" s="11"/>
      <c r="UHX96" s="11"/>
      <c r="UHY96" s="11"/>
      <c r="UHZ96" s="11"/>
      <c r="UIA96" s="11"/>
      <c r="UIB96" s="11"/>
      <c r="UIC96" s="11"/>
      <c r="UID96" s="11"/>
      <c r="UIE96" s="11"/>
      <c r="UIF96" s="11"/>
      <c r="UIG96" s="11"/>
      <c r="UIH96" s="11"/>
      <c r="UII96" s="11"/>
      <c r="UIJ96" s="11"/>
      <c r="UIK96" s="11"/>
      <c r="UIL96" s="11"/>
      <c r="UIM96" s="11"/>
      <c r="UIN96" s="11"/>
      <c r="UIO96" s="11"/>
      <c r="UIP96" s="11"/>
      <c r="UIQ96" s="11"/>
      <c r="UIR96" s="11"/>
      <c r="UIS96" s="11"/>
      <c r="UIT96" s="11"/>
      <c r="UIU96" s="11"/>
      <c r="UIV96" s="11"/>
      <c r="UIW96" s="11"/>
      <c r="UIX96" s="11"/>
      <c r="UIY96" s="11"/>
      <c r="UIZ96" s="11"/>
      <c r="UJA96" s="11"/>
      <c r="UJB96" s="11"/>
      <c r="UJC96" s="11"/>
      <c r="UJD96" s="11"/>
      <c r="UJE96" s="11"/>
      <c r="UJF96" s="11"/>
      <c r="UJG96" s="11"/>
      <c r="UJH96" s="11"/>
      <c r="UJI96" s="11"/>
      <c r="UJJ96" s="11"/>
      <c r="UJK96" s="11"/>
      <c r="UJL96" s="11"/>
      <c r="UJM96" s="11"/>
      <c r="UJN96" s="11"/>
      <c r="UJO96" s="11"/>
      <c r="UJP96" s="11"/>
      <c r="UJQ96" s="11"/>
      <c r="UJR96" s="11"/>
      <c r="UJS96" s="11"/>
      <c r="UJT96" s="11"/>
      <c r="UJU96" s="11"/>
      <c r="UJV96" s="11"/>
      <c r="UJW96" s="11"/>
      <c r="UJX96" s="11"/>
      <c r="UJY96" s="11"/>
      <c r="UJZ96" s="11"/>
      <c r="UKA96" s="11"/>
      <c r="UKB96" s="11"/>
      <c r="UKC96" s="11"/>
      <c r="UKD96" s="11"/>
      <c r="UKE96" s="11"/>
      <c r="UKF96" s="11"/>
      <c r="UKG96" s="11"/>
      <c r="UKH96" s="11"/>
      <c r="UKI96" s="11"/>
      <c r="UKJ96" s="11"/>
      <c r="UKK96" s="11"/>
      <c r="UKL96" s="11"/>
      <c r="UKM96" s="11"/>
      <c r="UKN96" s="11"/>
      <c r="UKO96" s="11"/>
      <c r="UKP96" s="11"/>
      <c r="UKQ96" s="11"/>
      <c r="UKR96" s="11"/>
      <c r="UKS96" s="11"/>
      <c r="UKT96" s="11"/>
      <c r="UKU96" s="11"/>
      <c r="UKV96" s="11"/>
      <c r="UKW96" s="11"/>
      <c r="UKX96" s="11"/>
      <c r="UKY96" s="11"/>
      <c r="UKZ96" s="11"/>
      <c r="ULA96" s="11"/>
      <c r="ULB96" s="11"/>
      <c r="ULC96" s="11"/>
      <c r="ULD96" s="11"/>
      <c r="ULE96" s="11"/>
      <c r="ULF96" s="11"/>
      <c r="ULG96" s="11"/>
      <c r="ULH96" s="11"/>
      <c r="ULI96" s="11"/>
      <c r="ULJ96" s="11"/>
      <c r="ULK96" s="11"/>
      <c r="ULL96" s="11"/>
      <c r="ULM96" s="11"/>
      <c r="ULN96" s="11"/>
      <c r="ULO96" s="11"/>
      <c r="ULP96" s="11"/>
      <c r="ULQ96" s="11"/>
      <c r="ULR96" s="11"/>
      <c r="ULS96" s="11"/>
      <c r="ULT96" s="11"/>
      <c r="ULU96" s="11"/>
      <c r="ULV96" s="11"/>
      <c r="ULW96" s="11"/>
      <c r="ULX96" s="11"/>
      <c r="ULY96" s="11"/>
      <c r="ULZ96" s="11"/>
      <c r="UMA96" s="11"/>
      <c r="UMB96" s="11"/>
      <c r="UMC96" s="11"/>
      <c r="UMD96" s="11"/>
      <c r="UME96" s="11"/>
      <c r="UMF96" s="11"/>
      <c r="UMG96" s="11"/>
      <c r="UMH96" s="11"/>
      <c r="UMI96" s="11"/>
      <c r="UMJ96" s="11"/>
      <c r="UMK96" s="11"/>
      <c r="UML96" s="11"/>
      <c r="UMM96" s="11"/>
      <c r="UMN96" s="11"/>
      <c r="UMO96" s="11"/>
      <c r="UMP96" s="11"/>
      <c r="UMQ96" s="11"/>
      <c r="UMR96" s="11"/>
      <c r="UMS96" s="11"/>
      <c r="UMT96" s="11"/>
      <c r="UMU96" s="11"/>
      <c r="UMV96" s="11"/>
      <c r="UMW96" s="11"/>
      <c r="UMX96" s="11"/>
      <c r="UMY96" s="11"/>
      <c r="UMZ96" s="11"/>
      <c r="UNA96" s="11"/>
      <c r="UNB96" s="11"/>
      <c r="UNC96" s="11"/>
      <c r="UND96" s="11"/>
      <c r="UNE96" s="11"/>
      <c r="UNF96" s="11"/>
      <c r="UNG96" s="11"/>
      <c r="UNH96" s="11"/>
      <c r="UNI96" s="11"/>
      <c r="UNJ96" s="11"/>
      <c r="UNK96" s="11"/>
      <c r="UNL96" s="11"/>
      <c r="UNM96" s="11"/>
      <c r="UNN96" s="11"/>
      <c r="UNO96" s="11"/>
      <c r="UNP96" s="11"/>
      <c r="UNQ96" s="11"/>
      <c r="UNR96" s="11"/>
      <c r="UNS96" s="11"/>
      <c r="UNT96" s="11"/>
      <c r="UNU96" s="11"/>
      <c r="UNV96" s="11"/>
      <c r="UNW96" s="11"/>
      <c r="UNX96" s="11"/>
      <c r="UNY96" s="11"/>
      <c r="UNZ96" s="11"/>
      <c r="UOA96" s="11"/>
      <c r="UOB96" s="11"/>
      <c r="UOC96" s="11"/>
      <c r="UOD96" s="11"/>
      <c r="UOE96" s="11"/>
      <c r="UOF96" s="11"/>
      <c r="UOG96" s="11"/>
      <c r="UOH96" s="11"/>
      <c r="UOI96" s="11"/>
      <c r="UOJ96" s="11"/>
      <c r="UOK96" s="11"/>
      <c r="UOL96" s="11"/>
      <c r="UOM96" s="11"/>
      <c r="UON96" s="11"/>
      <c r="UOO96" s="11"/>
      <c r="UOP96" s="11"/>
      <c r="UOQ96" s="11"/>
      <c r="UOR96" s="11"/>
      <c r="UOS96" s="11"/>
      <c r="UOT96" s="11"/>
      <c r="UOU96" s="11"/>
      <c r="UOV96" s="11"/>
      <c r="UOW96" s="11"/>
      <c r="UOX96" s="11"/>
      <c r="UOY96" s="11"/>
      <c r="UOZ96" s="11"/>
      <c r="UPA96" s="11"/>
      <c r="UPB96" s="11"/>
      <c r="UPC96" s="11"/>
      <c r="UPD96" s="11"/>
      <c r="UPE96" s="11"/>
      <c r="UPF96" s="11"/>
      <c r="UPG96" s="11"/>
      <c r="UPH96" s="11"/>
      <c r="UPI96" s="11"/>
      <c r="UPJ96" s="11"/>
      <c r="UPK96" s="11"/>
      <c r="UPL96" s="11"/>
      <c r="UPM96" s="11"/>
      <c r="UPN96" s="11"/>
      <c r="UPO96" s="11"/>
      <c r="UPP96" s="11"/>
      <c r="UPQ96" s="11"/>
      <c r="UPR96" s="11"/>
      <c r="UPS96" s="11"/>
      <c r="UPT96" s="11"/>
      <c r="UPU96" s="11"/>
      <c r="UPV96" s="11"/>
      <c r="UPW96" s="11"/>
      <c r="UPX96" s="11"/>
      <c r="UPY96" s="11"/>
      <c r="UPZ96" s="11"/>
      <c r="UQA96" s="11"/>
      <c r="UQB96" s="11"/>
      <c r="UQC96" s="11"/>
      <c r="UQD96" s="11"/>
      <c r="UQE96" s="11"/>
      <c r="UQF96" s="11"/>
      <c r="UQG96" s="11"/>
      <c r="UQH96" s="11"/>
      <c r="UQI96" s="11"/>
      <c r="UQJ96" s="11"/>
      <c r="UQK96" s="11"/>
      <c r="UQL96" s="11"/>
      <c r="UQM96" s="11"/>
      <c r="UQN96" s="11"/>
      <c r="UQO96" s="11"/>
      <c r="UQP96" s="11"/>
      <c r="UQQ96" s="11"/>
      <c r="UQR96" s="11"/>
      <c r="UQS96" s="11"/>
      <c r="UQT96" s="11"/>
      <c r="UQU96" s="11"/>
      <c r="UQV96" s="11"/>
      <c r="UQW96" s="11"/>
      <c r="UQX96" s="11"/>
      <c r="UQY96" s="11"/>
      <c r="UQZ96" s="11"/>
      <c r="URA96" s="11"/>
      <c r="URB96" s="11"/>
      <c r="URC96" s="11"/>
      <c r="URD96" s="11"/>
      <c r="URE96" s="11"/>
      <c r="URF96" s="11"/>
      <c r="URG96" s="11"/>
      <c r="URH96" s="11"/>
      <c r="URI96" s="11"/>
      <c r="URJ96" s="11"/>
      <c r="URK96" s="11"/>
      <c r="URL96" s="11"/>
      <c r="URM96" s="11"/>
      <c r="URN96" s="11"/>
      <c r="URO96" s="11"/>
      <c r="URP96" s="11"/>
      <c r="URQ96" s="11"/>
      <c r="URR96" s="11"/>
      <c r="URS96" s="11"/>
      <c r="URT96" s="11"/>
      <c r="URU96" s="11"/>
      <c r="URV96" s="11"/>
      <c r="URW96" s="11"/>
      <c r="URX96" s="11"/>
      <c r="URY96" s="11"/>
      <c r="URZ96" s="11"/>
      <c r="USA96" s="11"/>
      <c r="USB96" s="11"/>
      <c r="USC96" s="11"/>
      <c r="USD96" s="11"/>
      <c r="USE96" s="11"/>
      <c r="USF96" s="11"/>
      <c r="USG96" s="11"/>
      <c r="USH96" s="11"/>
      <c r="USI96" s="11"/>
      <c r="USJ96" s="11"/>
      <c r="USK96" s="11"/>
      <c r="USL96" s="11"/>
      <c r="USM96" s="11"/>
      <c r="USN96" s="11"/>
      <c r="USO96" s="11"/>
      <c r="USP96" s="11"/>
      <c r="USQ96" s="11"/>
      <c r="USR96" s="11"/>
      <c r="USS96" s="11"/>
      <c r="UST96" s="11"/>
      <c r="USU96" s="11"/>
      <c r="USV96" s="11"/>
      <c r="USW96" s="11"/>
      <c r="USX96" s="11"/>
      <c r="USY96" s="11"/>
      <c r="USZ96" s="11"/>
      <c r="UTA96" s="11"/>
      <c r="UTB96" s="11"/>
      <c r="UTC96" s="11"/>
      <c r="UTD96" s="11"/>
      <c r="UTE96" s="11"/>
      <c r="UTF96" s="11"/>
      <c r="UTG96" s="11"/>
      <c r="UTH96" s="11"/>
      <c r="UTI96" s="11"/>
      <c r="UTJ96" s="11"/>
      <c r="UTK96" s="11"/>
      <c r="UTL96" s="11"/>
      <c r="UTM96" s="11"/>
      <c r="UTN96" s="11"/>
      <c r="UTO96" s="11"/>
      <c r="UTP96" s="11"/>
      <c r="UTQ96" s="11"/>
      <c r="UTR96" s="11"/>
      <c r="UTS96" s="11"/>
      <c r="UTT96" s="11"/>
      <c r="UTU96" s="11"/>
      <c r="UTV96" s="11"/>
      <c r="UTW96" s="11"/>
      <c r="UTX96" s="11"/>
      <c r="UTY96" s="11"/>
      <c r="UTZ96" s="11"/>
      <c r="UUA96" s="11"/>
      <c r="UUB96" s="11"/>
      <c r="UUC96" s="11"/>
      <c r="UUD96" s="11"/>
      <c r="UUE96" s="11"/>
      <c r="UUF96" s="11"/>
      <c r="UUG96" s="11"/>
      <c r="UUH96" s="11"/>
      <c r="UUI96" s="11"/>
      <c r="UUJ96" s="11"/>
      <c r="UUK96" s="11"/>
      <c r="UUL96" s="11"/>
      <c r="UUM96" s="11"/>
      <c r="UUN96" s="11"/>
      <c r="UUO96" s="11"/>
      <c r="UUP96" s="11"/>
      <c r="UUQ96" s="11"/>
      <c r="UUR96" s="11"/>
      <c r="UUS96" s="11"/>
      <c r="UUT96" s="11"/>
      <c r="UUU96" s="11"/>
      <c r="UUV96" s="11"/>
      <c r="UUW96" s="11"/>
      <c r="UUX96" s="11"/>
      <c r="UUY96" s="11"/>
      <c r="UUZ96" s="11"/>
      <c r="UVA96" s="11"/>
      <c r="UVB96" s="11"/>
      <c r="UVC96" s="11"/>
      <c r="UVD96" s="11"/>
      <c r="UVE96" s="11"/>
      <c r="UVF96" s="11"/>
      <c r="UVG96" s="11"/>
      <c r="UVH96" s="11"/>
      <c r="UVI96" s="11"/>
      <c r="UVJ96" s="11"/>
      <c r="UVK96" s="11"/>
      <c r="UVL96" s="11"/>
      <c r="UVM96" s="11"/>
      <c r="UVN96" s="11"/>
      <c r="UVO96" s="11"/>
      <c r="UVP96" s="11"/>
      <c r="UVQ96" s="11"/>
      <c r="UVR96" s="11"/>
      <c r="UVS96" s="11"/>
      <c r="UVT96" s="11"/>
      <c r="UVU96" s="11"/>
      <c r="UVV96" s="11"/>
      <c r="UVW96" s="11"/>
      <c r="UVX96" s="11"/>
      <c r="UVY96" s="11"/>
      <c r="UVZ96" s="11"/>
      <c r="UWA96" s="11"/>
      <c r="UWB96" s="11"/>
      <c r="UWC96" s="11"/>
      <c r="UWD96" s="11"/>
      <c r="UWE96" s="11"/>
      <c r="UWF96" s="11"/>
      <c r="UWG96" s="11"/>
      <c r="UWH96" s="11"/>
      <c r="UWI96" s="11"/>
      <c r="UWJ96" s="11"/>
      <c r="UWK96" s="11"/>
      <c r="UWL96" s="11"/>
      <c r="UWM96" s="11"/>
      <c r="UWN96" s="11"/>
      <c r="UWO96" s="11"/>
      <c r="UWP96" s="11"/>
      <c r="UWQ96" s="11"/>
      <c r="UWR96" s="11"/>
      <c r="UWS96" s="11"/>
      <c r="UWT96" s="11"/>
      <c r="UWU96" s="11"/>
      <c r="UWV96" s="11"/>
      <c r="UWW96" s="11"/>
      <c r="UWX96" s="11"/>
      <c r="UWY96" s="11"/>
      <c r="UWZ96" s="11"/>
      <c r="UXA96" s="11"/>
      <c r="UXB96" s="11"/>
      <c r="UXC96" s="11"/>
      <c r="UXD96" s="11"/>
      <c r="UXE96" s="11"/>
      <c r="UXF96" s="11"/>
      <c r="UXG96" s="11"/>
      <c r="UXH96" s="11"/>
      <c r="UXI96" s="11"/>
      <c r="UXJ96" s="11"/>
      <c r="UXK96" s="11"/>
      <c r="UXL96" s="11"/>
      <c r="UXM96" s="11"/>
      <c r="UXN96" s="11"/>
      <c r="UXO96" s="11"/>
      <c r="UXP96" s="11"/>
      <c r="UXQ96" s="11"/>
      <c r="UXR96" s="11"/>
      <c r="UXS96" s="11"/>
      <c r="UXT96" s="11"/>
      <c r="UXU96" s="11"/>
      <c r="UXV96" s="11"/>
      <c r="UXW96" s="11"/>
      <c r="UXX96" s="11"/>
      <c r="UXY96" s="11"/>
      <c r="UXZ96" s="11"/>
      <c r="UYA96" s="11"/>
      <c r="UYB96" s="11"/>
      <c r="UYC96" s="11"/>
      <c r="UYD96" s="11"/>
      <c r="UYE96" s="11"/>
      <c r="UYF96" s="11"/>
      <c r="UYG96" s="11"/>
      <c r="UYH96" s="11"/>
      <c r="UYI96" s="11"/>
      <c r="UYJ96" s="11"/>
      <c r="UYK96" s="11"/>
      <c r="UYL96" s="11"/>
      <c r="UYM96" s="11"/>
      <c r="UYN96" s="11"/>
      <c r="UYO96" s="11"/>
      <c r="UYP96" s="11"/>
      <c r="UYQ96" s="11"/>
      <c r="UYR96" s="11"/>
      <c r="UYS96" s="11"/>
      <c r="UYT96" s="11"/>
      <c r="UYU96" s="11"/>
      <c r="UYV96" s="11"/>
      <c r="UYW96" s="11"/>
      <c r="UYX96" s="11"/>
      <c r="UYY96" s="11"/>
      <c r="UYZ96" s="11"/>
      <c r="UZA96" s="11"/>
      <c r="UZB96" s="11"/>
      <c r="UZC96" s="11"/>
      <c r="UZD96" s="11"/>
      <c r="UZE96" s="11"/>
      <c r="UZF96" s="11"/>
      <c r="UZG96" s="11"/>
      <c r="UZH96" s="11"/>
      <c r="UZI96" s="11"/>
      <c r="UZJ96" s="11"/>
      <c r="UZK96" s="11"/>
      <c r="UZL96" s="11"/>
      <c r="UZM96" s="11"/>
      <c r="UZN96" s="11"/>
      <c r="UZO96" s="11"/>
      <c r="UZP96" s="11"/>
      <c r="UZQ96" s="11"/>
      <c r="UZR96" s="11"/>
      <c r="UZS96" s="11"/>
      <c r="UZT96" s="11"/>
      <c r="UZU96" s="11"/>
      <c r="UZV96" s="11"/>
      <c r="UZW96" s="11"/>
      <c r="UZX96" s="11"/>
      <c r="UZY96" s="11"/>
      <c r="UZZ96" s="11"/>
      <c r="VAA96" s="11"/>
      <c r="VAB96" s="11"/>
      <c r="VAC96" s="11"/>
      <c r="VAD96" s="11"/>
      <c r="VAE96" s="11"/>
      <c r="VAF96" s="11"/>
      <c r="VAG96" s="11"/>
      <c r="VAH96" s="11"/>
      <c r="VAI96" s="11"/>
      <c r="VAJ96" s="11"/>
      <c r="VAK96" s="11"/>
      <c r="VAL96" s="11"/>
      <c r="VAM96" s="11"/>
      <c r="VAN96" s="11"/>
      <c r="VAO96" s="11"/>
      <c r="VAP96" s="11"/>
      <c r="VAQ96" s="11"/>
      <c r="VAR96" s="11"/>
      <c r="VAS96" s="11"/>
      <c r="VAT96" s="11"/>
      <c r="VAU96" s="11"/>
      <c r="VAV96" s="11"/>
      <c r="VAW96" s="11"/>
      <c r="VAX96" s="11"/>
      <c r="VAY96" s="11"/>
      <c r="VAZ96" s="11"/>
      <c r="VBA96" s="11"/>
      <c r="VBB96" s="11"/>
      <c r="VBC96" s="11"/>
      <c r="VBD96" s="11"/>
      <c r="VBE96" s="11"/>
      <c r="VBF96" s="11"/>
      <c r="VBG96" s="11"/>
      <c r="VBH96" s="11"/>
      <c r="VBI96" s="11"/>
      <c r="VBJ96" s="11"/>
      <c r="VBK96" s="11"/>
      <c r="VBL96" s="11"/>
      <c r="VBM96" s="11"/>
      <c r="VBN96" s="11"/>
      <c r="VBO96" s="11"/>
      <c r="VBP96" s="11"/>
      <c r="VBQ96" s="11"/>
      <c r="VBR96" s="11"/>
      <c r="VBS96" s="11"/>
      <c r="VBT96" s="11"/>
      <c r="VBU96" s="11"/>
      <c r="VBV96" s="11"/>
      <c r="VBW96" s="11"/>
      <c r="VBX96" s="11"/>
      <c r="VBY96" s="11"/>
      <c r="VBZ96" s="11"/>
      <c r="VCA96" s="11"/>
      <c r="VCB96" s="11"/>
      <c r="VCC96" s="11"/>
      <c r="VCD96" s="11"/>
      <c r="VCE96" s="11"/>
      <c r="VCF96" s="11"/>
      <c r="VCG96" s="11"/>
      <c r="VCH96" s="11"/>
      <c r="VCI96" s="11"/>
      <c r="VCJ96" s="11"/>
      <c r="VCK96" s="11"/>
      <c r="VCL96" s="11"/>
      <c r="VCM96" s="11"/>
      <c r="VCN96" s="11"/>
      <c r="VCO96" s="11"/>
      <c r="VCP96" s="11"/>
      <c r="VCQ96" s="11"/>
      <c r="VCR96" s="11"/>
      <c r="VCS96" s="11"/>
      <c r="VCT96" s="11"/>
      <c r="VCU96" s="11"/>
      <c r="VCV96" s="11"/>
      <c r="VCW96" s="11"/>
      <c r="VCX96" s="11"/>
      <c r="VCY96" s="11"/>
      <c r="VCZ96" s="11"/>
      <c r="VDA96" s="11"/>
      <c r="VDB96" s="11"/>
      <c r="VDC96" s="11"/>
      <c r="VDD96" s="11"/>
      <c r="VDE96" s="11"/>
      <c r="VDF96" s="11"/>
      <c r="VDG96" s="11"/>
      <c r="VDH96" s="11"/>
      <c r="VDI96" s="11"/>
      <c r="VDJ96" s="11"/>
      <c r="VDK96" s="11"/>
      <c r="VDL96" s="11"/>
      <c r="VDM96" s="11"/>
      <c r="VDN96" s="11"/>
      <c r="VDO96" s="11"/>
      <c r="VDP96" s="11"/>
      <c r="VDQ96" s="11"/>
      <c r="VDR96" s="11"/>
      <c r="VDS96" s="11"/>
      <c r="VDT96" s="11"/>
      <c r="VDU96" s="11"/>
      <c r="VDV96" s="11"/>
      <c r="VDW96" s="11"/>
      <c r="VDX96" s="11"/>
      <c r="VDY96" s="11"/>
      <c r="VDZ96" s="11"/>
      <c r="VEA96" s="11"/>
      <c r="VEB96" s="11"/>
      <c r="VEC96" s="11"/>
      <c r="VED96" s="11"/>
      <c r="VEE96" s="11"/>
      <c r="VEF96" s="11"/>
      <c r="VEG96" s="11"/>
      <c r="VEH96" s="11"/>
      <c r="VEI96" s="11"/>
      <c r="VEJ96" s="11"/>
      <c r="VEK96" s="11"/>
      <c r="VEL96" s="11"/>
      <c r="VEM96" s="11"/>
      <c r="VEN96" s="11"/>
      <c r="VEO96" s="11"/>
      <c r="VEP96" s="11"/>
      <c r="VEQ96" s="11"/>
      <c r="VER96" s="11"/>
      <c r="VES96" s="11"/>
      <c r="VET96" s="11"/>
      <c r="VEU96" s="11"/>
      <c r="VEV96" s="11"/>
      <c r="VEW96" s="11"/>
      <c r="VEX96" s="11"/>
      <c r="VEY96" s="11"/>
      <c r="VEZ96" s="11"/>
      <c r="VFA96" s="11"/>
      <c r="VFB96" s="11"/>
      <c r="VFC96" s="11"/>
      <c r="VFD96" s="11"/>
      <c r="VFE96" s="11"/>
      <c r="VFF96" s="11"/>
      <c r="VFG96" s="11"/>
      <c r="VFH96" s="11"/>
      <c r="VFI96" s="11"/>
      <c r="VFJ96" s="11"/>
      <c r="VFK96" s="11"/>
      <c r="VFL96" s="11"/>
      <c r="VFM96" s="11"/>
      <c r="VFN96" s="11"/>
      <c r="VFO96" s="11"/>
      <c r="VFP96" s="11"/>
      <c r="VFQ96" s="11"/>
      <c r="VFR96" s="11"/>
      <c r="VFS96" s="11"/>
      <c r="VFT96" s="11"/>
      <c r="VFU96" s="11"/>
      <c r="VFV96" s="11"/>
      <c r="VFW96" s="11"/>
      <c r="VFX96" s="11"/>
      <c r="VFY96" s="11"/>
      <c r="VFZ96" s="11"/>
      <c r="VGA96" s="11"/>
      <c r="VGB96" s="11"/>
      <c r="VGC96" s="11"/>
      <c r="VGD96" s="11"/>
      <c r="VGE96" s="11"/>
      <c r="VGF96" s="11"/>
      <c r="VGG96" s="11"/>
      <c r="VGH96" s="11"/>
      <c r="VGI96" s="11"/>
      <c r="VGJ96" s="11"/>
      <c r="VGK96" s="11"/>
      <c r="VGL96" s="11"/>
      <c r="VGM96" s="11"/>
      <c r="VGN96" s="11"/>
      <c r="VGO96" s="11"/>
      <c r="VGP96" s="11"/>
      <c r="VGQ96" s="11"/>
      <c r="VGR96" s="11"/>
      <c r="VGS96" s="11"/>
      <c r="VGT96" s="11"/>
      <c r="VGU96" s="11"/>
      <c r="VGV96" s="11"/>
      <c r="VGW96" s="11"/>
      <c r="VGX96" s="11"/>
      <c r="VGY96" s="11"/>
      <c r="VGZ96" s="11"/>
      <c r="VHA96" s="11"/>
      <c r="VHB96" s="11"/>
      <c r="VHC96" s="11"/>
      <c r="VHD96" s="11"/>
      <c r="VHE96" s="11"/>
      <c r="VHF96" s="11"/>
      <c r="VHG96" s="11"/>
      <c r="VHH96" s="11"/>
      <c r="VHI96" s="11"/>
      <c r="VHJ96" s="11"/>
      <c r="VHK96" s="11"/>
      <c r="VHL96" s="11"/>
      <c r="VHM96" s="11"/>
      <c r="VHN96" s="11"/>
      <c r="VHO96" s="11"/>
      <c r="VHP96" s="11"/>
      <c r="VHQ96" s="11"/>
      <c r="VHR96" s="11"/>
      <c r="VHS96" s="11"/>
      <c r="VHT96" s="11"/>
      <c r="VHU96" s="11"/>
      <c r="VHV96" s="11"/>
      <c r="VHW96" s="11"/>
      <c r="VHX96" s="11"/>
      <c r="VHY96" s="11"/>
      <c r="VHZ96" s="11"/>
      <c r="VIA96" s="11"/>
      <c r="VIB96" s="11"/>
      <c r="VIC96" s="11"/>
      <c r="VID96" s="11"/>
      <c r="VIE96" s="11"/>
      <c r="VIF96" s="11"/>
      <c r="VIG96" s="11"/>
      <c r="VIH96" s="11"/>
      <c r="VII96" s="11"/>
      <c r="VIJ96" s="11"/>
      <c r="VIK96" s="11"/>
      <c r="VIL96" s="11"/>
      <c r="VIM96" s="11"/>
      <c r="VIN96" s="11"/>
      <c r="VIO96" s="11"/>
      <c r="VIP96" s="11"/>
      <c r="VIQ96" s="11"/>
      <c r="VIR96" s="11"/>
      <c r="VIS96" s="11"/>
      <c r="VIT96" s="11"/>
      <c r="VIU96" s="11"/>
      <c r="VIV96" s="11"/>
      <c r="VIW96" s="11"/>
      <c r="VIX96" s="11"/>
      <c r="VIY96" s="11"/>
      <c r="VIZ96" s="11"/>
      <c r="VJA96" s="11"/>
      <c r="VJB96" s="11"/>
      <c r="VJC96" s="11"/>
      <c r="VJD96" s="11"/>
      <c r="VJE96" s="11"/>
      <c r="VJF96" s="11"/>
      <c r="VJG96" s="11"/>
      <c r="VJH96" s="11"/>
      <c r="VJI96" s="11"/>
      <c r="VJJ96" s="11"/>
      <c r="VJK96" s="11"/>
      <c r="VJL96" s="11"/>
      <c r="VJM96" s="11"/>
      <c r="VJN96" s="11"/>
      <c r="VJO96" s="11"/>
      <c r="VJP96" s="11"/>
      <c r="VJQ96" s="11"/>
      <c r="VJR96" s="11"/>
      <c r="VJS96" s="11"/>
      <c r="VJT96" s="11"/>
      <c r="VJU96" s="11"/>
      <c r="VJV96" s="11"/>
      <c r="VJW96" s="11"/>
      <c r="VJX96" s="11"/>
      <c r="VJY96" s="11"/>
      <c r="VJZ96" s="11"/>
      <c r="VKA96" s="11"/>
      <c r="VKB96" s="11"/>
      <c r="VKC96" s="11"/>
      <c r="VKD96" s="11"/>
      <c r="VKE96" s="11"/>
      <c r="VKF96" s="11"/>
      <c r="VKG96" s="11"/>
      <c r="VKH96" s="11"/>
      <c r="VKI96" s="11"/>
      <c r="VKJ96" s="11"/>
      <c r="VKK96" s="11"/>
      <c r="VKL96" s="11"/>
      <c r="VKM96" s="11"/>
      <c r="VKN96" s="11"/>
      <c r="VKO96" s="11"/>
      <c r="VKP96" s="11"/>
      <c r="VKQ96" s="11"/>
      <c r="VKR96" s="11"/>
      <c r="VKS96" s="11"/>
      <c r="VKT96" s="11"/>
      <c r="VKU96" s="11"/>
      <c r="VKV96" s="11"/>
      <c r="VKW96" s="11"/>
      <c r="VKX96" s="11"/>
      <c r="VKY96" s="11"/>
      <c r="VKZ96" s="11"/>
      <c r="VLA96" s="11"/>
      <c r="VLB96" s="11"/>
      <c r="VLC96" s="11"/>
      <c r="VLD96" s="11"/>
      <c r="VLE96" s="11"/>
      <c r="VLF96" s="11"/>
      <c r="VLG96" s="11"/>
      <c r="VLH96" s="11"/>
      <c r="VLI96" s="11"/>
      <c r="VLJ96" s="11"/>
      <c r="VLK96" s="11"/>
      <c r="VLL96" s="11"/>
      <c r="VLM96" s="11"/>
      <c r="VLN96" s="11"/>
      <c r="VLO96" s="11"/>
      <c r="VLP96" s="11"/>
      <c r="VLQ96" s="11"/>
      <c r="VLR96" s="11"/>
      <c r="VLS96" s="11"/>
      <c r="VLT96" s="11"/>
      <c r="VLU96" s="11"/>
      <c r="VLV96" s="11"/>
      <c r="VLW96" s="11"/>
      <c r="VLX96" s="11"/>
      <c r="VLY96" s="11"/>
      <c r="VLZ96" s="11"/>
      <c r="VMA96" s="11"/>
      <c r="VMB96" s="11"/>
      <c r="VMC96" s="11"/>
      <c r="VMD96" s="11"/>
      <c r="VME96" s="11"/>
      <c r="VMF96" s="11"/>
      <c r="VMG96" s="11"/>
      <c r="VMH96" s="11"/>
      <c r="VMI96" s="11"/>
      <c r="VMJ96" s="11"/>
      <c r="VMK96" s="11"/>
      <c r="VML96" s="11"/>
      <c r="VMM96" s="11"/>
      <c r="VMN96" s="11"/>
      <c r="VMO96" s="11"/>
      <c r="VMP96" s="11"/>
      <c r="VMQ96" s="11"/>
      <c r="VMR96" s="11"/>
      <c r="VMS96" s="11"/>
      <c r="VMT96" s="11"/>
      <c r="VMU96" s="11"/>
      <c r="VMV96" s="11"/>
      <c r="VMW96" s="11"/>
      <c r="VMX96" s="11"/>
      <c r="VMY96" s="11"/>
      <c r="VMZ96" s="11"/>
      <c r="VNA96" s="11"/>
      <c r="VNB96" s="11"/>
      <c r="VNC96" s="11"/>
      <c r="VND96" s="11"/>
      <c r="VNE96" s="11"/>
      <c r="VNF96" s="11"/>
      <c r="VNG96" s="11"/>
      <c r="VNH96" s="11"/>
      <c r="VNI96" s="11"/>
      <c r="VNJ96" s="11"/>
      <c r="VNK96" s="11"/>
      <c r="VNL96" s="11"/>
      <c r="VNM96" s="11"/>
      <c r="VNN96" s="11"/>
      <c r="VNO96" s="11"/>
      <c r="VNP96" s="11"/>
      <c r="VNQ96" s="11"/>
      <c r="VNR96" s="11"/>
      <c r="VNS96" s="11"/>
      <c r="VNT96" s="11"/>
      <c r="VNU96" s="11"/>
      <c r="VNV96" s="11"/>
      <c r="VNW96" s="11"/>
      <c r="VNX96" s="11"/>
      <c r="VNY96" s="11"/>
      <c r="VNZ96" s="11"/>
      <c r="VOA96" s="11"/>
      <c r="VOB96" s="11"/>
      <c r="VOC96" s="11"/>
      <c r="VOD96" s="11"/>
      <c r="VOE96" s="11"/>
      <c r="VOF96" s="11"/>
      <c r="VOG96" s="11"/>
      <c r="VOH96" s="11"/>
      <c r="VOI96" s="11"/>
      <c r="VOJ96" s="11"/>
      <c r="VOK96" s="11"/>
      <c r="VOL96" s="11"/>
      <c r="VOM96" s="11"/>
      <c r="VON96" s="11"/>
      <c r="VOO96" s="11"/>
      <c r="VOP96" s="11"/>
      <c r="VOQ96" s="11"/>
      <c r="VOR96" s="11"/>
      <c r="VOS96" s="11"/>
      <c r="VOT96" s="11"/>
      <c r="VOU96" s="11"/>
      <c r="VOV96" s="11"/>
      <c r="VOW96" s="11"/>
      <c r="VOX96" s="11"/>
      <c r="VOY96" s="11"/>
      <c r="VOZ96" s="11"/>
      <c r="VPA96" s="11"/>
      <c r="VPB96" s="11"/>
      <c r="VPC96" s="11"/>
      <c r="VPD96" s="11"/>
      <c r="VPE96" s="11"/>
      <c r="VPF96" s="11"/>
      <c r="VPG96" s="11"/>
      <c r="VPH96" s="11"/>
      <c r="VPI96" s="11"/>
      <c r="VPJ96" s="11"/>
      <c r="VPK96" s="11"/>
      <c r="VPL96" s="11"/>
      <c r="VPM96" s="11"/>
      <c r="VPN96" s="11"/>
      <c r="VPO96" s="11"/>
      <c r="VPP96" s="11"/>
      <c r="VPQ96" s="11"/>
      <c r="VPR96" s="11"/>
      <c r="VPS96" s="11"/>
      <c r="VPT96" s="11"/>
      <c r="VPU96" s="11"/>
      <c r="VPV96" s="11"/>
      <c r="VPW96" s="11"/>
      <c r="VPX96" s="11"/>
      <c r="VPY96" s="11"/>
      <c r="VPZ96" s="11"/>
      <c r="VQA96" s="11"/>
      <c r="VQB96" s="11"/>
      <c r="VQC96" s="11"/>
      <c r="VQD96" s="11"/>
      <c r="VQE96" s="11"/>
      <c r="VQF96" s="11"/>
      <c r="VQG96" s="11"/>
      <c r="VQH96" s="11"/>
      <c r="VQI96" s="11"/>
      <c r="VQJ96" s="11"/>
      <c r="VQK96" s="11"/>
      <c r="VQL96" s="11"/>
      <c r="VQM96" s="11"/>
      <c r="VQN96" s="11"/>
      <c r="VQO96" s="11"/>
      <c r="VQP96" s="11"/>
      <c r="VQQ96" s="11"/>
      <c r="VQR96" s="11"/>
      <c r="VQS96" s="11"/>
      <c r="VQT96" s="11"/>
      <c r="VQU96" s="11"/>
      <c r="VQV96" s="11"/>
      <c r="VQW96" s="11"/>
      <c r="VQX96" s="11"/>
      <c r="VQY96" s="11"/>
      <c r="VQZ96" s="11"/>
      <c r="VRA96" s="11"/>
      <c r="VRB96" s="11"/>
      <c r="VRC96" s="11"/>
      <c r="VRD96" s="11"/>
      <c r="VRE96" s="11"/>
      <c r="VRF96" s="11"/>
      <c r="VRG96" s="11"/>
      <c r="VRH96" s="11"/>
      <c r="VRI96" s="11"/>
      <c r="VRJ96" s="11"/>
      <c r="VRK96" s="11"/>
      <c r="VRL96" s="11"/>
      <c r="VRM96" s="11"/>
      <c r="VRN96" s="11"/>
      <c r="VRO96" s="11"/>
      <c r="VRP96" s="11"/>
      <c r="VRQ96" s="11"/>
      <c r="VRR96" s="11"/>
      <c r="VRS96" s="11"/>
      <c r="VRT96" s="11"/>
      <c r="VRU96" s="11"/>
      <c r="VRV96" s="11"/>
      <c r="VRW96" s="11"/>
      <c r="VRX96" s="11"/>
      <c r="VRY96" s="11"/>
      <c r="VRZ96" s="11"/>
      <c r="VSA96" s="11"/>
      <c r="VSB96" s="11"/>
      <c r="VSC96" s="11"/>
      <c r="VSD96" s="11"/>
      <c r="VSE96" s="11"/>
      <c r="VSF96" s="11"/>
      <c r="VSG96" s="11"/>
      <c r="VSH96" s="11"/>
      <c r="VSI96" s="11"/>
      <c r="VSJ96" s="11"/>
      <c r="VSK96" s="11"/>
      <c r="VSL96" s="11"/>
      <c r="VSM96" s="11"/>
      <c r="VSN96" s="11"/>
      <c r="VSO96" s="11"/>
      <c r="VSP96" s="11"/>
      <c r="VSQ96" s="11"/>
      <c r="VSR96" s="11"/>
      <c r="VSS96" s="11"/>
      <c r="VST96" s="11"/>
      <c r="VSU96" s="11"/>
      <c r="VSV96" s="11"/>
      <c r="VSW96" s="11"/>
      <c r="VSX96" s="11"/>
      <c r="VSY96" s="11"/>
      <c r="VSZ96" s="11"/>
      <c r="VTA96" s="11"/>
      <c r="VTB96" s="11"/>
      <c r="VTC96" s="11"/>
      <c r="VTD96" s="11"/>
      <c r="VTE96" s="11"/>
      <c r="VTF96" s="11"/>
      <c r="VTG96" s="11"/>
      <c r="VTH96" s="11"/>
      <c r="VTI96" s="11"/>
      <c r="VTJ96" s="11"/>
      <c r="VTK96" s="11"/>
      <c r="VTL96" s="11"/>
      <c r="VTM96" s="11"/>
      <c r="VTN96" s="11"/>
      <c r="VTO96" s="11"/>
      <c r="VTP96" s="11"/>
      <c r="VTQ96" s="11"/>
      <c r="VTR96" s="11"/>
      <c r="VTS96" s="11"/>
      <c r="VTT96" s="11"/>
      <c r="VTU96" s="11"/>
      <c r="VTV96" s="11"/>
      <c r="VTW96" s="11"/>
      <c r="VTX96" s="11"/>
      <c r="VTY96" s="11"/>
      <c r="VTZ96" s="11"/>
      <c r="VUA96" s="11"/>
      <c r="VUB96" s="11"/>
      <c r="VUC96" s="11"/>
      <c r="VUD96" s="11"/>
      <c r="VUE96" s="11"/>
      <c r="VUF96" s="11"/>
      <c r="VUG96" s="11"/>
      <c r="VUH96" s="11"/>
      <c r="VUI96" s="11"/>
      <c r="VUJ96" s="11"/>
      <c r="VUK96" s="11"/>
      <c r="VUL96" s="11"/>
      <c r="VUM96" s="11"/>
      <c r="VUN96" s="11"/>
      <c r="VUO96" s="11"/>
      <c r="VUP96" s="11"/>
      <c r="VUQ96" s="11"/>
      <c r="VUR96" s="11"/>
      <c r="VUS96" s="11"/>
      <c r="VUT96" s="11"/>
      <c r="VUU96" s="11"/>
      <c r="VUV96" s="11"/>
      <c r="VUW96" s="11"/>
      <c r="VUX96" s="11"/>
      <c r="VUY96" s="11"/>
      <c r="VUZ96" s="11"/>
      <c r="VVA96" s="11"/>
      <c r="VVB96" s="11"/>
      <c r="VVC96" s="11"/>
      <c r="VVD96" s="11"/>
      <c r="VVE96" s="11"/>
      <c r="VVF96" s="11"/>
      <c r="VVG96" s="11"/>
      <c r="VVH96" s="11"/>
      <c r="VVI96" s="11"/>
      <c r="VVJ96" s="11"/>
      <c r="VVK96" s="11"/>
      <c r="VVL96" s="11"/>
      <c r="VVM96" s="11"/>
      <c r="VVN96" s="11"/>
      <c r="VVO96" s="11"/>
      <c r="VVP96" s="11"/>
      <c r="VVQ96" s="11"/>
      <c r="VVR96" s="11"/>
      <c r="VVS96" s="11"/>
      <c r="VVT96" s="11"/>
      <c r="VVU96" s="11"/>
      <c r="VVV96" s="11"/>
      <c r="VVW96" s="11"/>
      <c r="VVX96" s="11"/>
      <c r="VVY96" s="11"/>
      <c r="VVZ96" s="11"/>
      <c r="VWA96" s="11"/>
      <c r="VWB96" s="11"/>
      <c r="VWC96" s="11"/>
      <c r="VWD96" s="11"/>
      <c r="VWE96" s="11"/>
      <c r="VWF96" s="11"/>
      <c r="VWG96" s="11"/>
      <c r="VWH96" s="11"/>
      <c r="VWI96" s="11"/>
      <c r="VWJ96" s="11"/>
      <c r="VWK96" s="11"/>
      <c r="VWL96" s="11"/>
      <c r="VWM96" s="11"/>
      <c r="VWN96" s="11"/>
      <c r="VWO96" s="11"/>
      <c r="VWP96" s="11"/>
      <c r="VWQ96" s="11"/>
      <c r="VWR96" s="11"/>
      <c r="VWS96" s="11"/>
      <c r="VWT96" s="11"/>
      <c r="VWU96" s="11"/>
      <c r="VWV96" s="11"/>
      <c r="VWW96" s="11"/>
      <c r="VWX96" s="11"/>
      <c r="VWY96" s="11"/>
      <c r="VWZ96" s="11"/>
      <c r="VXA96" s="11"/>
      <c r="VXB96" s="11"/>
      <c r="VXC96" s="11"/>
      <c r="VXD96" s="11"/>
      <c r="VXE96" s="11"/>
      <c r="VXF96" s="11"/>
      <c r="VXG96" s="11"/>
      <c r="VXH96" s="11"/>
      <c r="VXI96" s="11"/>
      <c r="VXJ96" s="11"/>
      <c r="VXK96" s="11"/>
      <c r="VXL96" s="11"/>
      <c r="VXM96" s="11"/>
      <c r="VXN96" s="11"/>
      <c r="VXO96" s="11"/>
      <c r="VXP96" s="11"/>
      <c r="VXQ96" s="11"/>
      <c r="VXR96" s="11"/>
      <c r="VXS96" s="11"/>
      <c r="VXT96" s="11"/>
      <c r="VXU96" s="11"/>
      <c r="VXV96" s="11"/>
      <c r="VXW96" s="11"/>
      <c r="VXX96" s="11"/>
      <c r="VXY96" s="11"/>
      <c r="VXZ96" s="11"/>
      <c r="VYA96" s="11"/>
      <c r="VYB96" s="11"/>
      <c r="VYC96" s="11"/>
      <c r="VYD96" s="11"/>
      <c r="VYE96" s="11"/>
      <c r="VYF96" s="11"/>
      <c r="VYG96" s="11"/>
      <c r="VYH96" s="11"/>
      <c r="VYI96" s="11"/>
      <c r="VYJ96" s="11"/>
      <c r="VYK96" s="11"/>
      <c r="VYL96" s="11"/>
      <c r="VYM96" s="11"/>
      <c r="VYN96" s="11"/>
      <c r="VYO96" s="11"/>
      <c r="VYP96" s="11"/>
      <c r="VYQ96" s="11"/>
      <c r="VYR96" s="11"/>
      <c r="VYS96" s="11"/>
      <c r="VYT96" s="11"/>
      <c r="VYU96" s="11"/>
      <c r="VYV96" s="11"/>
      <c r="VYW96" s="11"/>
      <c r="VYX96" s="11"/>
      <c r="VYY96" s="11"/>
      <c r="VYZ96" s="11"/>
      <c r="VZA96" s="11"/>
      <c r="VZB96" s="11"/>
      <c r="VZC96" s="11"/>
      <c r="VZD96" s="11"/>
      <c r="VZE96" s="11"/>
      <c r="VZF96" s="11"/>
      <c r="VZG96" s="11"/>
      <c r="VZH96" s="11"/>
      <c r="VZI96" s="11"/>
      <c r="VZJ96" s="11"/>
      <c r="VZK96" s="11"/>
      <c r="VZL96" s="11"/>
      <c r="VZM96" s="11"/>
      <c r="VZN96" s="11"/>
      <c r="VZO96" s="11"/>
      <c r="VZP96" s="11"/>
      <c r="VZQ96" s="11"/>
      <c r="VZR96" s="11"/>
      <c r="VZS96" s="11"/>
      <c r="VZT96" s="11"/>
      <c r="VZU96" s="11"/>
      <c r="VZV96" s="11"/>
      <c r="VZW96" s="11"/>
      <c r="VZX96" s="11"/>
      <c r="VZY96" s="11"/>
      <c r="VZZ96" s="11"/>
      <c r="WAA96" s="11"/>
      <c r="WAB96" s="11"/>
      <c r="WAC96" s="11"/>
      <c r="WAD96" s="11"/>
      <c r="WAE96" s="11"/>
      <c r="WAF96" s="11"/>
      <c r="WAG96" s="11"/>
      <c r="WAH96" s="11"/>
      <c r="WAI96" s="11"/>
      <c r="WAJ96" s="11"/>
      <c r="WAK96" s="11"/>
      <c r="WAL96" s="11"/>
      <c r="WAM96" s="11"/>
      <c r="WAN96" s="11"/>
      <c r="WAO96" s="11"/>
      <c r="WAP96" s="11"/>
      <c r="WAQ96" s="11"/>
      <c r="WAR96" s="11"/>
      <c r="WAS96" s="11"/>
      <c r="WAT96" s="11"/>
      <c r="WAU96" s="11"/>
      <c r="WAV96" s="11"/>
      <c r="WAW96" s="11"/>
      <c r="WAX96" s="11"/>
      <c r="WAY96" s="11"/>
      <c r="WAZ96" s="11"/>
      <c r="WBA96" s="11"/>
      <c r="WBB96" s="11"/>
      <c r="WBC96" s="11"/>
      <c r="WBD96" s="11"/>
      <c r="WBE96" s="11"/>
      <c r="WBF96" s="11"/>
      <c r="WBG96" s="11"/>
      <c r="WBH96" s="11"/>
      <c r="WBI96" s="11"/>
      <c r="WBJ96" s="11"/>
      <c r="WBK96" s="11"/>
      <c r="WBL96" s="11"/>
      <c r="WBM96" s="11"/>
      <c r="WBN96" s="11"/>
      <c r="WBO96" s="11"/>
      <c r="WBP96" s="11"/>
      <c r="WBQ96" s="11"/>
      <c r="WBR96" s="11"/>
      <c r="WBS96" s="11"/>
      <c r="WBT96" s="11"/>
      <c r="WBU96" s="11"/>
      <c r="WBV96" s="11"/>
      <c r="WBW96" s="11"/>
      <c r="WBX96" s="11"/>
      <c r="WBY96" s="11"/>
      <c r="WBZ96" s="11"/>
      <c r="WCA96" s="11"/>
      <c r="WCB96" s="11"/>
      <c r="WCC96" s="11"/>
      <c r="WCD96" s="11"/>
      <c r="WCE96" s="11"/>
      <c r="WCF96" s="11"/>
      <c r="WCG96" s="11"/>
      <c r="WCH96" s="11"/>
      <c r="WCI96" s="11"/>
      <c r="WCJ96" s="11"/>
      <c r="WCK96" s="11"/>
      <c r="WCL96" s="11"/>
      <c r="WCM96" s="11"/>
      <c r="WCN96" s="11"/>
      <c r="WCO96" s="11"/>
      <c r="WCP96" s="11"/>
      <c r="WCQ96" s="11"/>
      <c r="WCR96" s="11"/>
      <c r="WCS96" s="11"/>
      <c r="WCT96" s="11"/>
      <c r="WCU96" s="11"/>
      <c r="WCV96" s="11"/>
      <c r="WCW96" s="11"/>
      <c r="WCX96" s="11"/>
      <c r="WCY96" s="11"/>
      <c r="WCZ96" s="11"/>
      <c r="WDA96" s="11"/>
      <c r="WDB96" s="11"/>
      <c r="WDC96" s="11"/>
      <c r="WDD96" s="11"/>
      <c r="WDE96" s="11"/>
      <c r="WDF96" s="11"/>
      <c r="WDG96" s="11"/>
      <c r="WDH96" s="11"/>
      <c r="WDI96" s="11"/>
      <c r="WDJ96" s="11"/>
      <c r="WDK96" s="11"/>
      <c r="WDL96" s="11"/>
      <c r="WDM96" s="11"/>
      <c r="WDN96" s="11"/>
      <c r="WDO96" s="11"/>
      <c r="WDP96" s="11"/>
      <c r="WDQ96" s="11"/>
      <c r="WDR96" s="11"/>
      <c r="WDS96" s="11"/>
      <c r="WDT96" s="11"/>
      <c r="WDU96" s="11"/>
      <c r="WDV96" s="11"/>
      <c r="WDW96" s="11"/>
      <c r="WDX96" s="11"/>
      <c r="WDY96" s="11"/>
      <c r="WDZ96" s="11"/>
      <c r="WEA96" s="11"/>
      <c r="WEB96" s="11"/>
      <c r="WEC96" s="11"/>
      <c r="WED96" s="11"/>
      <c r="WEE96" s="11"/>
      <c r="WEF96" s="11"/>
      <c r="WEG96" s="11"/>
      <c r="WEH96" s="11"/>
      <c r="WEI96" s="11"/>
      <c r="WEJ96" s="11"/>
      <c r="WEK96" s="11"/>
      <c r="WEL96" s="11"/>
      <c r="WEM96" s="11"/>
      <c r="WEN96" s="11"/>
      <c r="WEO96" s="11"/>
      <c r="WEP96" s="11"/>
      <c r="WEQ96" s="11"/>
      <c r="WER96" s="11"/>
      <c r="WES96" s="11"/>
      <c r="WET96" s="11"/>
      <c r="WEU96" s="11"/>
      <c r="WEV96" s="11"/>
      <c r="WEW96" s="11"/>
      <c r="WEX96" s="11"/>
      <c r="WEY96" s="11"/>
      <c r="WEZ96" s="11"/>
      <c r="WFA96" s="11"/>
      <c r="WFB96" s="11"/>
      <c r="WFC96" s="11"/>
      <c r="WFD96" s="11"/>
      <c r="WFE96" s="11"/>
      <c r="WFF96" s="11"/>
      <c r="WFG96" s="11"/>
      <c r="WFH96" s="11"/>
      <c r="WFI96" s="11"/>
      <c r="WFJ96" s="11"/>
      <c r="WFK96" s="11"/>
      <c r="WFL96" s="11"/>
      <c r="WFM96" s="11"/>
      <c r="WFN96" s="11"/>
      <c r="WFO96" s="11"/>
      <c r="WFP96" s="11"/>
      <c r="WFQ96" s="11"/>
      <c r="WFR96" s="11"/>
      <c r="WFS96" s="11"/>
      <c r="WFT96" s="11"/>
      <c r="WFU96" s="11"/>
      <c r="WFV96" s="11"/>
      <c r="WFW96" s="11"/>
      <c r="WFX96" s="11"/>
      <c r="WFY96" s="11"/>
      <c r="WFZ96" s="11"/>
      <c r="WGA96" s="11"/>
      <c r="WGB96" s="11"/>
      <c r="WGC96" s="11"/>
      <c r="WGD96" s="11"/>
      <c r="WGE96" s="11"/>
      <c r="WGF96" s="11"/>
      <c r="WGG96" s="11"/>
      <c r="WGH96" s="11"/>
      <c r="WGI96" s="11"/>
      <c r="WGJ96" s="11"/>
      <c r="WGK96" s="11"/>
      <c r="WGL96" s="11"/>
      <c r="WGM96" s="11"/>
      <c r="WGN96" s="11"/>
      <c r="WGO96" s="11"/>
      <c r="WGP96" s="11"/>
      <c r="WGQ96" s="11"/>
      <c r="WGR96" s="11"/>
      <c r="WGS96" s="11"/>
      <c r="WGT96" s="11"/>
      <c r="WGU96" s="11"/>
      <c r="WGV96" s="11"/>
      <c r="WGW96" s="11"/>
      <c r="WGX96" s="11"/>
      <c r="WGY96" s="11"/>
      <c r="WGZ96" s="11"/>
      <c r="WHA96" s="11"/>
      <c r="WHB96" s="11"/>
      <c r="WHC96" s="11"/>
      <c r="WHD96" s="11"/>
      <c r="WHE96" s="11"/>
      <c r="WHF96" s="11"/>
      <c r="WHG96" s="11"/>
      <c r="WHH96" s="11"/>
      <c r="WHI96" s="11"/>
      <c r="WHJ96" s="11"/>
      <c r="WHK96" s="11"/>
      <c r="WHL96" s="11"/>
      <c r="WHM96" s="11"/>
      <c r="WHN96" s="11"/>
      <c r="WHO96" s="11"/>
      <c r="WHP96" s="11"/>
      <c r="WHQ96" s="11"/>
      <c r="WHR96" s="11"/>
      <c r="WHS96" s="11"/>
      <c r="WHT96" s="11"/>
      <c r="WHU96" s="11"/>
      <c r="WHV96" s="11"/>
      <c r="WHW96" s="11"/>
      <c r="WHX96" s="11"/>
      <c r="WHY96" s="11"/>
      <c r="WHZ96" s="11"/>
      <c r="WIA96" s="11"/>
      <c r="WIB96" s="11"/>
      <c r="WIC96" s="11"/>
      <c r="WID96" s="11"/>
      <c r="WIE96" s="11"/>
      <c r="WIF96" s="11"/>
      <c r="WIG96" s="11"/>
      <c r="WIH96" s="11"/>
      <c r="WII96" s="11"/>
      <c r="WIJ96" s="11"/>
      <c r="WIK96" s="11"/>
      <c r="WIL96" s="11"/>
      <c r="WIM96" s="11"/>
      <c r="WIN96" s="11"/>
      <c r="WIO96" s="11"/>
      <c r="WIP96" s="11"/>
      <c r="WIQ96" s="11"/>
      <c r="WIR96" s="11"/>
      <c r="WIS96" s="11"/>
      <c r="WIT96" s="11"/>
      <c r="WIU96" s="11"/>
      <c r="WIV96" s="11"/>
      <c r="WIW96" s="11"/>
      <c r="WIX96" s="11"/>
      <c r="WIY96" s="11"/>
      <c r="WIZ96" s="11"/>
      <c r="WJA96" s="11"/>
      <c r="WJB96" s="11"/>
      <c r="WJC96" s="11"/>
      <c r="WJD96" s="11"/>
      <c r="WJE96" s="11"/>
      <c r="WJF96" s="11"/>
      <c r="WJG96" s="11"/>
      <c r="WJH96" s="11"/>
      <c r="WJI96" s="11"/>
      <c r="WJJ96" s="11"/>
      <c r="WJK96" s="11"/>
      <c r="WJL96" s="11"/>
      <c r="WJM96" s="11"/>
      <c r="WJN96" s="11"/>
      <c r="WJO96" s="11"/>
      <c r="WJP96" s="11"/>
      <c r="WJQ96" s="11"/>
      <c r="WJR96" s="11"/>
      <c r="WJS96" s="11"/>
      <c r="WJT96" s="11"/>
      <c r="WJU96" s="11"/>
      <c r="WJV96" s="11"/>
      <c r="WJW96" s="11"/>
      <c r="WJX96" s="11"/>
      <c r="WJY96" s="11"/>
      <c r="WJZ96" s="11"/>
      <c r="WKA96" s="11"/>
      <c r="WKB96" s="11"/>
      <c r="WKC96" s="11"/>
      <c r="WKD96" s="11"/>
      <c r="WKE96" s="11"/>
      <c r="WKF96" s="11"/>
      <c r="WKG96" s="11"/>
      <c r="WKH96" s="11"/>
      <c r="WKI96" s="11"/>
      <c r="WKJ96" s="11"/>
      <c r="WKK96" s="11"/>
      <c r="WKL96" s="11"/>
      <c r="WKM96" s="11"/>
      <c r="WKN96" s="11"/>
      <c r="WKO96" s="11"/>
      <c r="WKP96" s="11"/>
      <c r="WKQ96" s="11"/>
      <c r="WKR96" s="11"/>
      <c r="WKS96" s="11"/>
      <c r="WKT96" s="11"/>
      <c r="WKU96" s="11"/>
      <c r="WKV96" s="11"/>
      <c r="WKW96" s="11"/>
      <c r="WKX96" s="11"/>
      <c r="WKY96" s="11"/>
      <c r="WKZ96" s="11"/>
      <c r="WLA96" s="11"/>
      <c r="WLB96" s="11"/>
      <c r="WLC96" s="11"/>
      <c r="WLD96" s="11"/>
      <c r="WLE96" s="11"/>
      <c r="WLF96" s="11"/>
      <c r="WLG96" s="11"/>
      <c r="WLH96" s="11"/>
      <c r="WLI96" s="11"/>
      <c r="WLJ96" s="11"/>
      <c r="WLK96" s="11"/>
      <c r="WLL96" s="11"/>
      <c r="WLM96" s="11"/>
      <c r="WLN96" s="11"/>
      <c r="WLO96" s="11"/>
      <c r="WLP96" s="11"/>
      <c r="WLQ96" s="11"/>
      <c r="WLR96" s="11"/>
      <c r="WLS96" s="11"/>
      <c r="WLT96" s="11"/>
      <c r="WLU96" s="11"/>
      <c r="WLV96" s="11"/>
      <c r="WLW96" s="11"/>
      <c r="WLX96" s="11"/>
      <c r="WLY96" s="11"/>
      <c r="WLZ96" s="11"/>
      <c r="WMA96" s="11"/>
      <c r="WMB96" s="11"/>
      <c r="WMC96" s="11"/>
      <c r="WMD96" s="11"/>
      <c r="WME96" s="11"/>
      <c r="WMF96" s="11"/>
      <c r="WMG96" s="11"/>
      <c r="WMH96" s="11"/>
      <c r="WMI96" s="11"/>
      <c r="WMJ96" s="11"/>
      <c r="WMK96" s="11"/>
      <c r="WML96" s="11"/>
      <c r="WMM96" s="11"/>
      <c r="WMN96" s="11"/>
      <c r="WMO96" s="11"/>
      <c r="WMP96" s="11"/>
      <c r="WMQ96" s="11"/>
      <c r="WMR96" s="11"/>
      <c r="WMS96" s="11"/>
      <c r="WMT96" s="11"/>
      <c r="WMU96" s="11"/>
      <c r="WMV96" s="11"/>
      <c r="WMW96" s="11"/>
      <c r="WMX96" s="11"/>
      <c r="WMY96" s="11"/>
      <c r="WMZ96" s="11"/>
      <c r="WNA96" s="11"/>
      <c r="WNB96" s="11"/>
      <c r="WNC96" s="11"/>
      <c r="WND96" s="11"/>
      <c r="WNE96" s="11"/>
      <c r="WNF96" s="11"/>
      <c r="WNG96" s="11"/>
      <c r="WNH96" s="11"/>
      <c r="WNI96" s="11"/>
      <c r="WNJ96" s="11"/>
      <c r="WNK96" s="11"/>
      <c r="WNL96" s="11"/>
      <c r="WNM96" s="11"/>
      <c r="WNN96" s="11"/>
      <c r="WNO96" s="11"/>
      <c r="WNP96" s="11"/>
      <c r="WNQ96" s="11"/>
      <c r="WNR96" s="11"/>
      <c r="WNS96" s="11"/>
      <c r="WNT96" s="11"/>
      <c r="WNU96" s="11"/>
      <c r="WNV96" s="11"/>
      <c r="WNW96" s="11"/>
      <c r="WNX96" s="11"/>
      <c r="WNY96" s="11"/>
      <c r="WNZ96" s="11"/>
      <c r="WOA96" s="11"/>
      <c r="WOB96" s="11"/>
      <c r="WOC96" s="11"/>
      <c r="WOD96" s="11"/>
      <c r="WOE96" s="11"/>
      <c r="WOF96" s="11"/>
      <c r="WOG96" s="11"/>
      <c r="WOH96" s="11"/>
      <c r="WOI96" s="11"/>
      <c r="WOJ96" s="11"/>
      <c r="WOK96" s="11"/>
      <c r="WOL96" s="11"/>
      <c r="WOM96" s="11"/>
      <c r="WON96" s="11"/>
      <c r="WOO96" s="11"/>
      <c r="WOP96" s="11"/>
      <c r="WOQ96" s="11"/>
      <c r="WOR96" s="11"/>
      <c r="WOS96" s="11"/>
      <c r="WOT96" s="11"/>
      <c r="WOU96" s="11"/>
      <c r="WOV96" s="11"/>
      <c r="WOW96" s="11"/>
      <c r="WOX96" s="11"/>
      <c r="WOY96" s="11"/>
      <c r="WOZ96" s="11"/>
      <c r="WPA96" s="11"/>
      <c r="WPB96" s="11"/>
      <c r="WPC96" s="11"/>
      <c r="WPD96" s="11"/>
      <c r="WPE96" s="11"/>
      <c r="WPF96" s="11"/>
      <c r="WPG96" s="11"/>
      <c r="WPH96" s="11"/>
      <c r="WPI96" s="11"/>
      <c r="WPJ96" s="11"/>
      <c r="WPK96" s="11"/>
      <c r="WPL96" s="11"/>
      <c r="WPM96" s="11"/>
      <c r="WPN96" s="11"/>
      <c r="WPO96" s="11"/>
      <c r="WPP96" s="11"/>
      <c r="WPQ96" s="11"/>
      <c r="WPR96" s="11"/>
      <c r="WPS96" s="11"/>
      <c r="WPT96" s="11"/>
      <c r="WPU96" s="11"/>
      <c r="WPV96" s="11"/>
      <c r="WPW96" s="11"/>
      <c r="WPX96" s="11"/>
      <c r="WPY96" s="11"/>
      <c r="WPZ96" s="11"/>
      <c r="WQA96" s="11"/>
      <c r="WQB96" s="11"/>
      <c r="WQC96" s="11"/>
      <c r="WQD96" s="11"/>
      <c r="WQE96" s="11"/>
      <c r="WQF96" s="11"/>
      <c r="WQG96" s="11"/>
      <c r="WQH96" s="11"/>
      <c r="WQI96" s="11"/>
      <c r="WQJ96" s="11"/>
      <c r="WQK96" s="11"/>
      <c r="WQL96" s="11"/>
      <c r="WQM96" s="11"/>
      <c r="WQN96" s="11"/>
      <c r="WQO96" s="11"/>
      <c r="WQP96" s="11"/>
      <c r="WQQ96" s="11"/>
      <c r="WQR96" s="11"/>
      <c r="WQS96" s="11"/>
      <c r="WQT96" s="11"/>
      <c r="WQU96" s="11"/>
      <c r="WQV96" s="11"/>
      <c r="WQW96" s="11"/>
      <c r="WQX96" s="11"/>
      <c r="WQY96" s="11"/>
      <c r="WQZ96" s="11"/>
      <c r="WRA96" s="11"/>
      <c r="WRB96" s="11"/>
      <c r="WRC96" s="11"/>
      <c r="WRD96" s="11"/>
      <c r="WRE96" s="11"/>
      <c r="WRF96" s="11"/>
      <c r="WRG96" s="11"/>
      <c r="WRH96" s="11"/>
      <c r="WRI96" s="11"/>
      <c r="WRJ96" s="11"/>
      <c r="WRK96" s="11"/>
      <c r="WRL96" s="11"/>
      <c r="WRM96" s="11"/>
      <c r="WRN96" s="11"/>
      <c r="WRO96" s="11"/>
      <c r="WRP96" s="11"/>
      <c r="WRQ96" s="11"/>
      <c r="WRR96" s="11"/>
      <c r="WRS96" s="11"/>
      <c r="WRT96" s="11"/>
      <c r="WRU96" s="11"/>
      <c r="WRV96" s="11"/>
      <c r="WRW96" s="11"/>
      <c r="WRX96" s="11"/>
      <c r="WRY96" s="11"/>
      <c r="WRZ96" s="11"/>
      <c r="WSA96" s="11"/>
      <c r="WSB96" s="11"/>
      <c r="WSC96" s="11"/>
      <c r="WSD96" s="11"/>
      <c r="WSE96" s="11"/>
      <c r="WSF96" s="11"/>
      <c r="WSG96" s="11"/>
      <c r="WSH96" s="11"/>
      <c r="WSI96" s="11"/>
      <c r="WSJ96" s="11"/>
      <c r="WSK96" s="11"/>
      <c r="WSL96" s="11"/>
      <c r="WSM96" s="11"/>
      <c r="WSN96" s="11"/>
      <c r="WSO96" s="11"/>
      <c r="WSP96" s="11"/>
      <c r="WSQ96" s="11"/>
      <c r="WSR96" s="11"/>
      <c r="WSS96" s="11"/>
      <c r="WST96" s="11"/>
      <c r="WSU96" s="11"/>
      <c r="WSV96" s="11"/>
      <c r="WSW96" s="11"/>
      <c r="WSX96" s="11"/>
      <c r="WSY96" s="11"/>
      <c r="WSZ96" s="11"/>
      <c r="WTA96" s="11"/>
      <c r="WTB96" s="11"/>
      <c r="WTC96" s="11"/>
      <c r="WTD96" s="11"/>
      <c r="WTE96" s="11"/>
      <c r="WTF96" s="11"/>
      <c r="WTG96" s="11"/>
      <c r="WTH96" s="11"/>
      <c r="WTI96" s="11"/>
      <c r="WTJ96" s="11"/>
      <c r="WTK96" s="11"/>
      <c r="WTL96" s="11"/>
      <c r="WTM96" s="11"/>
      <c r="WTN96" s="11"/>
      <c r="WTO96" s="11"/>
      <c r="WTP96" s="11"/>
      <c r="WTQ96" s="11"/>
      <c r="WTR96" s="11"/>
      <c r="WTS96" s="11"/>
      <c r="WTT96" s="11"/>
      <c r="WTU96" s="11"/>
      <c r="WTV96" s="11"/>
      <c r="WTW96" s="11"/>
      <c r="WTX96" s="11"/>
      <c r="WTY96" s="11"/>
      <c r="WTZ96" s="11"/>
      <c r="WUA96" s="11"/>
      <c r="WUB96" s="11"/>
      <c r="WUC96" s="11"/>
      <c r="WUD96" s="11"/>
      <c r="WUE96" s="11"/>
      <c r="WUF96" s="11"/>
      <c r="WUG96" s="11"/>
      <c r="WUH96" s="11"/>
      <c r="WUI96" s="11"/>
      <c r="WUJ96" s="11"/>
      <c r="WUK96" s="11"/>
      <c r="WUL96" s="11"/>
      <c r="WUM96" s="11"/>
      <c r="WUN96" s="11"/>
      <c r="WUO96" s="11"/>
      <c r="WUP96" s="11"/>
      <c r="WUQ96" s="11"/>
      <c r="WUR96" s="11"/>
      <c r="WUS96" s="11"/>
      <c r="WUT96" s="11"/>
      <c r="WUU96" s="11"/>
      <c r="WUV96" s="11"/>
      <c r="WUW96" s="11"/>
      <c r="WUX96" s="11"/>
      <c r="WUY96" s="11"/>
      <c r="WUZ96" s="11"/>
      <c r="WVA96" s="11"/>
      <c r="WVB96" s="11"/>
      <c r="WVC96" s="11"/>
      <c r="WVD96" s="11"/>
      <c r="WVE96" s="11"/>
      <c r="WVF96" s="11"/>
      <c r="WVG96" s="11"/>
      <c r="WVH96" s="11"/>
      <c r="WVI96" s="11"/>
      <c r="WVJ96" s="11"/>
      <c r="WVK96" s="11"/>
      <c r="WVL96" s="11"/>
      <c r="WVM96" s="11"/>
      <c r="WVN96" s="11"/>
      <c r="WVO96" s="11"/>
      <c r="WVP96" s="11"/>
      <c r="WVQ96" s="11"/>
      <c r="WVR96" s="11"/>
      <c r="WVS96" s="11"/>
      <c r="WVT96" s="11"/>
      <c r="WVU96" s="11"/>
      <c r="WVV96" s="11"/>
      <c r="WVW96" s="11"/>
      <c r="WVX96" s="11"/>
      <c r="WVY96" s="11"/>
      <c r="WVZ96" s="11"/>
      <c r="WWA96" s="11"/>
      <c r="WWB96" s="11"/>
      <c r="WWC96" s="11"/>
      <c r="WWD96" s="11"/>
      <c r="WWE96" s="11"/>
      <c r="WWF96" s="11"/>
      <c r="WWG96" s="11"/>
      <c r="WWH96" s="11"/>
      <c r="WWI96" s="11"/>
      <c r="WWJ96" s="11"/>
      <c r="WWK96" s="11"/>
      <c r="WWL96" s="11"/>
      <c r="WWM96" s="11"/>
      <c r="WWN96" s="11"/>
      <c r="WWO96" s="11"/>
      <c r="WWP96" s="11"/>
      <c r="WWQ96" s="11"/>
      <c r="WWR96" s="11"/>
      <c r="WWS96" s="11"/>
      <c r="WWT96" s="11"/>
      <c r="WWU96" s="11"/>
      <c r="WWV96" s="11"/>
      <c r="WWW96" s="11"/>
      <c r="WWX96" s="11"/>
      <c r="WWY96" s="11"/>
      <c r="WWZ96" s="11"/>
      <c r="WXA96" s="11"/>
      <c r="WXB96" s="11"/>
      <c r="WXC96" s="11"/>
      <c r="WXD96" s="11"/>
      <c r="WXE96" s="11"/>
      <c r="WXF96" s="11"/>
      <c r="WXG96" s="11"/>
      <c r="WXH96" s="11"/>
      <c r="WXI96" s="11"/>
      <c r="WXJ96" s="11"/>
      <c r="WXK96" s="11"/>
      <c r="WXL96" s="11"/>
      <c r="WXM96" s="11"/>
      <c r="WXN96" s="11"/>
      <c r="WXO96" s="11"/>
      <c r="WXP96" s="11"/>
      <c r="WXQ96" s="11"/>
      <c r="WXR96" s="11"/>
      <c r="WXS96" s="11"/>
      <c r="WXT96" s="11"/>
      <c r="WXU96" s="11"/>
      <c r="WXV96" s="11"/>
      <c r="WXW96" s="11"/>
      <c r="WXX96" s="11"/>
      <c r="WXY96" s="11"/>
      <c r="WXZ96" s="11"/>
      <c r="WYA96" s="11"/>
      <c r="WYB96" s="11"/>
      <c r="WYC96" s="11"/>
      <c r="WYD96" s="11"/>
      <c r="WYE96" s="11"/>
      <c r="WYF96" s="11"/>
      <c r="WYG96" s="11"/>
      <c r="WYH96" s="11"/>
      <c r="WYI96" s="11"/>
      <c r="WYJ96" s="11"/>
      <c r="WYK96" s="11"/>
      <c r="WYL96" s="11"/>
      <c r="WYM96" s="11"/>
      <c r="WYN96" s="11"/>
      <c r="WYO96" s="11"/>
      <c r="WYP96" s="11"/>
      <c r="WYQ96" s="11"/>
      <c r="WYR96" s="11"/>
      <c r="WYS96" s="11"/>
      <c r="WYT96" s="11"/>
      <c r="WYU96" s="11"/>
      <c r="WYV96" s="11"/>
      <c r="WYW96" s="11"/>
      <c r="WYX96" s="11"/>
      <c r="WYY96" s="11"/>
      <c r="WYZ96" s="11"/>
      <c r="WZA96" s="11"/>
      <c r="WZB96" s="11"/>
      <c r="WZC96" s="11"/>
      <c r="WZD96" s="11"/>
      <c r="WZE96" s="11"/>
      <c r="WZF96" s="11"/>
      <c r="WZG96" s="11"/>
      <c r="WZH96" s="11"/>
      <c r="WZI96" s="11"/>
      <c r="WZJ96" s="11"/>
      <c r="WZK96" s="11"/>
      <c r="WZL96" s="11"/>
      <c r="WZM96" s="11"/>
      <c r="WZN96" s="11"/>
      <c r="WZO96" s="11"/>
      <c r="WZP96" s="11"/>
      <c r="WZQ96" s="11"/>
      <c r="WZR96" s="11"/>
      <c r="WZS96" s="11"/>
      <c r="WZT96" s="11"/>
      <c r="WZU96" s="11"/>
      <c r="WZV96" s="11"/>
      <c r="WZW96" s="11"/>
      <c r="WZX96" s="11"/>
      <c r="WZY96" s="11"/>
      <c r="WZZ96" s="11"/>
      <c r="XAA96" s="11"/>
      <c r="XAB96" s="11"/>
      <c r="XAC96" s="11"/>
      <c r="XAD96" s="11"/>
      <c r="XAE96" s="11"/>
      <c r="XAF96" s="11"/>
      <c r="XAG96" s="11"/>
      <c r="XAH96" s="11"/>
      <c r="XAI96" s="11"/>
      <c r="XAJ96" s="11"/>
      <c r="XAK96" s="11"/>
      <c r="XAL96" s="11"/>
      <c r="XAM96" s="11"/>
      <c r="XAN96" s="11"/>
      <c r="XAO96" s="11"/>
      <c r="XAP96" s="11"/>
      <c r="XAQ96" s="11"/>
      <c r="XAR96" s="11"/>
      <c r="XAS96" s="11"/>
      <c r="XAT96" s="11"/>
      <c r="XAU96" s="11"/>
      <c r="XAV96" s="11"/>
      <c r="XAW96" s="11"/>
      <c r="XAX96" s="11"/>
      <c r="XAY96" s="11"/>
      <c r="XAZ96" s="11"/>
      <c r="XBA96" s="11"/>
      <c r="XBB96" s="11"/>
      <c r="XBC96" s="11"/>
      <c r="XBD96" s="11"/>
      <c r="XBE96" s="11"/>
      <c r="XBF96" s="11"/>
      <c r="XBG96" s="11"/>
      <c r="XBH96" s="11"/>
      <c r="XBI96" s="11"/>
      <c r="XBJ96" s="11"/>
      <c r="XBK96" s="11"/>
      <c r="XBL96" s="11"/>
      <c r="XBM96" s="11"/>
      <c r="XBN96" s="11"/>
      <c r="XBO96" s="11"/>
      <c r="XBP96" s="11"/>
      <c r="XBQ96" s="11"/>
      <c r="XBR96" s="11"/>
      <c r="XBS96" s="11"/>
      <c r="XBT96" s="11"/>
      <c r="XBU96" s="11"/>
      <c r="XBV96" s="11"/>
      <c r="XBW96" s="11"/>
      <c r="XBX96" s="11"/>
      <c r="XBY96" s="11"/>
      <c r="XBZ96" s="11"/>
      <c r="XCA96" s="11"/>
      <c r="XCB96" s="11"/>
      <c r="XCC96" s="11"/>
      <c r="XCD96" s="11"/>
      <c r="XCE96" s="11"/>
      <c r="XCF96" s="11"/>
      <c r="XCG96" s="11"/>
      <c r="XCH96" s="11"/>
      <c r="XCI96" s="11"/>
      <c r="XCJ96" s="11"/>
      <c r="XCK96" s="11"/>
      <c r="XCL96" s="11"/>
      <c r="XCM96" s="11"/>
      <c r="XCN96" s="11"/>
      <c r="XCO96" s="11"/>
      <c r="XCP96" s="11"/>
      <c r="XCQ96" s="11"/>
      <c r="XCR96" s="11"/>
      <c r="XCS96" s="11"/>
      <c r="XCT96" s="11"/>
      <c r="XCU96" s="11"/>
      <c r="XCV96" s="11"/>
      <c r="XCW96" s="11"/>
      <c r="XCX96" s="11"/>
      <c r="XCY96" s="11"/>
      <c r="XCZ96" s="11"/>
      <c r="XDA96" s="11"/>
      <c r="XDB96" s="11"/>
      <c r="XDC96" s="11"/>
      <c r="XDD96" s="11"/>
      <c r="XDE96" s="11"/>
      <c r="XDF96" s="11"/>
      <c r="XDG96" s="11"/>
      <c r="XDH96" s="11"/>
      <c r="XDI96" s="11"/>
      <c r="XDJ96" s="11"/>
      <c r="XDK96" s="11"/>
      <c r="XDL96" s="11"/>
      <c r="XDM96" s="11"/>
      <c r="XDN96" s="11"/>
      <c r="XDO96" s="11"/>
      <c r="XDP96" s="11"/>
      <c r="XDQ96" s="11"/>
      <c r="XDR96" s="11"/>
      <c r="XDS96" s="11"/>
      <c r="XDT96" s="11"/>
      <c r="XDU96" s="11"/>
      <c r="XDV96" s="11"/>
      <c r="XDW96" s="11"/>
      <c r="XDX96" s="11"/>
      <c r="XDY96" s="11"/>
      <c r="XDZ96" s="11"/>
      <c r="XEA96" s="11"/>
      <c r="XEB96" s="11"/>
      <c r="XEC96" s="11"/>
      <c r="XED96" s="11"/>
      <c r="XEE96" s="11"/>
      <c r="XEF96" s="11"/>
      <c r="XEG96" s="11"/>
      <c r="XEH96" s="11"/>
      <c r="XEI96" s="11"/>
      <c r="XEJ96" s="11"/>
      <c r="XEK96" s="11"/>
      <c r="XEL96" s="11"/>
      <c r="XEM96" s="11"/>
      <c r="XEN96" s="11"/>
      <c r="XEO96" s="11"/>
      <c r="XEP96" s="11"/>
      <c r="XEQ96" s="11"/>
      <c r="XER96" s="11"/>
      <c r="XES96" s="11"/>
      <c r="XET96" s="11"/>
      <c r="XEU96" s="11"/>
      <c r="XEV96" s="11"/>
      <c r="XEW96" s="11"/>
      <c r="XEX96" s="11"/>
      <c r="XEY96" s="11"/>
      <c r="XEZ96" s="11"/>
      <c r="XFA96" s="11"/>
      <c r="XFB96" s="11"/>
      <c r="XFC96" s="11"/>
      <c r="XFD96" s="11"/>
    </row>
    <row r="97" spans="2:54" ht="15" hidden="1" customHeight="1" x14ac:dyDescent="0.3">
      <c r="B97" s="42">
        <v>550047744</v>
      </c>
      <c r="C97" s="20" t="s">
        <v>917</v>
      </c>
      <c r="D97" s="71" t="s">
        <v>928</v>
      </c>
      <c r="E97" s="9">
        <f>+VLOOKUP(B97,'Recepcion de Producto'!$B$4:LF190,317,0)</f>
        <v>1</v>
      </c>
      <c r="F97" s="9">
        <f>+VLOOKUP(B97,'Salida de Producto'!$B$3:AFL190,843,0)</f>
        <v>1</v>
      </c>
      <c r="G97" s="81" t="s">
        <v>35</v>
      </c>
      <c r="H97" s="104">
        <f t="shared" si="20"/>
        <v>0</v>
      </c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>
        <f t="shared" si="21"/>
        <v>0</v>
      </c>
      <c r="AR97" s="69">
        <v>0.97499999999999998</v>
      </c>
      <c r="AS97" s="102">
        <f t="shared" si="15"/>
        <v>0</v>
      </c>
      <c r="AT97" s="102">
        <f t="shared" si="16"/>
        <v>0</v>
      </c>
      <c r="AU97" s="105"/>
      <c r="AV97" s="46">
        <f>IFERROR(VLOOKUP(B97,'Inventario Profit'!$A$2:$G$235,7,0),0)</f>
        <v>0</v>
      </c>
      <c r="AW97" s="46">
        <f t="shared" si="12"/>
        <v>0</v>
      </c>
      <c r="AX97" s="9"/>
      <c r="AY97" s="2">
        <f t="shared" si="13"/>
        <v>0</v>
      </c>
      <c r="AZ97" s="2">
        <f>IFERROR(VLOOKUP(B97,'Inventario Profit'!$A$2:$I$230,9,0),0)</f>
        <v>0</v>
      </c>
      <c r="BA97" s="2">
        <f t="shared" si="14"/>
        <v>0</v>
      </c>
      <c r="BB97" s="2"/>
    </row>
    <row r="98" spans="2:54" x14ac:dyDescent="0.3">
      <c r="C98" s="19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U98" s="84"/>
      <c r="AX98" s="84"/>
      <c r="AY98" s="84"/>
      <c r="AZ98" s="84"/>
    </row>
    <row r="99" spans="2:54" ht="31.2" x14ac:dyDescent="0.3">
      <c r="C99" s="27" t="s">
        <v>991</v>
      </c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U99" s="84"/>
      <c r="AX99" s="84"/>
      <c r="AY99" s="84"/>
      <c r="AZ99" s="84"/>
    </row>
    <row r="100" spans="2:54" ht="15.6" x14ac:dyDescent="0.3">
      <c r="C100" s="28">
        <f>1-0/90</f>
        <v>1</v>
      </c>
      <c r="H100" s="11"/>
      <c r="AQ100" s="11"/>
      <c r="AX100" s="84"/>
    </row>
    <row r="101" spans="2:54" ht="15.6" x14ac:dyDescent="0.3">
      <c r="D101" s="26"/>
      <c r="F101" s="118"/>
      <c r="G101" s="25"/>
      <c r="H101" s="23"/>
      <c r="AQ101" s="11"/>
      <c r="AX101" s="111"/>
    </row>
    <row r="102" spans="2:54" ht="15.6" x14ac:dyDescent="0.3">
      <c r="D102" s="24"/>
      <c r="G102" s="25"/>
      <c r="H102" s="23"/>
      <c r="AQ102" s="11"/>
      <c r="AX102" s="111"/>
    </row>
    <row r="103" spans="2:54" x14ac:dyDescent="0.3">
      <c r="AQ103" s="11"/>
      <c r="AT103" s="21"/>
    </row>
    <row r="104" spans="2:54" x14ac:dyDescent="0.3">
      <c r="AT104" s="21"/>
    </row>
    <row r="105" spans="2:54" x14ac:dyDescent="0.3">
      <c r="E105" s="11"/>
      <c r="F105" s="11"/>
      <c r="H105" s="11"/>
      <c r="AT105" s="21"/>
    </row>
    <row r="106" spans="2:54" x14ac:dyDescent="0.3">
      <c r="E106" s="11"/>
      <c r="F106" s="11"/>
      <c r="H106" s="11"/>
      <c r="AT106" s="21"/>
    </row>
    <row r="107" spans="2:54" x14ac:dyDescent="0.3">
      <c r="E107" s="11"/>
      <c r="F107" s="11"/>
      <c r="H107" s="11"/>
      <c r="AT107" s="21"/>
    </row>
    <row r="108" spans="2:54" x14ac:dyDescent="0.3">
      <c r="E108" s="11"/>
      <c r="F108" s="11"/>
      <c r="H108" s="11"/>
      <c r="AT108" s="21"/>
    </row>
    <row r="109" spans="2:54" x14ac:dyDescent="0.3">
      <c r="E109" s="11"/>
      <c r="F109" s="11"/>
      <c r="H109" s="11"/>
      <c r="AT109" s="21"/>
    </row>
    <row r="110" spans="2:54" x14ac:dyDescent="0.3">
      <c r="E110" s="11"/>
      <c r="F110" s="11"/>
      <c r="H110" s="11"/>
    </row>
  </sheetData>
  <autoFilter ref="B3:BB100" xr:uid="{09F14407-C1F1-4011-A8CF-EC4E0DCC1833}">
    <filterColumn colId="5">
      <filters blank="1">
        <filter val="A"/>
        <filter val="B"/>
      </filters>
    </filterColumn>
    <sortState ref="B4:BB97">
      <sortCondition ref="C4:C97"/>
    </sortState>
  </autoFilter>
  <conditionalFormatting sqref="AY4:AY99">
    <cfRule type="cellIs" dxfId="13" priority="39" operator="lessThan">
      <formula>0</formula>
    </cfRule>
    <cfRule type="cellIs" dxfId="12" priority="40" operator="greaterThan">
      <formula>0</formula>
    </cfRule>
  </conditionalFormatting>
  <conditionalFormatting sqref="AB3:AJ3">
    <cfRule type="containsText" dxfId="11" priority="15" operator="containsText" text="amarillo y naranja">
      <formula>NOT(ISERROR(SEARCH("amarillo y naranja",AB3)))</formula>
    </cfRule>
    <cfRule type="containsText" dxfId="10" priority="16" operator="containsText" text="amarillo y naranja">
      <formula>NOT(ISERROR(SEARCH("amarillo y naranja",AB3)))</formula>
    </cfRule>
    <cfRule type="containsText" dxfId="9" priority="17" operator="containsText" text="amarillo y naranja ">
      <formula>NOT(ISERROR(SEARCH("amarillo y naranja ",AB3)))</formula>
    </cfRule>
    <cfRule type="containsText" dxfId="8" priority="18" operator="containsText" text="Naranja">
      <formula>NOT(ISERROR(SEARCH("Naranja",AB3)))</formula>
    </cfRule>
    <cfRule type="containsText" dxfId="7" priority="19" operator="containsText" text="Naranja">
      <formula>NOT(ISERROR(SEARCH("Naranja",AB3)))</formula>
    </cfRule>
    <cfRule type="containsText" dxfId="6" priority="20" operator="containsText" text="amarillo ">
      <formula>NOT(ISERROR(SEARCH("amarillo ",AB3)))</formula>
    </cfRule>
  </conditionalFormatting>
  <conditionalFormatting sqref="AN3:AP3">
    <cfRule type="containsText" dxfId="5" priority="9" operator="containsText" text="amarillo y naranja">
      <formula>NOT(ISERROR(SEARCH("amarillo y naranja",AN3)))</formula>
    </cfRule>
    <cfRule type="containsText" dxfId="4" priority="10" operator="containsText" text="amarillo y naranja">
      <formula>NOT(ISERROR(SEARCH("amarillo y naranja",AN3)))</formula>
    </cfRule>
    <cfRule type="containsText" dxfId="3" priority="11" operator="containsText" text="amarillo y naranja ">
      <formula>NOT(ISERROR(SEARCH("amarillo y naranja ",AN3)))</formula>
    </cfRule>
    <cfRule type="containsText" dxfId="2" priority="12" operator="containsText" text="Naranja">
      <formula>NOT(ISERROR(SEARCH("Naranja",AN3)))</formula>
    </cfRule>
    <cfRule type="containsText" dxfId="1" priority="13" operator="containsText" text="Naranja">
      <formula>NOT(ISERROR(SEARCH("Naranja",AN3)))</formula>
    </cfRule>
    <cfRule type="containsText" dxfId="0" priority="14" operator="containsText" text="amarillo ">
      <formula>NOT(ISERROR(SEARCH("amarillo ",AN3)))</formula>
    </cfRule>
  </conditionalFormatting>
  <printOptions horizontalCentered="1"/>
  <pageMargins left="0" right="0" top="0" bottom="0" header="0" footer="0"/>
  <pageSetup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53D83-224B-467D-88E3-2F54F4CA9F23}">
  <sheetPr codeName="Hoja4" filterMode="1"/>
  <dimension ref="A1:J587"/>
  <sheetViews>
    <sheetView showGridLines="0" workbookViewId="0">
      <selection activeCell="B4" sqref="B4"/>
    </sheetView>
  </sheetViews>
  <sheetFormatPr baseColWidth="10" defaultColWidth="11.44140625" defaultRowHeight="13.8" x14ac:dyDescent="0.3"/>
  <cols>
    <col min="1" max="1" width="11.88671875" style="43" bestFit="1" customWidth="1"/>
    <col min="2" max="2" width="42.44140625" style="43" customWidth="1"/>
    <col min="3" max="3" width="18" style="43" bestFit="1" customWidth="1"/>
    <col min="4" max="4" width="26.109375" style="43" bestFit="1" customWidth="1"/>
    <col min="5" max="5" width="17.88671875" style="43" bestFit="1" customWidth="1"/>
    <col min="6" max="6" width="24.88671875" style="43" bestFit="1" customWidth="1"/>
    <col min="7" max="7" width="17.88671875" style="43" bestFit="1" customWidth="1"/>
    <col min="8" max="8" width="17.33203125" style="43" bestFit="1" customWidth="1"/>
    <col min="9" max="9" width="22.33203125" style="43" bestFit="1" customWidth="1"/>
    <col min="10" max="10" width="23.88671875" style="43" bestFit="1" customWidth="1"/>
    <col min="11" max="16384" width="11.44140625" style="43"/>
  </cols>
  <sheetData>
    <row r="1" spans="1:10" ht="15.6" x14ac:dyDescent="0.3">
      <c r="A1" s="44" t="s">
        <v>906</v>
      </c>
      <c r="B1" s="44" t="s">
        <v>907</v>
      </c>
      <c r="C1" s="44" t="s">
        <v>1004</v>
      </c>
      <c r="D1" s="44" t="s">
        <v>1005</v>
      </c>
      <c r="E1" s="44" t="s">
        <v>1006</v>
      </c>
      <c r="F1" s="44" t="s">
        <v>1007</v>
      </c>
      <c r="G1" s="44" t="s">
        <v>1008</v>
      </c>
      <c r="H1" s="44" t="s">
        <v>908</v>
      </c>
      <c r="I1" s="44" t="s">
        <v>909</v>
      </c>
      <c r="J1" s="44" t="s">
        <v>910</v>
      </c>
    </row>
    <row r="2" spans="1:10" hidden="1" x14ac:dyDescent="0.3">
      <c r="A2" s="83">
        <v>13239</v>
      </c>
      <c r="B2" s="43" t="s">
        <v>1199</v>
      </c>
      <c r="C2" s="43" t="s">
        <v>198</v>
      </c>
      <c r="D2" s="80">
        <v>0</v>
      </c>
      <c r="E2" s="80">
        <v>0</v>
      </c>
      <c r="F2" s="80">
        <v>0</v>
      </c>
      <c r="G2" s="80">
        <v>0</v>
      </c>
      <c r="H2" s="80">
        <v>0</v>
      </c>
      <c r="I2" s="80">
        <v>0</v>
      </c>
      <c r="J2" s="80">
        <v>0</v>
      </c>
    </row>
    <row r="3" spans="1:10" hidden="1" x14ac:dyDescent="0.3">
      <c r="A3" s="83">
        <v>14970</v>
      </c>
      <c r="B3" s="43" t="s">
        <v>1200</v>
      </c>
      <c r="C3" s="43" t="s">
        <v>198</v>
      </c>
      <c r="D3" s="80">
        <v>0</v>
      </c>
      <c r="E3" s="80">
        <v>0</v>
      </c>
      <c r="F3" s="80">
        <v>0</v>
      </c>
      <c r="G3" s="80">
        <v>0</v>
      </c>
      <c r="H3" s="80">
        <v>0</v>
      </c>
      <c r="I3" s="80">
        <v>0</v>
      </c>
      <c r="J3" s="80">
        <v>0</v>
      </c>
    </row>
    <row r="4" spans="1:10" hidden="1" x14ac:dyDescent="0.3">
      <c r="A4" s="83">
        <v>14971</v>
      </c>
      <c r="B4" s="43" t="s">
        <v>1201</v>
      </c>
      <c r="C4" s="43" t="s">
        <v>198</v>
      </c>
      <c r="D4" s="80">
        <v>0</v>
      </c>
      <c r="E4" s="80">
        <v>0</v>
      </c>
      <c r="F4" s="80">
        <v>0</v>
      </c>
      <c r="G4" s="80">
        <v>0</v>
      </c>
      <c r="H4" s="80">
        <v>0</v>
      </c>
      <c r="I4" s="80">
        <v>0</v>
      </c>
      <c r="J4" s="80">
        <v>0</v>
      </c>
    </row>
    <row r="5" spans="1:10" hidden="1" x14ac:dyDescent="0.3">
      <c r="A5" s="83">
        <v>14972</v>
      </c>
      <c r="B5" s="43" t="s">
        <v>1202</v>
      </c>
      <c r="C5" s="43" t="s">
        <v>198</v>
      </c>
      <c r="D5" s="80">
        <v>0</v>
      </c>
      <c r="E5" s="80">
        <v>0</v>
      </c>
      <c r="F5" s="80">
        <v>0</v>
      </c>
      <c r="G5" s="80">
        <v>0</v>
      </c>
      <c r="H5" s="80">
        <v>0</v>
      </c>
      <c r="I5" s="80">
        <v>0</v>
      </c>
      <c r="J5" s="80">
        <v>0</v>
      </c>
    </row>
    <row r="6" spans="1:10" hidden="1" x14ac:dyDescent="0.3">
      <c r="A6" s="83">
        <v>14973</v>
      </c>
      <c r="B6" s="43" t="s">
        <v>1203</v>
      </c>
      <c r="C6" s="43" t="s">
        <v>198</v>
      </c>
      <c r="D6" s="80">
        <v>0</v>
      </c>
      <c r="E6" s="80">
        <v>0</v>
      </c>
      <c r="F6" s="80">
        <v>0</v>
      </c>
      <c r="G6" s="80">
        <v>0</v>
      </c>
      <c r="H6" s="80">
        <v>0</v>
      </c>
      <c r="I6" s="80">
        <v>0</v>
      </c>
      <c r="J6" s="80">
        <v>0</v>
      </c>
    </row>
    <row r="7" spans="1:10" hidden="1" x14ac:dyDescent="0.3">
      <c r="A7" s="83">
        <v>15010</v>
      </c>
      <c r="B7" s="43" t="s">
        <v>1204</v>
      </c>
      <c r="C7" s="43" t="s">
        <v>198</v>
      </c>
      <c r="D7" s="80">
        <v>0</v>
      </c>
      <c r="E7" s="80">
        <v>0</v>
      </c>
      <c r="F7" s="80">
        <v>0</v>
      </c>
      <c r="G7" s="80">
        <v>0</v>
      </c>
      <c r="H7" s="80">
        <v>0</v>
      </c>
      <c r="I7" s="80">
        <v>0</v>
      </c>
      <c r="J7" s="80">
        <v>0</v>
      </c>
    </row>
    <row r="8" spans="1:10" hidden="1" x14ac:dyDescent="0.3">
      <c r="A8" s="83">
        <v>16236</v>
      </c>
      <c r="B8" s="43" t="s">
        <v>1205</v>
      </c>
      <c r="C8" s="43" t="s">
        <v>198</v>
      </c>
      <c r="D8" s="80">
        <v>0</v>
      </c>
      <c r="E8" s="80">
        <v>0</v>
      </c>
      <c r="F8" s="80">
        <v>0</v>
      </c>
      <c r="G8" s="80">
        <v>0</v>
      </c>
      <c r="H8" s="80">
        <v>0</v>
      </c>
      <c r="I8" s="80">
        <v>0</v>
      </c>
      <c r="J8" s="80">
        <v>0</v>
      </c>
    </row>
    <row r="9" spans="1:10" hidden="1" x14ac:dyDescent="0.3">
      <c r="A9" s="83">
        <v>17010</v>
      </c>
      <c r="B9" s="43" t="s">
        <v>1206</v>
      </c>
      <c r="C9" s="43" t="s">
        <v>198</v>
      </c>
      <c r="D9" s="80">
        <v>0</v>
      </c>
      <c r="E9" s="80">
        <v>0</v>
      </c>
      <c r="F9" s="80">
        <v>0</v>
      </c>
      <c r="G9" s="80">
        <v>0</v>
      </c>
      <c r="H9" s="80">
        <v>0</v>
      </c>
      <c r="I9" s="80">
        <v>0</v>
      </c>
      <c r="J9" s="80">
        <v>0</v>
      </c>
    </row>
    <row r="10" spans="1:10" hidden="1" x14ac:dyDescent="0.3">
      <c r="A10" s="83">
        <v>17020</v>
      </c>
      <c r="B10" s="43" t="s">
        <v>1207</v>
      </c>
      <c r="C10" s="43" t="s">
        <v>198</v>
      </c>
      <c r="D10" s="80">
        <v>0</v>
      </c>
      <c r="E10" s="80">
        <v>0</v>
      </c>
      <c r="F10" s="80">
        <v>0</v>
      </c>
      <c r="G10" s="80">
        <v>0</v>
      </c>
      <c r="H10" s="80">
        <v>0</v>
      </c>
      <c r="I10" s="80">
        <v>0</v>
      </c>
      <c r="J10" s="80">
        <v>0</v>
      </c>
    </row>
    <row r="11" spans="1:10" hidden="1" x14ac:dyDescent="0.3">
      <c r="A11" s="83">
        <v>19503</v>
      </c>
      <c r="B11" s="43" t="s">
        <v>1208</v>
      </c>
      <c r="C11" s="43" t="s">
        <v>198</v>
      </c>
      <c r="D11" s="80">
        <v>0</v>
      </c>
      <c r="E11" s="80">
        <v>0</v>
      </c>
      <c r="F11" s="80">
        <v>0</v>
      </c>
      <c r="G11" s="80">
        <v>0</v>
      </c>
      <c r="H11" s="80">
        <v>0</v>
      </c>
      <c r="I11" s="80">
        <v>0</v>
      </c>
      <c r="J11" s="80">
        <v>0</v>
      </c>
    </row>
    <row r="12" spans="1:10" hidden="1" x14ac:dyDescent="0.3">
      <c r="A12" s="83">
        <v>20032</v>
      </c>
      <c r="B12" s="43" t="s">
        <v>1209</v>
      </c>
      <c r="C12" s="43" t="s">
        <v>198</v>
      </c>
      <c r="D12" s="80">
        <v>0</v>
      </c>
      <c r="E12" s="80">
        <v>0</v>
      </c>
      <c r="F12" s="80">
        <v>0</v>
      </c>
      <c r="G12" s="80">
        <v>0</v>
      </c>
      <c r="H12" s="80">
        <v>0</v>
      </c>
      <c r="I12" s="80">
        <v>0</v>
      </c>
      <c r="J12" s="80">
        <v>0</v>
      </c>
    </row>
    <row r="13" spans="1:10" hidden="1" x14ac:dyDescent="0.3">
      <c r="A13" s="83">
        <v>20034</v>
      </c>
      <c r="B13" s="43" t="s">
        <v>1209</v>
      </c>
      <c r="C13" s="43" t="s">
        <v>198</v>
      </c>
      <c r="D13" s="80">
        <v>0</v>
      </c>
      <c r="E13" s="80">
        <v>0</v>
      </c>
      <c r="F13" s="80">
        <v>0</v>
      </c>
      <c r="G13" s="80">
        <v>0</v>
      </c>
      <c r="H13" s="80">
        <v>0</v>
      </c>
      <c r="I13" s="80">
        <v>0</v>
      </c>
      <c r="J13" s="80">
        <v>0</v>
      </c>
    </row>
    <row r="14" spans="1:10" hidden="1" x14ac:dyDescent="0.3">
      <c r="A14" s="83">
        <v>20333</v>
      </c>
      <c r="B14" s="43" t="s">
        <v>1210</v>
      </c>
      <c r="C14" s="43" t="s">
        <v>198</v>
      </c>
      <c r="D14" s="80">
        <v>0</v>
      </c>
      <c r="E14" s="80">
        <v>0</v>
      </c>
      <c r="F14" s="80">
        <v>0</v>
      </c>
      <c r="G14" s="80">
        <v>0</v>
      </c>
      <c r="H14" s="80">
        <v>0</v>
      </c>
      <c r="I14" s="80">
        <v>0</v>
      </c>
      <c r="J14" s="80">
        <v>0</v>
      </c>
    </row>
    <row r="15" spans="1:10" hidden="1" x14ac:dyDescent="0.3">
      <c r="A15" s="83">
        <v>21746</v>
      </c>
      <c r="B15" s="43" t="s">
        <v>1211</v>
      </c>
      <c r="C15" s="43" t="s">
        <v>198</v>
      </c>
      <c r="D15" s="80">
        <v>0</v>
      </c>
      <c r="E15" s="80">
        <v>0</v>
      </c>
      <c r="F15" s="80">
        <v>0</v>
      </c>
      <c r="G15" s="80">
        <v>0</v>
      </c>
      <c r="H15" s="80">
        <v>0</v>
      </c>
      <c r="I15" s="80">
        <v>0</v>
      </c>
      <c r="J15" s="80">
        <v>0</v>
      </c>
    </row>
    <row r="16" spans="1:10" hidden="1" x14ac:dyDescent="0.3">
      <c r="A16" s="83">
        <v>21748</v>
      </c>
      <c r="B16" s="43" t="s">
        <v>1212</v>
      </c>
      <c r="C16" s="43" t="s">
        <v>198</v>
      </c>
      <c r="D16" s="80">
        <v>0</v>
      </c>
      <c r="E16" s="80">
        <v>0</v>
      </c>
      <c r="F16" s="80">
        <v>0</v>
      </c>
      <c r="G16" s="80">
        <v>0</v>
      </c>
      <c r="H16" s="80">
        <v>0</v>
      </c>
      <c r="I16" s="80">
        <v>0</v>
      </c>
      <c r="J16" s="80">
        <v>0</v>
      </c>
    </row>
    <row r="17" spans="1:10" hidden="1" x14ac:dyDescent="0.3">
      <c r="A17" s="83">
        <v>27771</v>
      </c>
      <c r="B17" s="43" t="s">
        <v>1213</v>
      </c>
      <c r="C17" s="43" t="s">
        <v>198</v>
      </c>
      <c r="D17" s="80">
        <v>0</v>
      </c>
      <c r="E17" s="80">
        <v>0</v>
      </c>
      <c r="F17" s="80">
        <v>0</v>
      </c>
      <c r="G17" s="80">
        <v>0</v>
      </c>
      <c r="H17" s="80">
        <v>0</v>
      </c>
      <c r="I17" s="80">
        <v>0</v>
      </c>
      <c r="J17" s="80">
        <v>0</v>
      </c>
    </row>
    <row r="18" spans="1:10" hidden="1" x14ac:dyDescent="0.3">
      <c r="A18" s="83">
        <v>27774</v>
      </c>
      <c r="B18" s="43" t="s">
        <v>1214</v>
      </c>
      <c r="C18" s="43" t="s">
        <v>198</v>
      </c>
      <c r="D18" s="80">
        <v>0</v>
      </c>
      <c r="E18" s="80">
        <v>0</v>
      </c>
      <c r="F18" s="80">
        <v>0</v>
      </c>
      <c r="G18" s="80">
        <v>0</v>
      </c>
      <c r="H18" s="80">
        <v>0</v>
      </c>
      <c r="I18" s="80">
        <v>0</v>
      </c>
      <c r="J18" s="80">
        <v>0</v>
      </c>
    </row>
    <row r="19" spans="1:10" hidden="1" x14ac:dyDescent="0.3">
      <c r="A19" s="83">
        <v>27812</v>
      </c>
      <c r="B19" s="43" t="s">
        <v>1215</v>
      </c>
      <c r="C19" s="43" t="s">
        <v>198</v>
      </c>
      <c r="D19" s="80">
        <v>0</v>
      </c>
      <c r="E19" s="80">
        <v>0</v>
      </c>
      <c r="F19" s="80">
        <v>0</v>
      </c>
      <c r="G19" s="80">
        <v>0</v>
      </c>
      <c r="H19" s="80">
        <v>0</v>
      </c>
      <c r="I19" s="80">
        <v>0</v>
      </c>
      <c r="J19" s="80">
        <v>0</v>
      </c>
    </row>
    <row r="20" spans="1:10" hidden="1" x14ac:dyDescent="0.3">
      <c r="A20" s="83">
        <v>34951</v>
      </c>
      <c r="B20" s="43" t="s">
        <v>1216</v>
      </c>
      <c r="C20" s="43" t="s">
        <v>198</v>
      </c>
      <c r="D20" s="80">
        <v>0</v>
      </c>
      <c r="E20" s="80">
        <v>0</v>
      </c>
      <c r="F20" s="80">
        <v>0</v>
      </c>
      <c r="G20" s="80">
        <v>0</v>
      </c>
      <c r="H20" s="80">
        <v>0</v>
      </c>
      <c r="I20" s="80">
        <v>0</v>
      </c>
      <c r="J20" s="80">
        <v>0</v>
      </c>
    </row>
    <row r="21" spans="1:10" hidden="1" x14ac:dyDescent="0.3">
      <c r="A21" s="83">
        <v>40926905</v>
      </c>
      <c r="B21" s="43" t="s">
        <v>101</v>
      </c>
      <c r="C21" s="43" t="s">
        <v>183</v>
      </c>
      <c r="D21" s="80">
        <v>5677</v>
      </c>
      <c r="E21" s="80">
        <v>5677</v>
      </c>
      <c r="F21" s="80">
        <v>2</v>
      </c>
      <c r="G21" s="80">
        <v>2</v>
      </c>
      <c r="H21" s="80">
        <v>5679</v>
      </c>
      <c r="I21" s="80">
        <v>5679</v>
      </c>
      <c r="J21" s="80">
        <v>1</v>
      </c>
    </row>
    <row r="22" spans="1:10" hidden="1" x14ac:dyDescent="0.3">
      <c r="A22" s="83">
        <v>41051905</v>
      </c>
      <c r="B22" s="43" t="s">
        <v>99</v>
      </c>
      <c r="C22" s="43" t="s">
        <v>183</v>
      </c>
      <c r="D22" s="80">
        <v>0</v>
      </c>
      <c r="E22" s="80">
        <v>0</v>
      </c>
      <c r="F22" s="80">
        <v>0</v>
      </c>
      <c r="G22" s="80">
        <v>0</v>
      </c>
      <c r="H22" s="80">
        <v>0</v>
      </c>
      <c r="I22" s="80">
        <v>0</v>
      </c>
      <c r="J22" s="80">
        <v>1</v>
      </c>
    </row>
    <row r="23" spans="1:10" hidden="1" x14ac:dyDescent="0.3">
      <c r="A23" s="83">
        <v>41068905</v>
      </c>
      <c r="B23" s="43" t="s">
        <v>185</v>
      </c>
      <c r="C23" s="43" t="s">
        <v>183</v>
      </c>
      <c r="D23" s="80">
        <v>0</v>
      </c>
      <c r="E23" s="80">
        <v>0</v>
      </c>
      <c r="F23" s="80">
        <v>0</v>
      </c>
      <c r="G23" s="80">
        <v>0</v>
      </c>
      <c r="H23" s="80">
        <v>0</v>
      </c>
      <c r="I23" s="80">
        <v>0</v>
      </c>
      <c r="J23" s="80">
        <v>1</v>
      </c>
    </row>
    <row r="24" spans="1:10" hidden="1" x14ac:dyDescent="0.3">
      <c r="A24" s="83">
        <v>43509809</v>
      </c>
      <c r="B24" s="43" t="s">
        <v>83</v>
      </c>
      <c r="C24" s="43" t="s">
        <v>186</v>
      </c>
      <c r="D24" s="80">
        <v>115</v>
      </c>
      <c r="E24" s="80">
        <v>115</v>
      </c>
      <c r="F24" s="80">
        <v>85</v>
      </c>
      <c r="G24" s="80">
        <v>85</v>
      </c>
      <c r="H24" s="80">
        <v>200</v>
      </c>
      <c r="I24" s="80">
        <v>200</v>
      </c>
      <c r="J24" s="80">
        <v>0</v>
      </c>
    </row>
    <row r="25" spans="1:10" hidden="1" x14ac:dyDescent="0.3">
      <c r="A25" s="83">
        <v>43509905</v>
      </c>
      <c r="B25" s="43" t="s">
        <v>81</v>
      </c>
      <c r="C25" s="43" t="s">
        <v>183</v>
      </c>
      <c r="D25" s="80">
        <v>0</v>
      </c>
      <c r="E25" s="80">
        <v>0</v>
      </c>
      <c r="F25" s="80">
        <v>0</v>
      </c>
      <c r="G25" s="80">
        <v>0</v>
      </c>
      <c r="H25" s="80">
        <v>0</v>
      </c>
      <c r="I25" s="80">
        <v>0</v>
      </c>
      <c r="J25" s="80">
        <v>1</v>
      </c>
    </row>
    <row r="26" spans="1:10" hidden="1" x14ac:dyDescent="0.3">
      <c r="A26" s="83">
        <v>43512905</v>
      </c>
      <c r="B26" s="43" t="s">
        <v>81</v>
      </c>
      <c r="C26" s="43" t="s">
        <v>183</v>
      </c>
      <c r="D26" s="80">
        <v>0</v>
      </c>
      <c r="E26" s="80">
        <v>0</v>
      </c>
      <c r="F26" s="80">
        <v>0</v>
      </c>
      <c r="G26" s="80">
        <v>0</v>
      </c>
      <c r="H26" s="80">
        <v>0</v>
      </c>
      <c r="I26" s="80">
        <v>0</v>
      </c>
      <c r="J26" s="80">
        <v>1</v>
      </c>
    </row>
    <row r="27" spans="1:10" hidden="1" x14ac:dyDescent="0.3">
      <c r="A27" s="83">
        <v>43592855</v>
      </c>
      <c r="B27" s="43" t="s">
        <v>157</v>
      </c>
      <c r="C27" s="43" t="s">
        <v>188</v>
      </c>
      <c r="D27" s="80">
        <v>350</v>
      </c>
      <c r="E27" s="80">
        <v>350</v>
      </c>
      <c r="F27" s="80">
        <v>2</v>
      </c>
      <c r="G27" s="80">
        <v>2</v>
      </c>
      <c r="H27" s="80">
        <v>352</v>
      </c>
      <c r="I27" s="80">
        <v>352</v>
      </c>
      <c r="J27" s="80">
        <v>0</v>
      </c>
    </row>
    <row r="28" spans="1:10" x14ac:dyDescent="0.3">
      <c r="A28" s="83">
        <v>44243809</v>
      </c>
      <c r="B28" s="113" t="s">
        <v>139</v>
      </c>
      <c r="C28" s="43" t="s">
        <v>186</v>
      </c>
      <c r="D28" s="80">
        <v>984</v>
      </c>
      <c r="E28" s="80">
        <v>984</v>
      </c>
      <c r="F28" s="80">
        <v>87</v>
      </c>
      <c r="G28" s="80">
        <v>87</v>
      </c>
      <c r="H28" s="80">
        <v>1071</v>
      </c>
      <c r="I28" s="80">
        <v>1071</v>
      </c>
      <c r="J28" s="80">
        <v>0</v>
      </c>
    </row>
    <row r="29" spans="1:10" hidden="1" x14ac:dyDescent="0.3">
      <c r="A29" s="83">
        <v>44243855</v>
      </c>
      <c r="B29" s="43" t="s">
        <v>135</v>
      </c>
      <c r="C29" s="43" t="s">
        <v>188</v>
      </c>
      <c r="D29" s="80">
        <v>5685</v>
      </c>
      <c r="E29" s="80">
        <v>5685</v>
      </c>
      <c r="F29" s="80">
        <v>59</v>
      </c>
      <c r="G29" s="80">
        <v>59</v>
      </c>
      <c r="H29" s="80">
        <v>5744</v>
      </c>
      <c r="I29" s="80">
        <v>5744</v>
      </c>
      <c r="J29" s="80">
        <v>0</v>
      </c>
    </row>
    <row r="30" spans="1:10" hidden="1" x14ac:dyDescent="0.3">
      <c r="A30" s="83">
        <v>44245809</v>
      </c>
      <c r="B30" s="43" t="s">
        <v>131</v>
      </c>
      <c r="C30" s="43" t="s">
        <v>186</v>
      </c>
      <c r="D30" s="80">
        <v>512</v>
      </c>
      <c r="E30" s="80">
        <v>512</v>
      </c>
      <c r="F30" s="80">
        <v>0</v>
      </c>
      <c r="G30" s="80">
        <v>0</v>
      </c>
      <c r="H30" s="80">
        <v>512</v>
      </c>
      <c r="I30" s="80">
        <v>512</v>
      </c>
      <c r="J30" s="80">
        <v>0</v>
      </c>
    </row>
    <row r="31" spans="1:10" hidden="1" x14ac:dyDescent="0.3">
      <c r="A31" s="83">
        <v>44245855</v>
      </c>
      <c r="B31" s="43" t="s">
        <v>133</v>
      </c>
      <c r="C31" s="43" t="s">
        <v>188</v>
      </c>
      <c r="D31" s="80">
        <v>4894</v>
      </c>
      <c r="E31" s="80">
        <v>4894</v>
      </c>
      <c r="F31" s="80">
        <v>101</v>
      </c>
      <c r="G31" s="80">
        <v>101</v>
      </c>
      <c r="H31" s="80">
        <v>4995</v>
      </c>
      <c r="I31" s="80">
        <v>4995</v>
      </c>
      <c r="J31" s="80">
        <v>0</v>
      </c>
    </row>
    <row r="32" spans="1:10" hidden="1" x14ac:dyDescent="0.3">
      <c r="A32" s="83">
        <v>44414855</v>
      </c>
      <c r="B32" s="43" t="s">
        <v>143</v>
      </c>
      <c r="C32" s="43" t="s">
        <v>188</v>
      </c>
      <c r="D32" s="80">
        <v>0</v>
      </c>
      <c r="E32" s="80">
        <v>0</v>
      </c>
      <c r="F32" s="80">
        <v>0</v>
      </c>
      <c r="G32" s="80">
        <v>0</v>
      </c>
      <c r="H32" s="80">
        <v>0</v>
      </c>
      <c r="I32" s="80">
        <v>0</v>
      </c>
      <c r="J32" s="80">
        <v>0</v>
      </c>
    </row>
    <row r="33" spans="1:10" hidden="1" x14ac:dyDescent="0.3">
      <c r="A33" s="83">
        <v>44774905</v>
      </c>
      <c r="B33" s="43" t="s">
        <v>55</v>
      </c>
      <c r="C33" s="43" t="s">
        <v>183</v>
      </c>
      <c r="D33" s="80">
        <v>832</v>
      </c>
      <c r="E33" s="80">
        <v>832</v>
      </c>
      <c r="F33" s="80">
        <v>0</v>
      </c>
      <c r="G33" s="80">
        <v>0</v>
      </c>
      <c r="H33" s="80">
        <v>832</v>
      </c>
      <c r="I33" s="80">
        <v>832</v>
      </c>
      <c r="J33" s="80">
        <v>1</v>
      </c>
    </row>
    <row r="34" spans="1:10" hidden="1" x14ac:dyDescent="0.3">
      <c r="A34" s="83">
        <v>45312905</v>
      </c>
      <c r="B34" s="43" t="s">
        <v>53</v>
      </c>
      <c r="C34" s="43" t="s">
        <v>183</v>
      </c>
      <c r="D34" s="80">
        <v>18399</v>
      </c>
      <c r="E34" s="80">
        <v>18399</v>
      </c>
      <c r="F34" s="80">
        <v>0</v>
      </c>
      <c r="G34" s="80">
        <v>0</v>
      </c>
      <c r="H34" s="80">
        <v>18399</v>
      </c>
      <c r="I34" s="80">
        <v>18399</v>
      </c>
      <c r="J34" s="80">
        <v>1</v>
      </c>
    </row>
    <row r="35" spans="1:10" hidden="1" x14ac:dyDescent="0.3">
      <c r="A35" s="83">
        <v>45372809</v>
      </c>
      <c r="B35" s="43" t="s">
        <v>155</v>
      </c>
      <c r="C35" s="43" t="s">
        <v>186</v>
      </c>
      <c r="D35" s="80">
        <v>0</v>
      </c>
      <c r="E35" s="80">
        <v>0</v>
      </c>
      <c r="F35" s="80">
        <v>0</v>
      </c>
      <c r="G35" s="80">
        <v>0</v>
      </c>
      <c r="H35" s="80">
        <v>0</v>
      </c>
      <c r="I35" s="80">
        <v>0</v>
      </c>
      <c r="J35" s="80">
        <v>0</v>
      </c>
    </row>
    <row r="36" spans="1:10" hidden="1" x14ac:dyDescent="0.3">
      <c r="A36" s="83">
        <v>45372855</v>
      </c>
      <c r="B36" s="43" t="s">
        <v>153</v>
      </c>
      <c r="C36" s="43" t="s">
        <v>188</v>
      </c>
      <c r="D36" s="80">
        <v>0</v>
      </c>
      <c r="E36" s="80">
        <v>0</v>
      </c>
      <c r="F36" s="80">
        <v>1</v>
      </c>
      <c r="G36" s="80">
        <v>1</v>
      </c>
      <c r="H36" s="80">
        <v>1</v>
      </c>
      <c r="I36" s="80">
        <v>1</v>
      </c>
      <c r="J36" s="80">
        <v>0</v>
      </c>
    </row>
    <row r="37" spans="1:10" hidden="1" x14ac:dyDescent="0.3">
      <c r="A37" s="83">
        <v>45372905</v>
      </c>
      <c r="B37" s="43" t="s">
        <v>151</v>
      </c>
      <c r="C37" s="43" t="s">
        <v>183</v>
      </c>
      <c r="D37" s="80">
        <v>2</v>
      </c>
      <c r="E37" s="80">
        <v>2</v>
      </c>
      <c r="F37" s="80">
        <v>0</v>
      </c>
      <c r="G37" s="80">
        <v>0</v>
      </c>
      <c r="H37" s="80">
        <v>2</v>
      </c>
      <c r="I37" s="80">
        <v>2</v>
      </c>
      <c r="J37" s="80">
        <v>1</v>
      </c>
    </row>
    <row r="38" spans="1:10" hidden="1" x14ac:dyDescent="0.3">
      <c r="A38" s="83">
        <v>45387905</v>
      </c>
      <c r="B38" s="43" t="s">
        <v>147</v>
      </c>
      <c r="C38" s="43" t="s">
        <v>183</v>
      </c>
      <c r="D38" s="80">
        <v>6</v>
      </c>
      <c r="E38" s="80">
        <v>6</v>
      </c>
      <c r="F38" s="80">
        <v>1</v>
      </c>
      <c r="G38" s="80">
        <v>1</v>
      </c>
      <c r="H38" s="80">
        <v>7</v>
      </c>
      <c r="I38" s="80">
        <v>7</v>
      </c>
      <c r="J38" s="80">
        <v>1</v>
      </c>
    </row>
    <row r="39" spans="1:10" hidden="1" x14ac:dyDescent="0.3">
      <c r="A39" s="83">
        <v>45657855</v>
      </c>
      <c r="B39" s="43" t="s">
        <v>41</v>
      </c>
      <c r="C39" s="43" t="s">
        <v>188</v>
      </c>
      <c r="D39" s="80">
        <v>99</v>
      </c>
      <c r="E39" s="80">
        <v>99</v>
      </c>
      <c r="F39" s="80">
        <v>4</v>
      </c>
      <c r="G39" s="80">
        <v>4</v>
      </c>
      <c r="H39" s="80">
        <v>103</v>
      </c>
      <c r="I39" s="80">
        <v>103</v>
      </c>
      <c r="J39" s="80">
        <v>0</v>
      </c>
    </row>
    <row r="40" spans="1:10" hidden="1" x14ac:dyDescent="0.3">
      <c r="A40" s="83">
        <v>45659855</v>
      </c>
      <c r="B40" s="43" t="s">
        <v>43</v>
      </c>
      <c r="C40" s="43" t="s">
        <v>188</v>
      </c>
      <c r="D40" s="80">
        <v>0</v>
      </c>
      <c r="E40" s="80">
        <v>0</v>
      </c>
      <c r="F40" s="80">
        <v>0</v>
      </c>
      <c r="G40" s="80">
        <v>0</v>
      </c>
      <c r="H40" s="80">
        <v>0</v>
      </c>
      <c r="I40" s="80">
        <v>0</v>
      </c>
      <c r="J40" s="80">
        <v>0</v>
      </c>
    </row>
    <row r="41" spans="1:10" hidden="1" x14ac:dyDescent="0.3">
      <c r="A41" s="83">
        <v>45660855</v>
      </c>
      <c r="B41" s="43" t="s">
        <v>47</v>
      </c>
      <c r="C41" s="43" t="s">
        <v>188</v>
      </c>
      <c r="D41" s="80">
        <v>0</v>
      </c>
      <c r="E41" s="80">
        <v>0</v>
      </c>
      <c r="F41" s="80">
        <v>0</v>
      </c>
      <c r="G41" s="80">
        <v>0</v>
      </c>
      <c r="H41" s="80">
        <v>0</v>
      </c>
      <c r="I41" s="80">
        <v>0</v>
      </c>
      <c r="J41" s="80">
        <v>0</v>
      </c>
    </row>
    <row r="42" spans="1:10" hidden="1" x14ac:dyDescent="0.3">
      <c r="A42" s="83">
        <v>45683809</v>
      </c>
      <c r="B42" s="43" t="s">
        <v>45</v>
      </c>
      <c r="C42" s="43" t="s">
        <v>186</v>
      </c>
      <c r="D42" s="80">
        <v>0</v>
      </c>
      <c r="E42" s="80">
        <v>0</v>
      </c>
      <c r="F42" s="80">
        <v>0</v>
      </c>
      <c r="G42" s="80">
        <v>0</v>
      </c>
      <c r="H42" s="80">
        <v>0</v>
      </c>
      <c r="I42" s="80">
        <v>0</v>
      </c>
      <c r="J42" s="80">
        <v>0</v>
      </c>
    </row>
    <row r="43" spans="1:10" hidden="1" x14ac:dyDescent="0.3">
      <c r="A43" s="83">
        <v>45684809</v>
      </c>
      <c r="B43" s="43" t="s">
        <v>49</v>
      </c>
      <c r="C43" s="43" t="s">
        <v>186</v>
      </c>
      <c r="D43" s="80">
        <v>0</v>
      </c>
      <c r="E43" s="80">
        <v>0</v>
      </c>
      <c r="F43" s="80">
        <v>0</v>
      </c>
      <c r="G43" s="80">
        <v>0</v>
      </c>
      <c r="H43" s="80">
        <v>0</v>
      </c>
      <c r="I43" s="80">
        <v>0</v>
      </c>
      <c r="J43" s="80">
        <v>0</v>
      </c>
    </row>
    <row r="44" spans="1:10" hidden="1" x14ac:dyDescent="0.3">
      <c r="A44" s="83">
        <v>45685855</v>
      </c>
      <c r="B44" s="43" t="s">
        <v>51</v>
      </c>
      <c r="C44" s="43" t="s">
        <v>188</v>
      </c>
      <c r="D44" s="80">
        <v>0</v>
      </c>
      <c r="E44" s="80">
        <v>0</v>
      </c>
      <c r="F44" s="80">
        <v>0</v>
      </c>
      <c r="G44" s="80">
        <v>0</v>
      </c>
      <c r="H44" s="80">
        <v>0</v>
      </c>
      <c r="I44" s="80">
        <v>0</v>
      </c>
      <c r="J44" s="80">
        <v>0</v>
      </c>
    </row>
    <row r="45" spans="1:10" hidden="1" x14ac:dyDescent="0.3">
      <c r="A45" s="83">
        <v>500000214</v>
      </c>
      <c r="B45" s="43" t="s">
        <v>190</v>
      </c>
      <c r="C45" s="43" t="s">
        <v>1009</v>
      </c>
      <c r="D45" s="80">
        <v>89391.51</v>
      </c>
      <c r="E45" s="80">
        <v>89391.51</v>
      </c>
      <c r="F45" s="80">
        <v>0</v>
      </c>
      <c r="G45" s="80">
        <v>0</v>
      </c>
      <c r="H45" s="80">
        <v>89391.51</v>
      </c>
      <c r="I45" s="80">
        <v>89391.51</v>
      </c>
      <c r="J45" s="80">
        <v>0</v>
      </c>
    </row>
    <row r="46" spans="1:10" hidden="1" x14ac:dyDescent="0.3">
      <c r="A46" s="83">
        <v>550014136</v>
      </c>
      <c r="B46" s="43" t="s">
        <v>65</v>
      </c>
      <c r="C46" s="43" t="s">
        <v>186</v>
      </c>
      <c r="D46" s="80">
        <v>0</v>
      </c>
      <c r="E46" s="80">
        <v>0</v>
      </c>
      <c r="F46" s="80">
        <v>0</v>
      </c>
      <c r="G46" s="80">
        <v>0</v>
      </c>
      <c r="H46" s="80">
        <v>0</v>
      </c>
      <c r="I46" s="80">
        <v>0</v>
      </c>
      <c r="J46" s="80">
        <v>0</v>
      </c>
    </row>
    <row r="47" spans="1:10" hidden="1" x14ac:dyDescent="0.3">
      <c r="A47" s="83">
        <v>550022409</v>
      </c>
      <c r="B47" s="43" t="s">
        <v>1020</v>
      </c>
      <c r="C47" s="43" t="s">
        <v>186</v>
      </c>
      <c r="D47" s="80">
        <v>92</v>
      </c>
      <c r="E47" s="80">
        <v>92</v>
      </c>
      <c r="F47" s="80">
        <v>2</v>
      </c>
      <c r="G47" s="80">
        <v>2</v>
      </c>
      <c r="H47" s="80">
        <v>94</v>
      </c>
      <c r="I47" s="80">
        <v>94</v>
      </c>
      <c r="J47" s="80">
        <v>0</v>
      </c>
    </row>
    <row r="48" spans="1:10" hidden="1" x14ac:dyDescent="0.3">
      <c r="A48" s="83">
        <v>550022488</v>
      </c>
      <c r="B48" s="43" t="s">
        <v>117</v>
      </c>
      <c r="C48" s="43" t="s">
        <v>186</v>
      </c>
      <c r="D48" s="80">
        <v>0</v>
      </c>
      <c r="E48" s="80">
        <v>0</v>
      </c>
      <c r="F48" s="80">
        <v>1</v>
      </c>
      <c r="G48" s="80">
        <v>1</v>
      </c>
      <c r="H48" s="80">
        <v>1</v>
      </c>
      <c r="I48" s="80">
        <v>1</v>
      </c>
      <c r="J48" s="80">
        <v>0</v>
      </c>
    </row>
    <row r="49" spans="1:10" hidden="1" x14ac:dyDescent="0.3">
      <c r="A49" s="83">
        <v>550025692</v>
      </c>
      <c r="B49" s="43" t="s">
        <v>125</v>
      </c>
      <c r="C49" s="43" t="s">
        <v>188</v>
      </c>
      <c r="D49" s="80">
        <v>1451</v>
      </c>
      <c r="E49" s="80">
        <v>1451</v>
      </c>
      <c r="F49" s="80">
        <v>56</v>
      </c>
      <c r="G49" s="80">
        <v>56</v>
      </c>
      <c r="H49" s="80">
        <v>1507</v>
      </c>
      <c r="I49" s="80">
        <v>1507</v>
      </c>
      <c r="J49" s="80">
        <v>0</v>
      </c>
    </row>
    <row r="50" spans="1:10" hidden="1" x14ac:dyDescent="0.3">
      <c r="A50" s="83">
        <v>550025702</v>
      </c>
      <c r="B50" s="43" t="s">
        <v>129</v>
      </c>
      <c r="C50" s="43" t="s">
        <v>188</v>
      </c>
      <c r="D50" s="80">
        <v>358</v>
      </c>
      <c r="E50" s="80">
        <v>358</v>
      </c>
      <c r="F50" s="80">
        <v>114</v>
      </c>
      <c r="G50" s="80">
        <v>114</v>
      </c>
      <c r="H50" s="80">
        <v>472</v>
      </c>
      <c r="I50" s="80">
        <v>472</v>
      </c>
      <c r="J50" s="80">
        <v>0</v>
      </c>
    </row>
    <row r="51" spans="1:10" hidden="1" x14ac:dyDescent="0.3">
      <c r="A51" s="83">
        <v>550025731</v>
      </c>
      <c r="B51" s="43" t="s">
        <v>79</v>
      </c>
      <c r="C51" s="43" t="s">
        <v>186</v>
      </c>
      <c r="D51" s="80">
        <v>95</v>
      </c>
      <c r="E51" s="80">
        <v>95</v>
      </c>
      <c r="F51" s="80">
        <v>0</v>
      </c>
      <c r="G51" s="80">
        <v>0</v>
      </c>
      <c r="H51" s="80">
        <v>95</v>
      </c>
      <c r="I51" s="80">
        <v>95</v>
      </c>
      <c r="J51" s="80">
        <v>0</v>
      </c>
    </row>
    <row r="52" spans="1:10" hidden="1" x14ac:dyDescent="0.3">
      <c r="A52" s="83">
        <v>550026300</v>
      </c>
      <c r="B52" s="43" t="s">
        <v>69</v>
      </c>
      <c r="C52" s="43" t="s">
        <v>188</v>
      </c>
      <c r="D52" s="80">
        <v>395</v>
      </c>
      <c r="E52" s="80">
        <v>395</v>
      </c>
      <c r="F52" s="80">
        <v>0</v>
      </c>
      <c r="G52" s="80">
        <v>0</v>
      </c>
      <c r="H52" s="80">
        <v>395</v>
      </c>
      <c r="I52" s="80">
        <v>395</v>
      </c>
      <c r="J52" s="80">
        <v>0</v>
      </c>
    </row>
    <row r="53" spans="1:10" hidden="1" x14ac:dyDescent="0.3">
      <c r="A53" s="83">
        <v>550026301</v>
      </c>
      <c r="B53" s="43" t="s">
        <v>994</v>
      </c>
      <c r="C53" s="43" t="s">
        <v>188</v>
      </c>
      <c r="D53" s="80">
        <v>25</v>
      </c>
      <c r="E53" s="80">
        <v>25</v>
      </c>
      <c r="F53" s="80">
        <v>0</v>
      </c>
      <c r="G53" s="80">
        <v>0</v>
      </c>
      <c r="H53" s="80">
        <v>25</v>
      </c>
      <c r="I53" s="80">
        <v>25</v>
      </c>
      <c r="J53" s="80">
        <v>0</v>
      </c>
    </row>
    <row r="54" spans="1:10" hidden="1" x14ac:dyDescent="0.3">
      <c r="A54" s="83">
        <v>550026697</v>
      </c>
      <c r="B54" s="43" t="s">
        <v>115</v>
      </c>
      <c r="C54" s="43" t="s">
        <v>188</v>
      </c>
      <c r="D54" s="80">
        <v>6189</v>
      </c>
      <c r="E54" s="80">
        <v>6189</v>
      </c>
      <c r="F54" s="80">
        <v>1</v>
      </c>
      <c r="G54" s="80">
        <v>1</v>
      </c>
      <c r="H54" s="80">
        <v>6190</v>
      </c>
      <c r="I54" s="80">
        <v>6190</v>
      </c>
      <c r="J54" s="80">
        <v>0</v>
      </c>
    </row>
    <row r="55" spans="1:10" hidden="1" x14ac:dyDescent="0.3">
      <c r="A55" s="83">
        <v>550026699</v>
      </c>
      <c r="B55" s="43" t="s">
        <v>113</v>
      </c>
      <c r="C55" s="43" t="s">
        <v>186</v>
      </c>
      <c r="D55" s="80">
        <v>284</v>
      </c>
      <c r="E55" s="80">
        <v>284</v>
      </c>
      <c r="F55" s="80">
        <v>45</v>
      </c>
      <c r="G55" s="80">
        <v>45</v>
      </c>
      <c r="H55" s="80">
        <v>329</v>
      </c>
      <c r="I55" s="80">
        <v>329</v>
      </c>
      <c r="J55" s="80">
        <v>0</v>
      </c>
    </row>
    <row r="56" spans="1:10" hidden="1" x14ac:dyDescent="0.3">
      <c r="A56" s="83">
        <v>550026700</v>
      </c>
      <c r="B56" s="43" t="s">
        <v>111</v>
      </c>
      <c r="C56" s="43" t="s">
        <v>188</v>
      </c>
      <c r="D56" s="80">
        <v>0</v>
      </c>
      <c r="E56" s="80">
        <v>0</v>
      </c>
      <c r="F56" s="80">
        <v>0</v>
      </c>
      <c r="G56" s="80">
        <v>0</v>
      </c>
      <c r="H56" s="80">
        <v>0</v>
      </c>
      <c r="I56" s="80">
        <v>0</v>
      </c>
      <c r="J56" s="80">
        <v>0</v>
      </c>
    </row>
    <row r="57" spans="1:10" hidden="1" x14ac:dyDescent="0.3">
      <c r="A57" s="83">
        <v>550026710</v>
      </c>
      <c r="B57" s="43" t="s">
        <v>109</v>
      </c>
      <c r="C57" s="43" t="s">
        <v>186</v>
      </c>
      <c r="D57" s="80">
        <v>0</v>
      </c>
      <c r="E57" s="80">
        <v>0</v>
      </c>
      <c r="F57" s="80">
        <v>0</v>
      </c>
      <c r="G57" s="80">
        <v>0</v>
      </c>
      <c r="H57" s="80">
        <v>0</v>
      </c>
      <c r="I57" s="80">
        <v>0</v>
      </c>
      <c r="J57" s="80">
        <v>0</v>
      </c>
    </row>
    <row r="58" spans="1:10" hidden="1" x14ac:dyDescent="0.3">
      <c r="A58" s="83">
        <v>550026834</v>
      </c>
      <c r="B58" s="43" t="s">
        <v>127</v>
      </c>
      <c r="C58" s="43" t="s">
        <v>186</v>
      </c>
      <c r="D58" s="80">
        <v>21</v>
      </c>
      <c r="E58" s="80">
        <v>21</v>
      </c>
      <c r="F58" s="80">
        <v>1</v>
      </c>
      <c r="G58" s="80">
        <v>1</v>
      </c>
      <c r="H58" s="80">
        <v>22</v>
      </c>
      <c r="I58" s="80">
        <v>22</v>
      </c>
      <c r="J58" s="80">
        <v>0</v>
      </c>
    </row>
    <row r="59" spans="1:10" hidden="1" x14ac:dyDescent="0.3">
      <c r="A59" s="83">
        <v>550026891</v>
      </c>
      <c r="B59" s="43" t="s">
        <v>165</v>
      </c>
      <c r="C59" s="43" t="s">
        <v>188</v>
      </c>
      <c r="D59" s="80">
        <v>252</v>
      </c>
      <c r="E59" s="80">
        <v>252</v>
      </c>
      <c r="F59" s="80">
        <v>1</v>
      </c>
      <c r="G59" s="80">
        <v>1</v>
      </c>
      <c r="H59" s="80">
        <v>253</v>
      </c>
      <c r="I59" s="80">
        <v>253</v>
      </c>
      <c r="J59" s="80">
        <v>0</v>
      </c>
    </row>
    <row r="60" spans="1:10" hidden="1" x14ac:dyDescent="0.3">
      <c r="A60" s="83">
        <v>550026900</v>
      </c>
      <c r="B60" s="43" t="s">
        <v>161</v>
      </c>
      <c r="C60" s="43" t="s">
        <v>186</v>
      </c>
      <c r="D60" s="80">
        <v>16</v>
      </c>
      <c r="E60" s="80">
        <v>16</v>
      </c>
      <c r="F60" s="80">
        <v>4</v>
      </c>
      <c r="G60" s="80">
        <v>4</v>
      </c>
      <c r="H60" s="80">
        <v>20</v>
      </c>
      <c r="I60" s="80">
        <v>20</v>
      </c>
      <c r="J60" s="80">
        <v>0</v>
      </c>
    </row>
    <row r="61" spans="1:10" hidden="1" x14ac:dyDescent="0.3">
      <c r="A61" s="83">
        <v>550026902</v>
      </c>
      <c r="B61" s="43" t="s">
        <v>1010</v>
      </c>
      <c r="C61" s="43" t="s">
        <v>186</v>
      </c>
      <c r="D61" s="80">
        <v>58</v>
      </c>
      <c r="E61" s="80">
        <v>58</v>
      </c>
      <c r="F61" s="80">
        <v>1</v>
      </c>
      <c r="G61" s="80">
        <v>1</v>
      </c>
      <c r="H61" s="80">
        <v>59</v>
      </c>
      <c r="I61" s="80">
        <v>59</v>
      </c>
      <c r="J61" s="80">
        <v>0</v>
      </c>
    </row>
    <row r="62" spans="1:10" hidden="1" x14ac:dyDescent="0.3">
      <c r="A62" s="83">
        <v>550026907</v>
      </c>
      <c r="B62" s="43" t="s">
        <v>163</v>
      </c>
      <c r="C62" s="43" t="s">
        <v>186</v>
      </c>
      <c r="D62" s="80">
        <v>28</v>
      </c>
      <c r="E62" s="80">
        <v>28</v>
      </c>
      <c r="F62" s="80">
        <v>0</v>
      </c>
      <c r="G62" s="80">
        <v>0</v>
      </c>
      <c r="H62" s="80">
        <v>28</v>
      </c>
      <c r="I62" s="80">
        <v>28</v>
      </c>
      <c r="J62" s="80">
        <v>0</v>
      </c>
    </row>
    <row r="63" spans="1:10" hidden="1" x14ac:dyDescent="0.3">
      <c r="A63" s="83">
        <v>550026919</v>
      </c>
      <c r="B63" s="43" t="s">
        <v>1011</v>
      </c>
      <c r="C63" s="43" t="s">
        <v>186</v>
      </c>
      <c r="D63" s="80">
        <v>0</v>
      </c>
      <c r="E63" s="80">
        <v>0</v>
      </c>
      <c r="F63" s="80">
        <v>0</v>
      </c>
      <c r="G63" s="80">
        <v>0</v>
      </c>
      <c r="H63" s="80">
        <v>0</v>
      </c>
      <c r="I63" s="80">
        <v>0</v>
      </c>
      <c r="J63" s="80">
        <v>0</v>
      </c>
    </row>
    <row r="64" spans="1:10" hidden="1" x14ac:dyDescent="0.3">
      <c r="A64" s="83">
        <v>550027265</v>
      </c>
      <c r="B64" s="43" t="s">
        <v>67</v>
      </c>
      <c r="C64" s="43" t="s">
        <v>188</v>
      </c>
      <c r="D64" s="80">
        <v>426</v>
      </c>
      <c r="E64" s="80">
        <v>426</v>
      </c>
      <c r="F64" s="80">
        <v>9</v>
      </c>
      <c r="G64" s="80">
        <v>9</v>
      </c>
      <c r="H64" s="80">
        <v>435</v>
      </c>
      <c r="I64" s="80">
        <v>435</v>
      </c>
      <c r="J64" s="80">
        <v>0</v>
      </c>
    </row>
    <row r="65" spans="1:10" hidden="1" x14ac:dyDescent="0.3">
      <c r="A65" s="83">
        <v>550027631</v>
      </c>
      <c r="B65" s="43" t="s">
        <v>73</v>
      </c>
      <c r="C65" s="43" t="s">
        <v>183</v>
      </c>
      <c r="D65" s="80">
        <v>0</v>
      </c>
      <c r="E65" s="80">
        <v>0</v>
      </c>
      <c r="F65" s="80">
        <v>72</v>
      </c>
      <c r="G65" s="80">
        <v>72</v>
      </c>
      <c r="H65" s="80">
        <v>72</v>
      </c>
      <c r="I65" s="80">
        <v>72</v>
      </c>
      <c r="J65" s="80">
        <v>1</v>
      </c>
    </row>
    <row r="66" spans="1:10" hidden="1" x14ac:dyDescent="0.3">
      <c r="A66" s="83">
        <v>550027680</v>
      </c>
      <c r="B66" s="43" t="s">
        <v>1012</v>
      </c>
      <c r="C66" s="43" t="s">
        <v>186</v>
      </c>
      <c r="D66" s="80">
        <v>2</v>
      </c>
      <c r="E66" s="80">
        <v>2</v>
      </c>
      <c r="F66" s="80">
        <v>0</v>
      </c>
      <c r="G66" s="80">
        <v>0</v>
      </c>
      <c r="H66" s="80">
        <v>2</v>
      </c>
      <c r="I66" s="80">
        <v>2</v>
      </c>
      <c r="J66" s="80">
        <v>0</v>
      </c>
    </row>
    <row r="67" spans="1:10" hidden="1" x14ac:dyDescent="0.3">
      <c r="A67" s="83">
        <v>550029925</v>
      </c>
      <c r="B67" s="43" t="s">
        <v>149</v>
      </c>
      <c r="C67" s="43" t="s">
        <v>186</v>
      </c>
      <c r="D67" s="80">
        <v>0</v>
      </c>
      <c r="E67" s="80">
        <v>0</v>
      </c>
      <c r="F67" s="80">
        <v>8</v>
      </c>
      <c r="G67" s="80">
        <v>8</v>
      </c>
      <c r="H67" s="80">
        <v>8</v>
      </c>
      <c r="I67" s="80">
        <v>8</v>
      </c>
      <c r="J67" s="80">
        <v>0</v>
      </c>
    </row>
    <row r="68" spans="1:10" hidden="1" x14ac:dyDescent="0.3">
      <c r="A68" s="83">
        <v>550032121</v>
      </c>
      <c r="B68" s="43" t="s">
        <v>145</v>
      </c>
      <c r="C68" s="43" t="s">
        <v>186</v>
      </c>
      <c r="D68" s="80">
        <v>40</v>
      </c>
      <c r="E68" s="80">
        <v>40</v>
      </c>
      <c r="F68" s="80">
        <v>0</v>
      </c>
      <c r="G68" s="80">
        <v>0</v>
      </c>
      <c r="H68" s="80">
        <v>40</v>
      </c>
      <c r="I68" s="80">
        <v>40</v>
      </c>
      <c r="J68" s="80">
        <v>0</v>
      </c>
    </row>
    <row r="69" spans="1:10" hidden="1" x14ac:dyDescent="0.3">
      <c r="A69" s="83">
        <v>550036183</v>
      </c>
      <c r="B69" s="43" t="s">
        <v>121</v>
      </c>
      <c r="C69" s="43" t="s">
        <v>186</v>
      </c>
      <c r="D69" s="80">
        <v>25</v>
      </c>
      <c r="E69" s="80">
        <v>25</v>
      </c>
      <c r="F69" s="80">
        <v>1</v>
      </c>
      <c r="G69" s="80">
        <v>1</v>
      </c>
      <c r="H69" s="80">
        <v>26</v>
      </c>
      <c r="I69" s="80">
        <v>26</v>
      </c>
      <c r="J69" s="80">
        <v>0</v>
      </c>
    </row>
    <row r="70" spans="1:10" hidden="1" x14ac:dyDescent="0.3">
      <c r="A70" s="83">
        <v>550036571</v>
      </c>
      <c r="B70" s="43" t="s">
        <v>119</v>
      </c>
      <c r="C70" s="43" t="s">
        <v>186</v>
      </c>
      <c r="D70" s="80">
        <v>79</v>
      </c>
      <c r="E70" s="80">
        <v>79</v>
      </c>
      <c r="F70" s="80">
        <v>5</v>
      </c>
      <c r="G70" s="80">
        <v>5</v>
      </c>
      <c r="H70" s="80">
        <v>84</v>
      </c>
      <c r="I70" s="80">
        <v>84</v>
      </c>
      <c r="J70" s="80">
        <v>0</v>
      </c>
    </row>
    <row r="71" spans="1:10" x14ac:dyDescent="0.3">
      <c r="A71" s="83">
        <v>550038020</v>
      </c>
      <c r="B71" s="113" t="s">
        <v>139</v>
      </c>
      <c r="C71" s="43" t="s">
        <v>186</v>
      </c>
      <c r="D71" s="80">
        <v>0</v>
      </c>
      <c r="E71" s="80">
        <v>0</v>
      </c>
      <c r="F71" s="80">
        <v>0</v>
      </c>
      <c r="G71" s="80">
        <v>0</v>
      </c>
      <c r="H71" s="80">
        <v>0</v>
      </c>
      <c r="I71" s="80">
        <v>0</v>
      </c>
      <c r="J71" s="80">
        <v>0</v>
      </c>
    </row>
    <row r="72" spans="1:10" hidden="1" x14ac:dyDescent="0.3">
      <c r="A72" s="83">
        <v>550043380</v>
      </c>
      <c r="B72" s="43" t="s">
        <v>175</v>
      </c>
      <c r="C72" s="43" t="s">
        <v>186</v>
      </c>
      <c r="D72" s="80">
        <v>98</v>
      </c>
      <c r="E72" s="80">
        <v>98</v>
      </c>
      <c r="F72" s="80">
        <v>1</v>
      </c>
      <c r="G72" s="80">
        <v>1</v>
      </c>
      <c r="H72" s="80">
        <v>99</v>
      </c>
      <c r="I72" s="80">
        <v>99</v>
      </c>
      <c r="J72" s="80">
        <v>0</v>
      </c>
    </row>
    <row r="73" spans="1:10" hidden="1" x14ac:dyDescent="0.3">
      <c r="A73" s="83">
        <v>550044601</v>
      </c>
      <c r="B73" s="43" t="s">
        <v>996</v>
      </c>
      <c r="C73" s="43" t="s">
        <v>186</v>
      </c>
      <c r="D73" s="80">
        <v>970</v>
      </c>
      <c r="E73" s="80">
        <v>970</v>
      </c>
      <c r="F73" s="80">
        <v>2</v>
      </c>
      <c r="G73" s="80">
        <v>2</v>
      </c>
      <c r="H73" s="80">
        <v>972</v>
      </c>
      <c r="I73" s="80">
        <v>972</v>
      </c>
      <c r="J73" s="80">
        <v>0</v>
      </c>
    </row>
    <row r="74" spans="1:10" hidden="1" x14ac:dyDescent="0.3">
      <c r="A74" s="83">
        <v>550045415</v>
      </c>
      <c r="B74" s="43" t="s">
        <v>169</v>
      </c>
      <c r="C74" s="43" t="s">
        <v>188</v>
      </c>
      <c r="D74" s="80">
        <v>184</v>
      </c>
      <c r="E74" s="80">
        <v>184</v>
      </c>
      <c r="F74" s="80">
        <v>1</v>
      </c>
      <c r="G74" s="80">
        <v>1</v>
      </c>
      <c r="H74" s="80">
        <v>185</v>
      </c>
      <c r="I74" s="80">
        <v>185</v>
      </c>
      <c r="J74" s="80">
        <v>0</v>
      </c>
    </row>
    <row r="75" spans="1:10" hidden="1" x14ac:dyDescent="0.3">
      <c r="A75" s="83">
        <v>550045436</v>
      </c>
      <c r="B75" s="43" t="s">
        <v>137</v>
      </c>
      <c r="C75" s="43" t="s">
        <v>183</v>
      </c>
      <c r="D75" s="80">
        <v>8</v>
      </c>
      <c r="E75" s="80">
        <v>8</v>
      </c>
      <c r="F75" s="80">
        <v>0</v>
      </c>
      <c r="G75" s="80">
        <v>0</v>
      </c>
      <c r="H75" s="80">
        <v>8</v>
      </c>
      <c r="I75" s="80">
        <v>8</v>
      </c>
      <c r="J75" s="80">
        <v>1</v>
      </c>
    </row>
    <row r="76" spans="1:10" hidden="1" x14ac:dyDescent="0.3">
      <c r="A76" s="83">
        <v>550045438</v>
      </c>
      <c r="B76" s="43" t="s">
        <v>141</v>
      </c>
      <c r="C76" s="43" t="s">
        <v>183</v>
      </c>
      <c r="D76" s="80">
        <v>3</v>
      </c>
      <c r="E76" s="80">
        <v>3</v>
      </c>
      <c r="F76" s="80">
        <v>0</v>
      </c>
      <c r="G76" s="80">
        <v>0</v>
      </c>
      <c r="H76" s="80">
        <v>3</v>
      </c>
      <c r="I76" s="80">
        <v>3</v>
      </c>
      <c r="J76" s="80">
        <v>1</v>
      </c>
    </row>
    <row r="77" spans="1:10" hidden="1" x14ac:dyDescent="0.3">
      <c r="A77" s="83">
        <v>550045838</v>
      </c>
      <c r="B77" s="43" t="s">
        <v>930</v>
      </c>
      <c r="C77" s="43" t="s">
        <v>183</v>
      </c>
      <c r="D77" s="80">
        <v>5420</v>
      </c>
      <c r="E77" s="80">
        <v>5420</v>
      </c>
      <c r="F77" s="80">
        <v>0</v>
      </c>
      <c r="G77" s="80">
        <v>0</v>
      </c>
      <c r="H77" s="80">
        <v>5420</v>
      </c>
      <c r="I77" s="80">
        <v>5420</v>
      </c>
      <c r="J77" s="80">
        <v>1</v>
      </c>
    </row>
    <row r="78" spans="1:10" hidden="1" x14ac:dyDescent="0.3">
      <c r="A78" s="83">
        <v>550045853</v>
      </c>
      <c r="B78" s="43" t="s">
        <v>87</v>
      </c>
      <c r="C78" s="43" t="s">
        <v>183</v>
      </c>
      <c r="D78" s="80">
        <v>9983</v>
      </c>
      <c r="E78" s="80">
        <v>9983</v>
      </c>
      <c r="F78" s="80">
        <v>1</v>
      </c>
      <c r="G78" s="80">
        <v>1</v>
      </c>
      <c r="H78" s="80">
        <v>9984</v>
      </c>
      <c r="I78" s="80">
        <v>9984</v>
      </c>
      <c r="J78" s="80">
        <v>1</v>
      </c>
    </row>
    <row r="79" spans="1:10" hidden="1" x14ac:dyDescent="0.3">
      <c r="A79" s="83">
        <v>550045885</v>
      </c>
      <c r="B79" s="43" t="s">
        <v>89</v>
      </c>
      <c r="C79" s="43" t="s">
        <v>183</v>
      </c>
      <c r="D79" s="80">
        <v>53572</v>
      </c>
      <c r="E79" s="80">
        <v>53572</v>
      </c>
      <c r="F79" s="80">
        <v>4</v>
      </c>
      <c r="G79" s="80">
        <v>4</v>
      </c>
      <c r="H79" s="80">
        <v>53576</v>
      </c>
      <c r="I79" s="80">
        <v>53576</v>
      </c>
      <c r="J79" s="80">
        <v>1</v>
      </c>
    </row>
    <row r="80" spans="1:10" hidden="1" x14ac:dyDescent="0.3">
      <c r="A80" s="83">
        <v>550045901</v>
      </c>
      <c r="B80" s="43" t="s">
        <v>931</v>
      </c>
      <c r="C80" s="43" t="s">
        <v>183</v>
      </c>
      <c r="D80" s="80">
        <v>2103</v>
      </c>
      <c r="E80" s="80">
        <v>2103</v>
      </c>
      <c r="F80" s="80">
        <v>3</v>
      </c>
      <c r="G80" s="80">
        <v>3</v>
      </c>
      <c r="H80" s="80">
        <v>2106</v>
      </c>
      <c r="I80" s="80">
        <v>2106</v>
      </c>
      <c r="J80" s="80">
        <v>1</v>
      </c>
    </row>
    <row r="81" spans="1:10" hidden="1" x14ac:dyDescent="0.3">
      <c r="A81" s="83">
        <v>550045905</v>
      </c>
      <c r="B81" s="43" t="s">
        <v>95</v>
      </c>
      <c r="C81" s="43" t="s">
        <v>183</v>
      </c>
      <c r="D81" s="80">
        <v>0</v>
      </c>
      <c r="E81" s="80">
        <v>0</v>
      </c>
      <c r="F81" s="80">
        <v>0</v>
      </c>
      <c r="G81" s="80">
        <v>0</v>
      </c>
      <c r="H81" s="80">
        <v>0</v>
      </c>
      <c r="I81" s="80">
        <v>0</v>
      </c>
      <c r="J81" s="80">
        <v>1</v>
      </c>
    </row>
    <row r="82" spans="1:10" hidden="1" x14ac:dyDescent="0.3">
      <c r="A82" s="83">
        <v>550047075</v>
      </c>
      <c r="B82" s="43" t="s">
        <v>71</v>
      </c>
      <c r="C82" s="43" t="s">
        <v>186</v>
      </c>
      <c r="D82" s="80">
        <v>264</v>
      </c>
      <c r="E82" s="80">
        <v>264</v>
      </c>
      <c r="F82" s="80">
        <v>12</v>
      </c>
      <c r="G82" s="80">
        <v>12</v>
      </c>
      <c r="H82" s="80">
        <v>276</v>
      </c>
      <c r="I82" s="80">
        <v>276</v>
      </c>
      <c r="J82" s="80">
        <v>0</v>
      </c>
    </row>
    <row r="83" spans="1:10" hidden="1" x14ac:dyDescent="0.3">
      <c r="A83" s="83">
        <v>550047079</v>
      </c>
      <c r="B83" s="43" t="s">
        <v>63</v>
      </c>
      <c r="C83" s="43" t="s">
        <v>186</v>
      </c>
      <c r="D83" s="80">
        <v>19</v>
      </c>
      <c r="E83" s="80">
        <v>19</v>
      </c>
      <c r="F83" s="80">
        <v>3</v>
      </c>
      <c r="G83" s="80">
        <v>3</v>
      </c>
      <c r="H83" s="80">
        <v>22</v>
      </c>
      <c r="I83" s="80">
        <v>22</v>
      </c>
      <c r="J83" s="80">
        <v>0</v>
      </c>
    </row>
    <row r="84" spans="1:10" hidden="1" x14ac:dyDescent="0.3">
      <c r="A84" s="83">
        <v>550047182</v>
      </c>
      <c r="B84" s="43" t="s">
        <v>1171</v>
      </c>
      <c r="C84" s="43" t="s">
        <v>186</v>
      </c>
      <c r="D84" s="80">
        <v>31</v>
      </c>
      <c r="E84" s="80">
        <v>31</v>
      </c>
      <c r="F84" s="80">
        <v>0</v>
      </c>
      <c r="G84" s="80">
        <v>0</v>
      </c>
      <c r="H84" s="80">
        <v>31</v>
      </c>
      <c r="I84" s="80">
        <v>31</v>
      </c>
      <c r="J84" s="80">
        <v>0</v>
      </c>
    </row>
    <row r="85" spans="1:10" hidden="1" x14ac:dyDescent="0.3">
      <c r="A85" s="83">
        <v>550047184</v>
      </c>
      <c r="B85" s="43" t="s">
        <v>1034</v>
      </c>
      <c r="C85" s="43" t="s">
        <v>186</v>
      </c>
      <c r="D85" s="80">
        <v>6</v>
      </c>
      <c r="E85" s="80">
        <v>6</v>
      </c>
      <c r="F85" s="80">
        <v>0</v>
      </c>
      <c r="G85" s="80">
        <v>0</v>
      </c>
      <c r="H85" s="80">
        <v>6</v>
      </c>
      <c r="I85" s="80">
        <v>6</v>
      </c>
      <c r="J85" s="80">
        <v>0</v>
      </c>
    </row>
    <row r="86" spans="1:10" hidden="1" x14ac:dyDescent="0.3">
      <c r="A86" s="83">
        <v>550047744</v>
      </c>
      <c r="B86" s="43" t="s">
        <v>1035</v>
      </c>
      <c r="C86" s="43" t="s">
        <v>1013</v>
      </c>
      <c r="D86" s="80">
        <v>0</v>
      </c>
      <c r="E86" s="80">
        <v>0</v>
      </c>
      <c r="F86" s="80">
        <v>0</v>
      </c>
      <c r="G86" s="80">
        <v>0</v>
      </c>
      <c r="H86" s="80">
        <v>0</v>
      </c>
      <c r="I86" s="80">
        <v>0</v>
      </c>
      <c r="J86" s="80">
        <v>0</v>
      </c>
    </row>
    <row r="87" spans="1:10" hidden="1" x14ac:dyDescent="0.3">
      <c r="A87" s="83">
        <v>550049041</v>
      </c>
      <c r="B87" s="43" t="s">
        <v>103</v>
      </c>
      <c r="C87" s="43" t="s">
        <v>183</v>
      </c>
      <c r="D87" s="80">
        <v>1612</v>
      </c>
      <c r="E87" s="80">
        <v>1612</v>
      </c>
      <c r="F87" s="80">
        <v>54</v>
      </c>
      <c r="G87" s="80">
        <v>54</v>
      </c>
      <c r="H87" s="80">
        <v>1666</v>
      </c>
      <c r="I87" s="80">
        <v>1666</v>
      </c>
      <c r="J87" s="80">
        <v>1</v>
      </c>
    </row>
    <row r="88" spans="1:10" hidden="1" x14ac:dyDescent="0.3">
      <c r="A88" s="83">
        <v>550049771</v>
      </c>
      <c r="B88" s="43" t="s">
        <v>123</v>
      </c>
      <c r="C88" s="43" t="s">
        <v>183</v>
      </c>
      <c r="D88" s="80">
        <v>438</v>
      </c>
      <c r="E88" s="80">
        <v>438</v>
      </c>
      <c r="F88" s="80">
        <v>0</v>
      </c>
      <c r="G88" s="80">
        <v>0</v>
      </c>
      <c r="H88" s="80">
        <v>438</v>
      </c>
      <c r="I88" s="80">
        <v>438</v>
      </c>
      <c r="J88" s="80">
        <v>1</v>
      </c>
    </row>
    <row r="89" spans="1:10" hidden="1" x14ac:dyDescent="0.3">
      <c r="A89" s="83">
        <v>550049811</v>
      </c>
      <c r="B89" s="43" t="s">
        <v>975</v>
      </c>
      <c r="C89" s="43" t="s">
        <v>183</v>
      </c>
      <c r="D89" s="80">
        <v>2271</v>
      </c>
      <c r="E89" s="80">
        <v>2271</v>
      </c>
      <c r="F89" s="80">
        <v>4</v>
      </c>
      <c r="G89" s="80">
        <v>4</v>
      </c>
      <c r="H89" s="80">
        <v>2275</v>
      </c>
      <c r="I89" s="80">
        <v>2275</v>
      </c>
      <c r="J89" s="80">
        <v>1</v>
      </c>
    </row>
    <row r="90" spans="1:10" hidden="1" x14ac:dyDescent="0.3">
      <c r="A90" s="83">
        <v>550049812</v>
      </c>
      <c r="B90" s="43" t="s">
        <v>976</v>
      </c>
      <c r="C90" s="43" t="s">
        <v>183</v>
      </c>
      <c r="D90" s="80">
        <v>1925</v>
      </c>
      <c r="E90" s="80">
        <v>1925</v>
      </c>
      <c r="F90" s="80">
        <v>0</v>
      </c>
      <c r="G90" s="80">
        <v>0</v>
      </c>
      <c r="H90" s="80">
        <v>1925</v>
      </c>
      <c r="I90" s="80">
        <v>1925</v>
      </c>
      <c r="J90" s="80">
        <v>1</v>
      </c>
    </row>
    <row r="91" spans="1:10" hidden="1" x14ac:dyDescent="0.3">
      <c r="A91" s="83">
        <v>550049814</v>
      </c>
      <c r="B91" s="43" t="s">
        <v>159</v>
      </c>
      <c r="C91" s="43" t="s">
        <v>183</v>
      </c>
      <c r="D91" s="80">
        <v>1211</v>
      </c>
      <c r="E91" s="80">
        <v>1211</v>
      </c>
      <c r="F91" s="80">
        <v>0</v>
      </c>
      <c r="G91" s="80">
        <v>0</v>
      </c>
      <c r="H91" s="80">
        <v>1211</v>
      </c>
      <c r="I91" s="80">
        <v>1211</v>
      </c>
      <c r="J91" s="80">
        <v>1</v>
      </c>
    </row>
    <row r="92" spans="1:10" hidden="1" x14ac:dyDescent="0.3">
      <c r="A92" s="83">
        <v>550050052</v>
      </c>
      <c r="B92" s="43" t="s">
        <v>167</v>
      </c>
      <c r="C92" s="43" t="s">
        <v>183</v>
      </c>
      <c r="D92" s="80">
        <v>1219</v>
      </c>
      <c r="E92" s="80">
        <v>1219</v>
      </c>
      <c r="F92" s="80">
        <v>0</v>
      </c>
      <c r="G92" s="80">
        <v>0</v>
      </c>
      <c r="H92" s="80">
        <v>1219</v>
      </c>
      <c r="I92" s="80">
        <v>1219</v>
      </c>
      <c r="J92" s="80">
        <v>1</v>
      </c>
    </row>
    <row r="93" spans="1:10" hidden="1" x14ac:dyDescent="0.3">
      <c r="A93" s="83">
        <v>550050102</v>
      </c>
      <c r="B93" s="43" t="s">
        <v>105</v>
      </c>
      <c r="C93" s="43" t="s">
        <v>183</v>
      </c>
      <c r="D93" s="80">
        <v>4340</v>
      </c>
      <c r="E93" s="80">
        <v>4340</v>
      </c>
      <c r="F93" s="80">
        <v>0</v>
      </c>
      <c r="G93" s="80">
        <v>0</v>
      </c>
      <c r="H93" s="80">
        <v>4340</v>
      </c>
      <c r="I93" s="80">
        <v>4340</v>
      </c>
      <c r="J93" s="80">
        <v>1</v>
      </c>
    </row>
    <row r="94" spans="1:10" hidden="1" x14ac:dyDescent="0.3">
      <c r="A94" s="83">
        <v>550050706</v>
      </c>
      <c r="B94" s="43" t="s">
        <v>75</v>
      </c>
      <c r="C94" s="43" t="s">
        <v>188</v>
      </c>
      <c r="D94" s="80">
        <v>41</v>
      </c>
      <c r="E94" s="80">
        <v>41</v>
      </c>
      <c r="F94" s="80">
        <v>1</v>
      </c>
      <c r="G94" s="80">
        <v>1</v>
      </c>
      <c r="H94" s="80">
        <v>42</v>
      </c>
      <c r="I94" s="80">
        <v>42</v>
      </c>
      <c r="J94" s="80">
        <v>0</v>
      </c>
    </row>
    <row r="95" spans="1:10" hidden="1" x14ac:dyDescent="0.3">
      <c r="A95" s="83">
        <v>550050708</v>
      </c>
      <c r="B95" s="43" t="s">
        <v>77</v>
      </c>
      <c r="C95" s="43" t="s">
        <v>188</v>
      </c>
      <c r="D95" s="80">
        <v>0</v>
      </c>
      <c r="E95" s="80">
        <v>0</v>
      </c>
      <c r="F95" s="80">
        <v>0</v>
      </c>
      <c r="G95" s="80">
        <v>0</v>
      </c>
      <c r="H95" s="80">
        <v>0</v>
      </c>
      <c r="I95" s="80">
        <v>0</v>
      </c>
      <c r="J95" s="80">
        <v>0</v>
      </c>
    </row>
    <row r="96" spans="1:10" hidden="1" x14ac:dyDescent="0.3">
      <c r="A96" s="83">
        <v>550052035</v>
      </c>
      <c r="B96" s="43" t="s">
        <v>193</v>
      </c>
      <c r="C96" s="43" t="s">
        <v>183</v>
      </c>
      <c r="D96" s="80">
        <v>0</v>
      </c>
      <c r="E96" s="80">
        <v>0</v>
      </c>
      <c r="F96" s="80">
        <v>0</v>
      </c>
      <c r="G96" s="80">
        <v>0</v>
      </c>
      <c r="H96" s="80">
        <v>0</v>
      </c>
      <c r="I96" s="80">
        <v>0</v>
      </c>
      <c r="J96" s="80">
        <v>1</v>
      </c>
    </row>
    <row r="97" spans="1:10" hidden="1" x14ac:dyDescent="0.3">
      <c r="A97" s="83">
        <v>550052038</v>
      </c>
      <c r="B97" s="43" t="s">
        <v>93</v>
      </c>
      <c r="C97" s="43" t="s">
        <v>183</v>
      </c>
      <c r="D97" s="80">
        <v>0</v>
      </c>
      <c r="E97" s="80">
        <v>0</v>
      </c>
      <c r="F97" s="80">
        <v>0</v>
      </c>
      <c r="G97" s="80">
        <v>0</v>
      </c>
      <c r="H97" s="80">
        <v>0</v>
      </c>
      <c r="I97" s="80">
        <v>0</v>
      </c>
      <c r="J97" s="80">
        <v>1</v>
      </c>
    </row>
    <row r="98" spans="1:10" hidden="1" x14ac:dyDescent="0.3">
      <c r="A98" s="83">
        <v>550052219</v>
      </c>
      <c r="B98" s="43" t="s">
        <v>1014</v>
      </c>
      <c r="C98" s="43" t="s">
        <v>186</v>
      </c>
      <c r="D98" s="80">
        <v>8</v>
      </c>
      <c r="E98" s="80">
        <v>8</v>
      </c>
      <c r="F98" s="80">
        <v>0</v>
      </c>
      <c r="G98" s="80">
        <v>0</v>
      </c>
      <c r="H98" s="80">
        <v>8</v>
      </c>
      <c r="I98" s="80">
        <v>8</v>
      </c>
      <c r="J98" s="80">
        <v>0</v>
      </c>
    </row>
    <row r="99" spans="1:10" hidden="1" x14ac:dyDescent="0.3">
      <c r="A99" s="83">
        <v>550052774</v>
      </c>
      <c r="B99" s="43" t="s">
        <v>57</v>
      </c>
      <c r="C99" s="43" t="s">
        <v>186</v>
      </c>
      <c r="D99" s="80">
        <v>16</v>
      </c>
      <c r="E99" s="80">
        <v>16</v>
      </c>
      <c r="F99" s="80">
        <v>1</v>
      </c>
      <c r="G99" s="80">
        <v>1</v>
      </c>
      <c r="H99" s="80">
        <v>17</v>
      </c>
      <c r="I99" s="80">
        <v>17</v>
      </c>
      <c r="J99" s="80">
        <v>0</v>
      </c>
    </row>
    <row r="100" spans="1:10" hidden="1" x14ac:dyDescent="0.3">
      <c r="A100" s="83">
        <v>550052775</v>
      </c>
      <c r="B100" s="43" t="s">
        <v>59</v>
      </c>
      <c r="C100" s="43" t="s">
        <v>186</v>
      </c>
      <c r="D100" s="80">
        <v>29</v>
      </c>
      <c r="E100" s="80">
        <v>29</v>
      </c>
      <c r="F100" s="80">
        <v>1</v>
      </c>
      <c r="G100" s="80">
        <v>1</v>
      </c>
      <c r="H100" s="80">
        <v>30</v>
      </c>
      <c r="I100" s="80">
        <v>30</v>
      </c>
      <c r="J100" s="80">
        <v>0</v>
      </c>
    </row>
    <row r="101" spans="1:10" hidden="1" x14ac:dyDescent="0.3">
      <c r="A101" s="83">
        <v>550053426</v>
      </c>
      <c r="B101" s="43" t="s">
        <v>85</v>
      </c>
      <c r="C101" s="43" t="s">
        <v>186</v>
      </c>
      <c r="D101" s="80">
        <v>3</v>
      </c>
      <c r="E101" s="80">
        <v>3</v>
      </c>
      <c r="F101" s="80">
        <v>0</v>
      </c>
      <c r="G101" s="80">
        <v>0</v>
      </c>
      <c r="H101" s="80">
        <v>3</v>
      </c>
      <c r="I101" s="80">
        <v>3</v>
      </c>
      <c r="J101" s="80">
        <v>0</v>
      </c>
    </row>
    <row r="102" spans="1:10" hidden="1" x14ac:dyDescent="0.3">
      <c r="A102" s="83">
        <v>550053587</v>
      </c>
      <c r="B102" s="43" t="s">
        <v>990</v>
      </c>
      <c r="C102" s="43" t="s">
        <v>183</v>
      </c>
      <c r="D102" s="80">
        <v>1662</v>
      </c>
      <c r="E102" s="80">
        <v>1662</v>
      </c>
      <c r="F102" s="80">
        <v>14</v>
      </c>
      <c r="G102" s="80">
        <v>14</v>
      </c>
      <c r="H102" s="80">
        <v>1676</v>
      </c>
      <c r="I102" s="80">
        <v>1676</v>
      </c>
      <c r="J102" s="80">
        <v>1</v>
      </c>
    </row>
    <row r="103" spans="1:10" hidden="1" x14ac:dyDescent="0.3">
      <c r="A103" s="83">
        <v>550054282</v>
      </c>
      <c r="B103" s="43" t="s">
        <v>914</v>
      </c>
      <c r="C103" s="43" t="s">
        <v>188</v>
      </c>
      <c r="D103" s="80">
        <v>0</v>
      </c>
      <c r="E103" s="80">
        <v>0</v>
      </c>
      <c r="F103" s="80">
        <v>1</v>
      </c>
      <c r="G103" s="80">
        <v>1</v>
      </c>
      <c r="H103" s="80">
        <v>1</v>
      </c>
      <c r="I103" s="80">
        <v>1</v>
      </c>
      <c r="J103" s="80">
        <v>0</v>
      </c>
    </row>
    <row r="104" spans="1:10" hidden="1" x14ac:dyDescent="0.3">
      <c r="A104" s="83">
        <v>550054547</v>
      </c>
      <c r="B104" s="43" t="s">
        <v>61</v>
      </c>
      <c r="C104" s="43" t="s">
        <v>186</v>
      </c>
      <c r="D104" s="80">
        <v>133</v>
      </c>
      <c r="E104" s="80">
        <v>133</v>
      </c>
      <c r="F104" s="80">
        <v>4</v>
      </c>
      <c r="G104" s="80">
        <v>4</v>
      </c>
      <c r="H104" s="80">
        <v>137</v>
      </c>
      <c r="I104" s="80">
        <v>137</v>
      </c>
      <c r="J104" s="80">
        <v>0</v>
      </c>
    </row>
    <row r="105" spans="1:10" hidden="1" x14ac:dyDescent="0.3">
      <c r="A105" s="83">
        <v>550056833</v>
      </c>
      <c r="B105" s="43" t="s">
        <v>1031</v>
      </c>
      <c r="C105" s="43" t="s">
        <v>183</v>
      </c>
      <c r="D105" s="80">
        <v>1244</v>
      </c>
      <c r="E105" s="80">
        <v>1244</v>
      </c>
      <c r="F105" s="80">
        <v>7</v>
      </c>
      <c r="G105" s="80">
        <v>7</v>
      </c>
      <c r="H105" s="80">
        <v>1251</v>
      </c>
      <c r="I105" s="80">
        <v>1251</v>
      </c>
      <c r="J105" s="80">
        <v>1</v>
      </c>
    </row>
    <row r="106" spans="1:10" hidden="1" x14ac:dyDescent="0.3">
      <c r="A106" s="83">
        <v>550057742</v>
      </c>
      <c r="B106" s="43" t="s">
        <v>107</v>
      </c>
      <c r="C106" s="43" t="s">
        <v>183</v>
      </c>
      <c r="D106" s="80">
        <v>9770</v>
      </c>
      <c r="E106" s="80">
        <v>9770</v>
      </c>
      <c r="F106" s="80">
        <v>98</v>
      </c>
      <c r="G106" s="80">
        <v>98</v>
      </c>
      <c r="H106" s="80">
        <v>9868</v>
      </c>
      <c r="I106" s="80">
        <v>9868</v>
      </c>
      <c r="J106" s="80">
        <v>1</v>
      </c>
    </row>
    <row r="107" spans="1:10" hidden="1" x14ac:dyDescent="0.3">
      <c r="A107" s="83">
        <v>550057747</v>
      </c>
      <c r="B107" s="43" t="s">
        <v>997</v>
      </c>
      <c r="C107" s="43" t="s">
        <v>186</v>
      </c>
      <c r="D107" s="80">
        <v>2</v>
      </c>
      <c r="E107" s="80">
        <v>2</v>
      </c>
      <c r="F107" s="80">
        <v>1</v>
      </c>
      <c r="G107" s="80">
        <v>1</v>
      </c>
      <c r="H107" s="80">
        <v>3</v>
      </c>
      <c r="I107" s="80">
        <v>3</v>
      </c>
      <c r="J107" s="80">
        <v>0</v>
      </c>
    </row>
    <row r="108" spans="1:10" hidden="1" x14ac:dyDescent="0.3">
      <c r="A108" s="83">
        <v>550057749</v>
      </c>
      <c r="B108" s="43" t="s">
        <v>91</v>
      </c>
      <c r="C108" s="43" t="s">
        <v>183</v>
      </c>
      <c r="D108" s="80">
        <v>5369</v>
      </c>
      <c r="E108" s="80">
        <v>5369</v>
      </c>
      <c r="F108" s="80">
        <v>0</v>
      </c>
      <c r="G108" s="80">
        <v>0</v>
      </c>
      <c r="H108" s="80">
        <v>5369</v>
      </c>
      <c r="I108" s="80">
        <v>5369</v>
      </c>
      <c r="J108" s="80">
        <v>1</v>
      </c>
    </row>
    <row r="109" spans="1:10" hidden="1" x14ac:dyDescent="0.3">
      <c r="A109" s="83">
        <v>550057751</v>
      </c>
      <c r="B109" s="43" t="s">
        <v>1228</v>
      </c>
      <c r="C109" s="43" t="s">
        <v>183</v>
      </c>
      <c r="D109" s="80">
        <v>800</v>
      </c>
      <c r="E109" s="80">
        <v>800</v>
      </c>
      <c r="F109" s="80">
        <v>0</v>
      </c>
      <c r="G109" s="80">
        <v>0</v>
      </c>
      <c r="H109" s="80">
        <v>800</v>
      </c>
      <c r="I109" s="80">
        <v>800</v>
      </c>
      <c r="J109" s="80">
        <v>1</v>
      </c>
    </row>
    <row r="110" spans="1:10" hidden="1" x14ac:dyDescent="0.3">
      <c r="A110" s="83">
        <v>550057767</v>
      </c>
      <c r="B110" s="43" t="s">
        <v>97</v>
      </c>
      <c r="C110" s="43" t="s">
        <v>183</v>
      </c>
      <c r="D110" s="80">
        <v>11812</v>
      </c>
      <c r="E110" s="80">
        <v>11812</v>
      </c>
      <c r="F110" s="80">
        <v>2</v>
      </c>
      <c r="G110" s="80">
        <v>2</v>
      </c>
      <c r="H110" s="80">
        <v>11814</v>
      </c>
      <c r="I110" s="80">
        <v>11814</v>
      </c>
      <c r="J110" s="80">
        <v>1</v>
      </c>
    </row>
    <row r="111" spans="1:10" hidden="1" x14ac:dyDescent="0.3">
      <c r="A111" s="83">
        <v>550059865</v>
      </c>
      <c r="B111" s="43" t="s">
        <v>998</v>
      </c>
      <c r="C111" s="43" t="s">
        <v>183</v>
      </c>
      <c r="D111" s="80">
        <v>1662</v>
      </c>
      <c r="E111" s="80">
        <v>1662</v>
      </c>
      <c r="F111" s="80">
        <v>0</v>
      </c>
      <c r="G111" s="80">
        <v>0</v>
      </c>
      <c r="H111" s="80">
        <v>1662</v>
      </c>
      <c r="I111" s="80">
        <v>1662</v>
      </c>
      <c r="J111" s="80">
        <v>1</v>
      </c>
    </row>
    <row r="112" spans="1:10" hidden="1" x14ac:dyDescent="0.3">
      <c r="A112" s="83">
        <v>550059866</v>
      </c>
      <c r="B112" s="43" t="s">
        <v>999</v>
      </c>
      <c r="C112" s="43" t="s">
        <v>183</v>
      </c>
      <c r="D112" s="80">
        <v>88</v>
      </c>
      <c r="E112" s="80">
        <v>88</v>
      </c>
      <c r="F112" s="80">
        <v>0</v>
      </c>
      <c r="G112" s="80">
        <v>0</v>
      </c>
      <c r="H112" s="80">
        <v>88</v>
      </c>
      <c r="I112" s="80">
        <v>88</v>
      </c>
      <c r="J112" s="80">
        <v>1</v>
      </c>
    </row>
    <row r="113" spans="1:10" hidden="1" x14ac:dyDescent="0.3">
      <c r="A113" s="83">
        <v>6560200055</v>
      </c>
      <c r="B113" s="43" t="s">
        <v>171</v>
      </c>
      <c r="C113" s="43" t="s">
        <v>186</v>
      </c>
      <c r="D113" s="80">
        <v>0</v>
      </c>
      <c r="E113" s="80">
        <v>0</v>
      </c>
      <c r="F113" s="80">
        <v>6</v>
      </c>
      <c r="G113" s="80">
        <v>6</v>
      </c>
      <c r="H113" s="80">
        <v>6</v>
      </c>
      <c r="I113" s="80">
        <v>6</v>
      </c>
      <c r="J113" s="80">
        <v>0</v>
      </c>
    </row>
    <row r="114" spans="1:10" hidden="1" x14ac:dyDescent="0.3">
      <c r="A114" s="83">
        <v>6560300055</v>
      </c>
      <c r="B114" s="43" t="s">
        <v>915</v>
      </c>
      <c r="C114" s="43" t="s">
        <v>186</v>
      </c>
      <c r="D114" s="80">
        <v>14</v>
      </c>
      <c r="E114" s="80">
        <v>14</v>
      </c>
      <c r="F114" s="80">
        <v>7</v>
      </c>
      <c r="G114" s="80">
        <v>7</v>
      </c>
      <c r="H114" s="80">
        <v>21</v>
      </c>
      <c r="I114" s="80">
        <v>21</v>
      </c>
      <c r="J114" s="80">
        <v>0</v>
      </c>
    </row>
    <row r="115" spans="1:10" hidden="1" x14ac:dyDescent="0.3">
      <c r="A115" s="83">
        <v>6560500055</v>
      </c>
      <c r="B115" s="43" t="s">
        <v>173</v>
      </c>
      <c r="C115" s="43" t="s">
        <v>186</v>
      </c>
      <c r="D115" s="80">
        <v>134</v>
      </c>
      <c r="E115" s="80">
        <v>134</v>
      </c>
      <c r="F115" s="80">
        <v>4</v>
      </c>
      <c r="G115" s="80">
        <v>4</v>
      </c>
      <c r="H115" s="80">
        <v>138</v>
      </c>
      <c r="I115" s="80">
        <v>138</v>
      </c>
      <c r="J115" s="80">
        <v>0</v>
      </c>
    </row>
    <row r="116" spans="1:10" hidden="1" x14ac:dyDescent="0.3">
      <c r="A116" s="83">
        <v>83290</v>
      </c>
      <c r="B116" s="43" t="s">
        <v>1217</v>
      </c>
      <c r="C116" s="43" t="s">
        <v>198</v>
      </c>
      <c r="D116" s="80">
        <v>0</v>
      </c>
      <c r="E116" s="80">
        <v>0</v>
      </c>
      <c r="F116" s="80">
        <v>0</v>
      </c>
      <c r="G116" s="80">
        <v>0</v>
      </c>
      <c r="H116" s="80">
        <v>0</v>
      </c>
      <c r="I116" s="80">
        <v>0</v>
      </c>
      <c r="J116" s="80">
        <v>0</v>
      </c>
    </row>
    <row r="117" spans="1:10" hidden="1" x14ac:dyDescent="0.3">
      <c r="A117" s="83">
        <v>83380</v>
      </c>
      <c r="B117" s="43" t="s">
        <v>1218</v>
      </c>
      <c r="C117" s="43" t="s">
        <v>198</v>
      </c>
      <c r="D117" s="80">
        <v>0</v>
      </c>
      <c r="E117" s="80">
        <v>0</v>
      </c>
      <c r="F117" s="80">
        <v>0</v>
      </c>
      <c r="G117" s="80">
        <v>0</v>
      </c>
      <c r="H117" s="80">
        <v>0</v>
      </c>
      <c r="I117" s="80">
        <v>0</v>
      </c>
      <c r="J117" s="80">
        <v>0</v>
      </c>
    </row>
    <row r="118" spans="1:10" hidden="1" x14ac:dyDescent="0.3">
      <c r="A118" s="43" t="s">
        <v>918</v>
      </c>
      <c r="B118" s="43" t="s">
        <v>935</v>
      </c>
      <c r="C118" s="43" t="s">
        <v>198</v>
      </c>
      <c r="D118" s="80">
        <v>0</v>
      </c>
      <c r="E118" s="80">
        <v>0</v>
      </c>
      <c r="F118" s="80">
        <v>0</v>
      </c>
      <c r="G118" s="80">
        <v>0</v>
      </c>
      <c r="H118" s="80">
        <v>0</v>
      </c>
      <c r="I118" s="80">
        <v>0</v>
      </c>
      <c r="J118" s="80">
        <v>0</v>
      </c>
    </row>
    <row r="119" spans="1:10" hidden="1" x14ac:dyDescent="0.3">
      <c r="A119" s="43" t="s">
        <v>919</v>
      </c>
      <c r="B119" s="43" t="s">
        <v>936</v>
      </c>
      <c r="C119" s="43" t="s">
        <v>198</v>
      </c>
      <c r="D119" s="80">
        <v>0</v>
      </c>
      <c r="E119" s="80">
        <v>0</v>
      </c>
      <c r="F119" s="80">
        <v>0</v>
      </c>
      <c r="G119" s="80">
        <v>0</v>
      </c>
      <c r="H119" s="80">
        <v>0</v>
      </c>
      <c r="I119" s="80">
        <v>0</v>
      </c>
      <c r="J119" s="80">
        <v>0</v>
      </c>
    </row>
    <row r="120" spans="1:10" hidden="1" x14ac:dyDescent="0.3">
      <c r="A120" s="43" t="s">
        <v>920</v>
      </c>
      <c r="B120" s="43" t="s">
        <v>937</v>
      </c>
      <c r="C120" s="43" t="s">
        <v>198</v>
      </c>
      <c r="D120" s="80">
        <v>0</v>
      </c>
      <c r="E120" s="80">
        <v>0</v>
      </c>
      <c r="F120" s="80">
        <v>0</v>
      </c>
      <c r="G120" s="80">
        <v>0</v>
      </c>
      <c r="H120" s="80">
        <v>0</v>
      </c>
      <c r="I120" s="80">
        <v>0</v>
      </c>
      <c r="J120" s="80">
        <v>0</v>
      </c>
    </row>
    <row r="121" spans="1:10" hidden="1" x14ac:dyDescent="0.3">
      <c r="A121" s="43" t="s">
        <v>196</v>
      </c>
      <c r="B121" s="43" t="s">
        <v>1036</v>
      </c>
      <c r="C121" s="43" t="s">
        <v>198</v>
      </c>
      <c r="D121" s="80">
        <v>288</v>
      </c>
      <c r="E121" s="80">
        <v>12</v>
      </c>
      <c r="F121" s="80">
        <v>21</v>
      </c>
      <c r="G121" s="80">
        <v>0.875</v>
      </c>
      <c r="H121" s="80">
        <v>309</v>
      </c>
      <c r="I121" s="80">
        <v>12.875</v>
      </c>
      <c r="J121" s="80">
        <v>24</v>
      </c>
    </row>
    <row r="122" spans="1:10" hidden="1" x14ac:dyDescent="0.3">
      <c r="A122" s="43" t="s">
        <v>199</v>
      </c>
      <c r="B122" s="43" t="s">
        <v>1037</v>
      </c>
      <c r="C122" s="43" t="s">
        <v>198</v>
      </c>
      <c r="D122" s="80">
        <v>144</v>
      </c>
      <c r="E122" s="80">
        <v>6</v>
      </c>
      <c r="F122" s="80">
        <v>15</v>
      </c>
      <c r="G122" s="80">
        <v>0.625</v>
      </c>
      <c r="H122" s="80">
        <v>159</v>
      </c>
      <c r="I122" s="80">
        <v>6.625</v>
      </c>
      <c r="J122" s="80">
        <v>24</v>
      </c>
    </row>
    <row r="123" spans="1:10" hidden="1" x14ac:dyDescent="0.3">
      <c r="A123" s="43" t="s">
        <v>201</v>
      </c>
      <c r="B123" s="43" t="s">
        <v>1038</v>
      </c>
      <c r="C123" s="43" t="s">
        <v>198</v>
      </c>
      <c r="D123" s="80">
        <v>960</v>
      </c>
      <c r="E123" s="80">
        <v>40</v>
      </c>
      <c r="F123" s="80">
        <v>16</v>
      </c>
      <c r="G123" s="80">
        <v>0.66666999999999998</v>
      </c>
      <c r="H123" s="80">
        <v>976</v>
      </c>
      <c r="I123" s="80">
        <v>40.666670000000003</v>
      </c>
      <c r="J123" s="80">
        <v>24</v>
      </c>
    </row>
    <row r="124" spans="1:10" hidden="1" x14ac:dyDescent="0.3">
      <c r="A124" s="43" t="s">
        <v>203</v>
      </c>
      <c r="B124" s="43" t="s">
        <v>1039</v>
      </c>
      <c r="C124" s="43" t="s">
        <v>198</v>
      </c>
      <c r="D124" s="80">
        <v>408</v>
      </c>
      <c r="E124" s="80">
        <v>17</v>
      </c>
      <c r="F124" s="80">
        <v>22</v>
      </c>
      <c r="G124" s="80">
        <v>0.91666999999999998</v>
      </c>
      <c r="H124" s="80">
        <v>430</v>
      </c>
      <c r="I124" s="80">
        <v>17.91667</v>
      </c>
      <c r="J124" s="80">
        <v>24</v>
      </c>
    </row>
    <row r="125" spans="1:10" hidden="1" x14ac:dyDescent="0.3">
      <c r="A125" s="43" t="s">
        <v>205</v>
      </c>
      <c r="B125" s="43" t="s">
        <v>1040</v>
      </c>
      <c r="C125" s="43" t="s">
        <v>198</v>
      </c>
      <c r="D125" s="80">
        <v>0</v>
      </c>
      <c r="E125" s="80">
        <v>0</v>
      </c>
      <c r="F125" s="80">
        <v>16</v>
      </c>
      <c r="G125" s="80">
        <v>0.66666999999999998</v>
      </c>
      <c r="H125" s="80">
        <v>16</v>
      </c>
      <c r="I125" s="80">
        <v>0.66666999999999998</v>
      </c>
      <c r="J125" s="80">
        <v>24</v>
      </c>
    </row>
    <row r="126" spans="1:10" hidden="1" x14ac:dyDescent="0.3">
      <c r="A126" s="43" t="s">
        <v>207</v>
      </c>
      <c r="B126" s="43" t="s">
        <v>1041</v>
      </c>
      <c r="C126" s="43" t="s">
        <v>198</v>
      </c>
      <c r="D126" s="80">
        <v>408</v>
      </c>
      <c r="E126" s="80">
        <v>17</v>
      </c>
      <c r="F126" s="80">
        <v>15</v>
      </c>
      <c r="G126" s="80">
        <v>0.625</v>
      </c>
      <c r="H126" s="80">
        <v>423</v>
      </c>
      <c r="I126" s="80">
        <v>17.625</v>
      </c>
      <c r="J126" s="80">
        <v>24</v>
      </c>
    </row>
    <row r="127" spans="1:10" hidden="1" x14ac:dyDescent="0.3">
      <c r="A127" s="43" t="s">
        <v>209</v>
      </c>
      <c r="B127" s="43" t="s">
        <v>1042</v>
      </c>
      <c r="C127" s="43" t="s">
        <v>198</v>
      </c>
      <c r="D127" s="80">
        <v>288</v>
      </c>
      <c r="E127" s="80">
        <v>12</v>
      </c>
      <c r="F127" s="80">
        <v>24</v>
      </c>
      <c r="G127" s="80">
        <v>1</v>
      </c>
      <c r="H127" s="80">
        <v>312</v>
      </c>
      <c r="I127" s="80">
        <v>13</v>
      </c>
      <c r="J127" s="80">
        <v>24</v>
      </c>
    </row>
    <row r="128" spans="1:10" hidden="1" x14ac:dyDescent="0.3">
      <c r="A128" s="43" t="s">
        <v>211</v>
      </c>
      <c r="B128" s="43" t="s">
        <v>1043</v>
      </c>
      <c r="C128" s="43" t="s">
        <v>198</v>
      </c>
      <c r="D128" s="80">
        <v>384</v>
      </c>
      <c r="E128" s="80">
        <v>16</v>
      </c>
      <c r="F128" s="80">
        <v>16</v>
      </c>
      <c r="G128" s="80">
        <v>0.66666999999999998</v>
      </c>
      <c r="H128" s="80">
        <v>400</v>
      </c>
      <c r="I128" s="80">
        <v>16.66667</v>
      </c>
      <c r="J128" s="80">
        <v>24</v>
      </c>
    </row>
    <row r="129" spans="1:10" hidden="1" x14ac:dyDescent="0.3">
      <c r="A129" s="43" t="s">
        <v>213</v>
      </c>
      <c r="B129" s="43" t="s">
        <v>1044</v>
      </c>
      <c r="C129" s="43" t="s">
        <v>198</v>
      </c>
      <c r="D129" s="80">
        <v>360</v>
      </c>
      <c r="E129" s="80">
        <v>15</v>
      </c>
      <c r="F129" s="80">
        <v>20</v>
      </c>
      <c r="G129" s="80">
        <v>0.83333000000000002</v>
      </c>
      <c r="H129" s="80">
        <v>380</v>
      </c>
      <c r="I129" s="80">
        <v>15.83333</v>
      </c>
      <c r="J129" s="80">
        <v>24</v>
      </c>
    </row>
    <row r="130" spans="1:10" hidden="1" x14ac:dyDescent="0.3">
      <c r="A130" s="43" t="s">
        <v>1045</v>
      </c>
      <c r="B130" s="43" t="s">
        <v>1046</v>
      </c>
      <c r="C130" s="43" t="s">
        <v>198</v>
      </c>
      <c r="D130" s="80">
        <v>0</v>
      </c>
      <c r="E130" s="80">
        <v>0</v>
      </c>
      <c r="F130" s="80">
        <v>0</v>
      </c>
      <c r="G130" s="80">
        <v>0</v>
      </c>
      <c r="H130" s="80">
        <v>0</v>
      </c>
      <c r="I130" s="80">
        <v>0</v>
      </c>
      <c r="J130" s="80">
        <v>12</v>
      </c>
    </row>
    <row r="131" spans="1:10" hidden="1" x14ac:dyDescent="0.3">
      <c r="A131" s="43" t="s">
        <v>1047</v>
      </c>
      <c r="B131" s="43" t="s">
        <v>1048</v>
      </c>
      <c r="C131" s="43" t="s">
        <v>198</v>
      </c>
      <c r="D131" s="80">
        <v>0</v>
      </c>
      <c r="E131" s="80">
        <v>0</v>
      </c>
      <c r="F131" s="80">
        <v>1</v>
      </c>
      <c r="G131" s="80">
        <v>0.25</v>
      </c>
      <c r="H131" s="80">
        <v>1</v>
      </c>
      <c r="I131" s="80">
        <v>0.25</v>
      </c>
      <c r="J131" s="80">
        <v>4</v>
      </c>
    </row>
    <row r="132" spans="1:10" hidden="1" x14ac:dyDescent="0.3">
      <c r="A132" s="43" t="s">
        <v>215</v>
      </c>
      <c r="B132" s="43" t="s">
        <v>1049</v>
      </c>
      <c r="C132" s="43" t="s">
        <v>198</v>
      </c>
      <c r="D132" s="80">
        <v>0</v>
      </c>
      <c r="E132" s="80">
        <v>0</v>
      </c>
      <c r="F132" s="80">
        <v>20</v>
      </c>
      <c r="G132" s="80">
        <v>0.83333000000000002</v>
      </c>
      <c r="H132" s="80">
        <v>20</v>
      </c>
      <c r="I132" s="80">
        <v>0.83333000000000002</v>
      </c>
      <c r="J132" s="80">
        <v>24</v>
      </c>
    </row>
    <row r="133" spans="1:10" hidden="1" x14ac:dyDescent="0.3">
      <c r="A133" s="43" t="s">
        <v>217</v>
      </c>
      <c r="B133" s="43" t="s">
        <v>1050</v>
      </c>
      <c r="C133" s="43" t="s">
        <v>198</v>
      </c>
      <c r="D133" s="80">
        <v>0</v>
      </c>
      <c r="E133" s="80">
        <v>0</v>
      </c>
      <c r="F133" s="80">
        <v>20</v>
      </c>
      <c r="G133" s="80">
        <v>0.83333000000000002</v>
      </c>
      <c r="H133" s="80">
        <v>20</v>
      </c>
      <c r="I133" s="80">
        <v>0.83333000000000002</v>
      </c>
      <c r="J133" s="80">
        <v>24</v>
      </c>
    </row>
    <row r="134" spans="1:10" hidden="1" x14ac:dyDescent="0.3">
      <c r="A134" s="43" t="s">
        <v>219</v>
      </c>
      <c r="B134" s="43" t="s">
        <v>1051</v>
      </c>
      <c r="C134" s="43" t="s">
        <v>198</v>
      </c>
      <c r="D134" s="80">
        <v>504</v>
      </c>
      <c r="E134" s="80">
        <v>21</v>
      </c>
      <c r="F134" s="80">
        <v>17</v>
      </c>
      <c r="G134" s="80">
        <v>0.70833000000000002</v>
      </c>
      <c r="H134" s="80">
        <v>521</v>
      </c>
      <c r="I134" s="80">
        <v>21.70833</v>
      </c>
      <c r="J134" s="80">
        <v>24</v>
      </c>
    </row>
    <row r="135" spans="1:10" hidden="1" x14ac:dyDescent="0.3">
      <c r="A135" s="43" t="s">
        <v>221</v>
      </c>
      <c r="B135" s="43" t="s">
        <v>1052</v>
      </c>
      <c r="C135" s="43" t="s">
        <v>198</v>
      </c>
      <c r="D135" s="80">
        <v>0</v>
      </c>
      <c r="E135" s="80">
        <v>0</v>
      </c>
      <c r="F135" s="80">
        <v>7</v>
      </c>
      <c r="G135" s="80">
        <v>0.58333000000000002</v>
      </c>
      <c r="H135" s="80">
        <v>7</v>
      </c>
      <c r="I135" s="80">
        <v>0.58333000000000002</v>
      </c>
      <c r="J135" s="80">
        <v>12</v>
      </c>
    </row>
    <row r="136" spans="1:10" hidden="1" x14ac:dyDescent="0.3">
      <c r="A136" s="43" t="s">
        <v>223</v>
      </c>
      <c r="B136" s="43" t="s">
        <v>1053</v>
      </c>
      <c r="C136" s="43" t="s">
        <v>198</v>
      </c>
      <c r="D136" s="80">
        <v>0</v>
      </c>
      <c r="E136" s="80">
        <v>0</v>
      </c>
      <c r="F136" s="80">
        <v>17</v>
      </c>
      <c r="G136" s="80">
        <v>0.70833000000000002</v>
      </c>
      <c r="H136" s="80">
        <v>17</v>
      </c>
      <c r="I136" s="80">
        <v>0.70833000000000002</v>
      </c>
      <c r="J136" s="80">
        <v>24</v>
      </c>
    </row>
    <row r="137" spans="1:10" hidden="1" x14ac:dyDescent="0.3">
      <c r="A137" s="43" t="s">
        <v>1172</v>
      </c>
      <c r="B137" s="43" t="s">
        <v>1173</v>
      </c>
      <c r="C137" s="43" t="s">
        <v>198</v>
      </c>
      <c r="D137" s="80">
        <v>0</v>
      </c>
      <c r="E137" s="80">
        <v>0</v>
      </c>
      <c r="F137" s="80">
        <v>23</v>
      </c>
      <c r="G137" s="80">
        <v>0.95833000000000002</v>
      </c>
      <c r="H137" s="80">
        <v>23</v>
      </c>
      <c r="I137" s="80">
        <v>0.95833000000000002</v>
      </c>
      <c r="J137" s="80">
        <v>24</v>
      </c>
    </row>
    <row r="138" spans="1:10" hidden="1" x14ac:dyDescent="0.3">
      <c r="A138" s="43" t="s">
        <v>225</v>
      </c>
      <c r="B138" s="43" t="s">
        <v>1054</v>
      </c>
      <c r="C138" s="43" t="s">
        <v>198</v>
      </c>
      <c r="D138" s="80">
        <v>0</v>
      </c>
      <c r="E138" s="80">
        <v>0</v>
      </c>
      <c r="F138" s="80">
        <v>22</v>
      </c>
      <c r="G138" s="80">
        <v>0.91666999999999998</v>
      </c>
      <c r="H138" s="80">
        <v>22</v>
      </c>
      <c r="I138" s="80">
        <v>0.91666999999999998</v>
      </c>
      <c r="J138" s="80">
        <v>24</v>
      </c>
    </row>
    <row r="139" spans="1:10" hidden="1" x14ac:dyDescent="0.3">
      <c r="A139" s="43" t="s">
        <v>227</v>
      </c>
      <c r="B139" s="43" t="s">
        <v>1055</v>
      </c>
      <c r="C139" s="43" t="s">
        <v>198</v>
      </c>
      <c r="D139" s="80">
        <v>1008</v>
      </c>
      <c r="E139" s="80">
        <v>42</v>
      </c>
      <c r="F139" s="80">
        <v>19</v>
      </c>
      <c r="G139" s="80">
        <v>0.79166999999999998</v>
      </c>
      <c r="H139" s="80">
        <v>1027</v>
      </c>
      <c r="I139" s="80">
        <v>42.791670000000003</v>
      </c>
      <c r="J139" s="80">
        <v>24</v>
      </c>
    </row>
    <row r="140" spans="1:10" hidden="1" x14ac:dyDescent="0.3">
      <c r="A140" s="43" t="s">
        <v>229</v>
      </c>
      <c r="B140" s="43" t="s">
        <v>1056</v>
      </c>
      <c r="C140" s="43" t="s">
        <v>198</v>
      </c>
      <c r="D140" s="80">
        <v>0</v>
      </c>
      <c r="E140" s="80">
        <v>0</v>
      </c>
      <c r="F140" s="80">
        <v>18</v>
      </c>
      <c r="G140" s="80">
        <v>0.75</v>
      </c>
      <c r="H140" s="80">
        <v>18</v>
      </c>
      <c r="I140" s="80">
        <v>0.75</v>
      </c>
      <c r="J140" s="80">
        <v>24</v>
      </c>
    </row>
    <row r="141" spans="1:10" hidden="1" x14ac:dyDescent="0.3">
      <c r="A141" s="43" t="s">
        <v>231</v>
      </c>
      <c r="B141" s="43" t="s">
        <v>1057</v>
      </c>
      <c r="C141" s="43" t="s">
        <v>198</v>
      </c>
      <c r="D141" s="80">
        <v>0</v>
      </c>
      <c r="E141" s="80">
        <v>0</v>
      </c>
      <c r="F141" s="80">
        <v>0</v>
      </c>
      <c r="G141" s="80">
        <v>0</v>
      </c>
      <c r="H141" s="80">
        <v>0</v>
      </c>
      <c r="I141" s="80">
        <v>0</v>
      </c>
      <c r="J141" s="80">
        <v>24</v>
      </c>
    </row>
    <row r="142" spans="1:10" hidden="1" x14ac:dyDescent="0.3">
      <c r="A142" s="43" t="s">
        <v>233</v>
      </c>
      <c r="B142" s="43" t="s">
        <v>1058</v>
      </c>
      <c r="C142" s="43" t="s">
        <v>198</v>
      </c>
      <c r="D142" s="80">
        <v>936</v>
      </c>
      <c r="E142" s="80">
        <v>39</v>
      </c>
      <c r="F142" s="80">
        <v>22</v>
      </c>
      <c r="G142" s="80">
        <v>0.91666999999999998</v>
      </c>
      <c r="H142" s="80">
        <v>958</v>
      </c>
      <c r="I142" s="80">
        <v>39.916670000000003</v>
      </c>
      <c r="J142" s="80">
        <v>24</v>
      </c>
    </row>
    <row r="143" spans="1:10" hidden="1" x14ac:dyDescent="0.3">
      <c r="A143" s="43" t="s">
        <v>235</v>
      </c>
      <c r="B143" s="43" t="s">
        <v>1059</v>
      </c>
      <c r="C143" s="43" t="s">
        <v>198</v>
      </c>
      <c r="D143" s="80">
        <v>456</v>
      </c>
      <c r="E143" s="80">
        <v>19</v>
      </c>
      <c r="F143" s="80">
        <v>16</v>
      </c>
      <c r="G143" s="80">
        <v>0.66666999999999998</v>
      </c>
      <c r="H143" s="80">
        <v>472</v>
      </c>
      <c r="I143" s="80">
        <v>19.66667</v>
      </c>
      <c r="J143" s="80">
        <v>24</v>
      </c>
    </row>
    <row r="144" spans="1:10" hidden="1" x14ac:dyDescent="0.3">
      <c r="A144" s="43" t="s">
        <v>944</v>
      </c>
      <c r="B144" s="43" t="s">
        <v>945</v>
      </c>
      <c r="C144" s="43" t="s">
        <v>198</v>
      </c>
      <c r="D144" s="80">
        <v>0</v>
      </c>
      <c r="E144" s="80">
        <v>0</v>
      </c>
      <c r="F144" s="80">
        <v>0</v>
      </c>
      <c r="G144" s="80">
        <v>0</v>
      </c>
      <c r="H144" s="80">
        <v>0</v>
      </c>
      <c r="I144" s="80">
        <v>0</v>
      </c>
      <c r="J144" s="80">
        <v>0</v>
      </c>
    </row>
    <row r="145" spans="1:10" hidden="1" x14ac:dyDescent="0.3">
      <c r="A145" s="43" t="s">
        <v>946</v>
      </c>
      <c r="B145" s="43" t="s">
        <v>947</v>
      </c>
      <c r="C145" s="43" t="s">
        <v>198</v>
      </c>
      <c r="D145" s="80">
        <v>0</v>
      </c>
      <c r="E145" s="80">
        <v>0</v>
      </c>
      <c r="F145" s="80">
        <v>0</v>
      </c>
      <c r="G145" s="80">
        <v>0</v>
      </c>
      <c r="H145" s="80">
        <v>0</v>
      </c>
      <c r="I145" s="80">
        <v>0</v>
      </c>
      <c r="J145" s="80">
        <v>0</v>
      </c>
    </row>
    <row r="146" spans="1:10" hidden="1" x14ac:dyDescent="0.3">
      <c r="A146" s="43" t="s">
        <v>948</v>
      </c>
      <c r="B146" s="43" t="s">
        <v>949</v>
      </c>
      <c r="C146" s="43" t="s">
        <v>198</v>
      </c>
      <c r="D146" s="80">
        <v>0</v>
      </c>
      <c r="E146" s="80">
        <v>0</v>
      </c>
      <c r="F146" s="80">
        <v>0</v>
      </c>
      <c r="G146" s="80">
        <v>0</v>
      </c>
      <c r="H146" s="80">
        <v>0</v>
      </c>
      <c r="I146" s="80">
        <v>0</v>
      </c>
      <c r="J146" s="80">
        <v>0</v>
      </c>
    </row>
    <row r="147" spans="1:10" hidden="1" x14ac:dyDescent="0.3">
      <c r="A147" s="43" t="s">
        <v>950</v>
      </c>
      <c r="B147" s="43" t="s">
        <v>951</v>
      </c>
      <c r="C147" s="43" t="s">
        <v>198</v>
      </c>
      <c r="D147" s="80">
        <v>0</v>
      </c>
      <c r="E147" s="80">
        <v>0</v>
      </c>
      <c r="F147" s="80">
        <v>0</v>
      </c>
      <c r="G147" s="80">
        <v>0</v>
      </c>
      <c r="H147" s="80">
        <v>0</v>
      </c>
      <c r="I147" s="80">
        <v>0</v>
      </c>
      <c r="J147" s="80">
        <v>0</v>
      </c>
    </row>
    <row r="148" spans="1:10" hidden="1" x14ac:dyDescent="0.3">
      <c r="A148" s="43" t="s">
        <v>952</v>
      </c>
      <c r="B148" s="43" t="s">
        <v>967</v>
      </c>
      <c r="C148" s="43" t="s">
        <v>198</v>
      </c>
      <c r="D148" s="80">
        <v>0</v>
      </c>
      <c r="E148" s="80">
        <v>0</v>
      </c>
      <c r="F148" s="80">
        <v>0</v>
      </c>
      <c r="G148" s="80">
        <v>0</v>
      </c>
      <c r="H148" s="80">
        <v>0</v>
      </c>
      <c r="I148" s="80">
        <v>0</v>
      </c>
      <c r="J148" s="80">
        <v>0</v>
      </c>
    </row>
    <row r="149" spans="1:10" hidden="1" x14ac:dyDescent="0.3">
      <c r="A149" s="43" t="s">
        <v>237</v>
      </c>
      <c r="B149" s="43" t="s">
        <v>238</v>
      </c>
      <c r="C149" s="43" t="s">
        <v>183</v>
      </c>
      <c r="D149" s="80">
        <v>112</v>
      </c>
      <c r="E149" s="80">
        <v>112</v>
      </c>
      <c r="F149" s="80">
        <v>7</v>
      </c>
      <c r="G149" s="80">
        <v>7</v>
      </c>
      <c r="H149" s="80">
        <v>119</v>
      </c>
      <c r="I149" s="80">
        <v>119</v>
      </c>
      <c r="J149" s="80">
        <v>1</v>
      </c>
    </row>
    <row r="150" spans="1:10" hidden="1" x14ac:dyDescent="0.3">
      <c r="A150" s="43" t="s">
        <v>942</v>
      </c>
      <c r="B150" s="43" t="s">
        <v>943</v>
      </c>
      <c r="C150" s="43" t="s">
        <v>198</v>
      </c>
      <c r="D150" s="80">
        <v>0</v>
      </c>
      <c r="E150" s="80">
        <v>0</v>
      </c>
      <c r="F150" s="80">
        <v>0</v>
      </c>
      <c r="G150" s="80">
        <v>0</v>
      </c>
      <c r="H150" s="80">
        <v>0</v>
      </c>
      <c r="I150" s="80">
        <v>0</v>
      </c>
      <c r="J150" s="80">
        <v>0</v>
      </c>
    </row>
    <row r="151" spans="1:10" hidden="1" x14ac:dyDescent="0.3">
      <c r="A151" s="43" t="s">
        <v>953</v>
      </c>
      <c r="B151" s="43" t="s">
        <v>954</v>
      </c>
      <c r="C151" s="43" t="s">
        <v>198</v>
      </c>
      <c r="D151" s="80">
        <v>0</v>
      </c>
      <c r="E151" s="80">
        <v>0</v>
      </c>
      <c r="F151" s="80">
        <v>0</v>
      </c>
      <c r="G151" s="80">
        <v>0</v>
      </c>
      <c r="H151" s="80">
        <v>0</v>
      </c>
      <c r="I151" s="80">
        <v>0</v>
      </c>
      <c r="J151" s="80">
        <v>0</v>
      </c>
    </row>
    <row r="152" spans="1:10" hidden="1" x14ac:dyDescent="0.3">
      <c r="A152" s="43" t="s">
        <v>955</v>
      </c>
      <c r="B152" s="43" t="s">
        <v>956</v>
      </c>
      <c r="C152" s="43" t="s">
        <v>198</v>
      </c>
      <c r="D152" s="80">
        <v>0</v>
      </c>
      <c r="E152" s="80">
        <v>0</v>
      </c>
      <c r="F152" s="80">
        <v>0</v>
      </c>
      <c r="G152" s="80">
        <v>0</v>
      </c>
      <c r="H152" s="80">
        <v>0</v>
      </c>
      <c r="I152" s="80">
        <v>0</v>
      </c>
      <c r="J152" s="80">
        <v>0</v>
      </c>
    </row>
    <row r="153" spans="1:10" hidden="1" x14ac:dyDescent="0.3">
      <c r="A153" s="43" t="s">
        <v>957</v>
      </c>
      <c r="B153" s="43" t="s">
        <v>958</v>
      </c>
      <c r="C153" s="43" t="s">
        <v>198</v>
      </c>
      <c r="D153" s="80">
        <v>0</v>
      </c>
      <c r="E153" s="80">
        <v>0</v>
      </c>
      <c r="F153" s="80">
        <v>0</v>
      </c>
      <c r="G153" s="80">
        <v>0</v>
      </c>
      <c r="H153" s="80">
        <v>0</v>
      </c>
      <c r="I153" s="80">
        <v>0</v>
      </c>
      <c r="J153" s="80">
        <v>0</v>
      </c>
    </row>
    <row r="154" spans="1:10" hidden="1" x14ac:dyDescent="0.3">
      <c r="A154" s="43" t="s">
        <v>959</v>
      </c>
      <c r="B154" s="43" t="s">
        <v>960</v>
      </c>
      <c r="C154" s="43" t="s">
        <v>198</v>
      </c>
      <c r="D154" s="80">
        <v>0</v>
      </c>
      <c r="E154" s="80">
        <v>0</v>
      </c>
      <c r="F154" s="80">
        <v>0</v>
      </c>
      <c r="G154" s="80">
        <v>0</v>
      </c>
      <c r="H154" s="80">
        <v>0</v>
      </c>
      <c r="I154" s="80">
        <v>0</v>
      </c>
      <c r="J154" s="80">
        <v>0</v>
      </c>
    </row>
    <row r="155" spans="1:10" hidden="1" x14ac:dyDescent="0.3">
      <c r="A155" s="43" t="s">
        <v>961</v>
      </c>
      <c r="B155" s="43" t="s">
        <v>962</v>
      </c>
      <c r="C155" s="43" t="s">
        <v>198</v>
      </c>
      <c r="D155" s="80">
        <v>0</v>
      </c>
      <c r="E155" s="80">
        <v>0</v>
      </c>
      <c r="F155" s="80">
        <v>0</v>
      </c>
      <c r="G155" s="80">
        <v>0</v>
      </c>
      <c r="H155" s="80">
        <v>0</v>
      </c>
      <c r="I155" s="80">
        <v>0</v>
      </c>
      <c r="J155" s="80">
        <v>0</v>
      </c>
    </row>
    <row r="156" spans="1:10" hidden="1" x14ac:dyDescent="0.3">
      <c r="A156" s="43" t="s">
        <v>963</v>
      </c>
      <c r="B156" s="43" t="s">
        <v>968</v>
      </c>
      <c r="C156" s="43" t="s">
        <v>198</v>
      </c>
      <c r="D156" s="80">
        <v>0</v>
      </c>
      <c r="E156" s="80">
        <v>0</v>
      </c>
      <c r="F156" s="80">
        <v>0</v>
      </c>
      <c r="G156" s="80">
        <v>0</v>
      </c>
      <c r="H156" s="80">
        <v>0</v>
      </c>
      <c r="I156" s="80">
        <v>0</v>
      </c>
      <c r="J156" s="80">
        <v>0</v>
      </c>
    </row>
    <row r="157" spans="1:10" hidden="1" x14ac:dyDescent="0.3">
      <c r="A157" s="43" t="s">
        <v>964</v>
      </c>
      <c r="B157" s="43" t="s">
        <v>965</v>
      </c>
      <c r="C157" s="43" t="s">
        <v>198</v>
      </c>
      <c r="D157" s="80">
        <v>0</v>
      </c>
      <c r="E157" s="80">
        <v>0</v>
      </c>
      <c r="F157" s="80">
        <v>0</v>
      </c>
      <c r="G157" s="80">
        <v>0</v>
      </c>
      <c r="H157" s="80">
        <v>0</v>
      </c>
      <c r="I157" s="80">
        <v>0</v>
      </c>
      <c r="J157" s="80">
        <v>0</v>
      </c>
    </row>
    <row r="158" spans="1:10" hidden="1" x14ac:dyDescent="0.3">
      <c r="A158" s="43" t="s">
        <v>1016</v>
      </c>
      <c r="B158" s="43" t="s">
        <v>1017</v>
      </c>
      <c r="C158" s="43" t="s">
        <v>198</v>
      </c>
      <c r="D158" s="80">
        <v>0</v>
      </c>
      <c r="E158" s="80">
        <v>0</v>
      </c>
      <c r="F158" s="80">
        <v>0</v>
      </c>
      <c r="G158" s="80">
        <v>0</v>
      </c>
      <c r="H158" s="80">
        <v>0</v>
      </c>
      <c r="I158" s="80">
        <v>0</v>
      </c>
      <c r="J158" s="80">
        <v>0</v>
      </c>
    </row>
    <row r="159" spans="1:10" hidden="1" x14ac:dyDescent="0.3">
      <c r="A159" s="43" t="s">
        <v>1021</v>
      </c>
      <c r="B159" s="43" t="s">
        <v>1022</v>
      </c>
      <c r="C159" s="43" t="s">
        <v>198</v>
      </c>
      <c r="D159" s="80">
        <v>0</v>
      </c>
      <c r="E159" s="80">
        <v>0</v>
      </c>
      <c r="F159" s="80">
        <v>0</v>
      </c>
      <c r="G159" s="80">
        <v>0</v>
      </c>
      <c r="H159" s="80">
        <v>0</v>
      </c>
      <c r="I159" s="80">
        <v>0</v>
      </c>
      <c r="J159" s="80">
        <v>0</v>
      </c>
    </row>
    <row r="160" spans="1:10" hidden="1" x14ac:dyDescent="0.3">
      <c r="A160" s="43" t="s">
        <v>921</v>
      </c>
      <c r="B160" s="43" t="s">
        <v>938</v>
      </c>
      <c r="C160" s="43" t="s">
        <v>198</v>
      </c>
      <c r="D160" s="80">
        <v>0</v>
      </c>
      <c r="E160" s="80">
        <v>0</v>
      </c>
      <c r="F160" s="80">
        <v>0</v>
      </c>
      <c r="G160" s="80">
        <v>0</v>
      </c>
      <c r="H160" s="80">
        <v>0</v>
      </c>
      <c r="I160" s="80">
        <v>0</v>
      </c>
      <c r="J160" s="80">
        <v>0</v>
      </c>
    </row>
    <row r="161" spans="1:10" hidden="1" x14ac:dyDescent="0.3">
      <c r="A161" s="43" t="s">
        <v>922</v>
      </c>
      <c r="B161" s="43" t="s">
        <v>939</v>
      </c>
      <c r="C161" s="43" t="s">
        <v>198</v>
      </c>
      <c r="D161" s="80">
        <v>0</v>
      </c>
      <c r="E161" s="80">
        <v>0</v>
      </c>
      <c r="F161" s="80">
        <v>0</v>
      </c>
      <c r="G161" s="80">
        <v>0</v>
      </c>
      <c r="H161" s="80">
        <v>0</v>
      </c>
      <c r="I161" s="80">
        <v>0</v>
      </c>
      <c r="J161" s="80">
        <v>0</v>
      </c>
    </row>
    <row r="162" spans="1:10" hidden="1" x14ac:dyDescent="0.3">
      <c r="A162" s="43" t="s">
        <v>239</v>
      </c>
      <c r="B162" s="43" t="s">
        <v>1060</v>
      </c>
      <c r="C162" s="43" t="s">
        <v>198</v>
      </c>
      <c r="D162" s="80">
        <v>400</v>
      </c>
      <c r="E162" s="80">
        <v>8</v>
      </c>
      <c r="F162" s="80">
        <v>46</v>
      </c>
      <c r="G162" s="80">
        <v>0.92</v>
      </c>
      <c r="H162" s="80">
        <v>446</v>
      </c>
      <c r="I162" s="80">
        <v>8.92</v>
      </c>
      <c r="J162" s="80">
        <v>50</v>
      </c>
    </row>
    <row r="163" spans="1:10" hidden="1" x14ac:dyDescent="0.3">
      <c r="A163" s="43" t="s">
        <v>241</v>
      </c>
      <c r="B163" s="43" t="s">
        <v>1061</v>
      </c>
      <c r="C163" s="43" t="s">
        <v>198</v>
      </c>
      <c r="D163" s="80">
        <v>0</v>
      </c>
      <c r="E163" s="80">
        <v>0</v>
      </c>
      <c r="F163" s="80">
        <v>46</v>
      </c>
      <c r="G163" s="80">
        <v>0.92</v>
      </c>
      <c r="H163" s="80">
        <v>46</v>
      </c>
      <c r="I163" s="80">
        <v>0.92</v>
      </c>
      <c r="J163" s="80">
        <v>50</v>
      </c>
    </row>
    <row r="164" spans="1:10" hidden="1" x14ac:dyDescent="0.3">
      <c r="A164" s="43" t="s">
        <v>243</v>
      </c>
      <c r="B164" s="43" t="s">
        <v>1062</v>
      </c>
      <c r="C164" s="43" t="s">
        <v>198</v>
      </c>
      <c r="D164" s="80">
        <v>7500</v>
      </c>
      <c r="E164" s="80">
        <v>150</v>
      </c>
      <c r="F164" s="80">
        <v>46</v>
      </c>
      <c r="G164" s="80">
        <v>0.92</v>
      </c>
      <c r="H164" s="80">
        <v>7546</v>
      </c>
      <c r="I164" s="80">
        <v>150.91999999999999</v>
      </c>
      <c r="J164" s="80">
        <v>50</v>
      </c>
    </row>
    <row r="165" spans="1:10" hidden="1" x14ac:dyDescent="0.3">
      <c r="A165" s="43" t="s">
        <v>245</v>
      </c>
      <c r="B165" s="43" t="s">
        <v>1063</v>
      </c>
      <c r="C165" s="43" t="s">
        <v>198</v>
      </c>
      <c r="D165" s="80">
        <v>1300</v>
      </c>
      <c r="E165" s="80">
        <v>26</v>
      </c>
      <c r="F165" s="80">
        <v>46</v>
      </c>
      <c r="G165" s="80">
        <v>0.92</v>
      </c>
      <c r="H165" s="80">
        <v>1346</v>
      </c>
      <c r="I165" s="80">
        <v>26.92</v>
      </c>
      <c r="J165" s="80">
        <v>50</v>
      </c>
    </row>
    <row r="166" spans="1:10" hidden="1" x14ac:dyDescent="0.3">
      <c r="A166" s="43" t="s">
        <v>247</v>
      </c>
      <c r="B166" s="43" t="s">
        <v>1064</v>
      </c>
      <c r="C166" s="43" t="s">
        <v>198</v>
      </c>
      <c r="D166" s="80">
        <v>0</v>
      </c>
      <c r="E166" s="80">
        <v>0</v>
      </c>
      <c r="F166" s="80">
        <v>928</v>
      </c>
      <c r="G166" s="80">
        <v>18.559999999999999</v>
      </c>
      <c r="H166" s="80">
        <v>928</v>
      </c>
      <c r="I166" s="80">
        <v>18.559999999999999</v>
      </c>
      <c r="J166" s="80">
        <v>50</v>
      </c>
    </row>
    <row r="167" spans="1:10" hidden="1" x14ac:dyDescent="0.3">
      <c r="A167" s="43" t="s">
        <v>249</v>
      </c>
      <c r="B167" s="43" t="s">
        <v>1065</v>
      </c>
      <c r="C167" s="43" t="s">
        <v>198</v>
      </c>
      <c r="D167" s="80">
        <v>0</v>
      </c>
      <c r="E167" s="80">
        <v>0</v>
      </c>
      <c r="F167" s="80">
        <v>96</v>
      </c>
      <c r="G167" s="80">
        <v>0.96</v>
      </c>
      <c r="H167" s="80">
        <v>96</v>
      </c>
      <c r="I167" s="80">
        <v>0.96</v>
      </c>
      <c r="J167" s="80">
        <v>100</v>
      </c>
    </row>
    <row r="168" spans="1:10" hidden="1" x14ac:dyDescent="0.3">
      <c r="A168" s="43" t="s">
        <v>251</v>
      </c>
      <c r="B168" s="43" t="s">
        <v>1066</v>
      </c>
      <c r="C168" s="43" t="s">
        <v>198</v>
      </c>
      <c r="D168" s="80">
        <v>0</v>
      </c>
      <c r="E168" s="80">
        <v>0</v>
      </c>
      <c r="F168" s="80">
        <v>46</v>
      </c>
      <c r="G168" s="80">
        <v>0.92</v>
      </c>
      <c r="H168" s="80">
        <v>46</v>
      </c>
      <c r="I168" s="80">
        <v>0.92</v>
      </c>
      <c r="J168" s="80">
        <v>50</v>
      </c>
    </row>
    <row r="169" spans="1:10" hidden="1" x14ac:dyDescent="0.3">
      <c r="A169" s="43" t="s">
        <v>253</v>
      </c>
      <c r="B169" s="43" t="s">
        <v>1067</v>
      </c>
      <c r="C169" s="43" t="s">
        <v>198</v>
      </c>
      <c r="D169" s="80">
        <v>250</v>
      </c>
      <c r="E169" s="80">
        <v>5</v>
      </c>
      <c r="F169" s="80">
        <v>48</v>
      </c>
      <c r="G169" s="80">
        <v>0.96</v>
      </c>
      <c r="H169" s="80">
        <v>298</v>
      </c>
      <c r="I169" s="80">
        <v>5.96</v>
      </c>
      <c r="J169" s="80">
        <v>50</v>
      </c>
    </row>
    <row r="170" spans="1:10" hidden="1" x14ac:dyDescent="0.3">
      <c r="A170" s="43" t="s">
        <v>255</v>
      </c>
      <c r="B170" s="43" t="s">
        <v>1068</v>
      </c>
      <c r="C170" s="43" t="s">
        <v>198</v>
      </c>
      <c r="D170" s="80">
        <v>0</v>
      </c>
      <c r="E170" s="80">
        <v>0</v>
      </c>
      <c r="F170" s="80">
        <v>46</v>
      </c>
      <c r="G170" s="80">
        <v>0.92</v>
      </c>
      <c r="H170" s="80">
        <v>46</v>
      </c>
      <c r="I170" s="80">
        <v>0.92</v>
      </c>
      <c r="J170" s="80">
        <v>50</v>
      </c>
    </row>
    <row r="171" spans="1:10" hidden="1" x14ac:dyDescent="0.3">
      <c r="A171" s="43" t="s">
        <v>257</v>
      </c>
      <c r="B171" s="43" t="s">
        <v>1069</v>
      </c>
      <c r="C171" s="43" t="s">
        <v>198</v>
      </c>
      <c r="D171" s="80">
        <v>0</v>
      </c>
      <c r="E171" s="80">
        <v>0</v>
      </c>
      <c r="F171" s="80">
        <v>46</v>
      </c>
      <c r="G171" s="80">
        <v>0.92</v>
      </c>
      <c r="H171" s="80">
        <v>46</v>
      </c>
      <c r="I171" s="80">
        <v>0.92</v>
      </c>
      <c r="J171" s="80">
        <v>50</v>
      </c>
    </row>
    <row r="172" spans="1:10" hidden="1" x14ac:dyDescent="0.3">
      <c r="A172" s="43" t="s">
        <v>259</v>
      </c>
      <c r="B172" s="43" t="s">
        <v>1070</v>
      </c>
      <c r="C172" s="43" t="s">
        <v>198</v>
      </c>
      <c r="D172" s="80">
        <v>150</v>
      </c>
      <c r="E172" s="80">
        <v>3</v>
      </c>
      <c r="F172" s="80">
        <v>0</v>
      </c>
      <c r="G172" s="80">
        <v>0</v>
      </c>
      <c r="H172" s="80">
        <v>150</v>
      </c>
      <c r="I172" s="80">
        <v>3</v>
      </c>
      <c r="J172" s="80">
        <v>50</v>
      </c>
    </row>
    <row r="173" spans="1:10" hidden="1" x14ac:dyDescent="0.3">
      <c r="A173" s="43" t="s">
        <v>261</v>
      </c>
      <c r="B173" s="43" t="s">
        <v>1071</v>
      </c>
      <c r="C173" s="43" t="s">
        <v>198</v>
      </c>
      <c r="D173" s="80">
        <v>0</v>
      </c>
      <c r="E173" s="80">
        <v>0</v>
      </c>
      <c r="F173" s="80">
        <v>99</v>
      </c>
      <c r="G173" s="80">
        <v>0.99</v>
      </c>
      <c r="H173" s="80">
        <v>99</v>
      </c>
      <c r="I173" s="80">
        <v>0.99</v>
      </c>
      <c r="J173" s="80">
        <v>100</v>
      </c>
    </row>
    <row r="174" spans="1:10" hidden="1" x14ac:dyDescent="0.3">
      <c r="A174" s="43" t="s">
        <v>263</v>
      </c>
      <c r="B174" s="43" t="s">
        <v>1072</v>
      </c>
      <c r="C174" s="43" t="s">
        <v>198</v>
      </c>
      <c r="D174" s="80">
        <v>200</v>
      </c>
      <c r="E174" s="80">
        <v>4</v>
      </c>
      <c r="F174" s="80">
        <v>46</v>
      </c>
      <c r="G174" s="80">
        <v>0.92</v>
      </c>
      <c r="H174" s="80">
        <v>246</v>
      </c>
      <c r="I174" s="80">
        <v>4.92</v>
      </c>
      <c r="J174" s="80">
        <v>50</v>
      </c>
    </row>
    <row r="175" spans="1:10" hidden="1" x14ac:dyDescent="0.3">
      <c r="A175" s="43" t="s">
        <v>265</v>
      </c>
      <c r="B175" s="43" t="s">
        <v>1073</v>
      </c>
      <c r="C175" s="43" t="s">
        <v>198</v>
      </c>
      <c r="D175" s="80">
        <v>0</v>
      </c>
      <c r="E175" s="80">
        <v>0</v>
      </c>
      <c r="F175" s="80">
        <v>48</v>
      </c>
      <c r="G175" s="80">
        <v>0.96</v>
      </c>
      <c r="H175" s="80">
        <v>48</v>
      </c>
      <c r="I175" s="80">
        <v>0.96</v>
      </c>
      <c r="J175" s="80">
        <v>50</v>
      </c>
    </row>
    <row r="176" spans="1:10" hidden="1" x14ac:dyDescent="0.3">
      <c r="A176" s="43" t="s">
        <v>267</v>
      </c>
      <c r="B176" s="43" t="s">
        <v>1074</v>
      </c>
      <c r="C176" s="43" t="s">
        <v>198</v>
      </c>
      <c r="D176" s="80">
        <v>0</v>
      </c>
      <c r="E176" s="80">
        <v>0</v>
      </c>
      <c r="F176" s="80">
        <v>28</v>
      </c>
      <c r="G176" s="80">
        <v>0.56000000000000005</v>
      </c>
      <c r="H176" s="80">
        <v>28</v>
      </c>
      <c r="I176" s="80">
        <v>0.56000000000000005</v>
      </c>
      <c r="J176" s="80">
        <v>50</v>
      </c>
    </row>
    <row r="177" spans="1:10" hidden="1" x14ac:dyDescent="0.3">
      <c r="A177" s="43" t="s">
        <v>269</v>
      </c>
      <c r="B177" s="43" t="s">
        <v>1075</v>
      </c>
      <c r="C177" s="43" t="s">
        <v>198</v>
      </c>
      <c r="D177" s="80">
        <v>13600</v>
      </c>
      <c r="E177" s="80">
        <v>272</v>
      </c>
      <c r="F177" s="80">
        <v>28</v>
      </c>
      <c r="G177" s="80">
        <v>0.56000000000000005</v>
      </c>
      <c r="H177" s="80">
        <v>13628</v>
      </c>
      <c r="I177" s="80">
        <v>272.56</v>
      </c>
      <c r="J177" s="80">
        <v>50</v>
      </c>
    </row>
    <row r="178" spans="1:10" hidden="1" x14ac:dyDescent="0.3">
      <c r="A178" s="43" t="s">
        <v>271</v>
      </c>
      <c r="B178" s="43" t="s">
        <v>1076</v>
      </c>
      <c r="C178" s="43" t="s">
        <v>198</v>
      </c>
      <c r="D178" s="80">
        <v>5900</v>
      </c>
      <c r="E178" s="80">
        <v>118</v>
      </c>
      <c r="F178" s="80">
        <v>29</v>
      </c>
      <c r="G178" s="80">
        <v>0.57999999999999996</v>
      </c>
      <c r="H178" s="80">
        <v>5929</v>
      </c>
      <c r="I178" s="80">
        <v>118.58</v>
      </c>
      <c r="J178" s="80">
        <v>50</v>
      </c>
    </row>
    <row r="179" spans="1:10" hidden="1" x14ac:dyDescent="0.3">
      <c r="A179" s="43" t="s">
        <v>273</v>
      </c>
      <c r="B179" s="43" t="s">
        <v>1077</v>
      </c>
      <c r="C179" s="43" t="s">
        <v>198</v>
      </c>
      <c r="D179" s="80">
        <v>0</v>
      </c>
      <c r="E179" s="80">
        <v>0</v>
      </c>
      <c r="F179" s="80">
        <v>46</v>
      </c>
      <c r="G179" s="80">
        <v>0.92</v>
      </c>
      <c r="H179" s="80">
        <v>46</v>
      </c>
      <c r="I179" s="80">
        <v>0.92</v>
      </c>
      <c r="J179" s="80">
        <v>50</v>
      </c>
    </row>
    <row r="180" spans="1:10" hidden="1" x14ac:dyDescent="0.3">
      <c r="A180" s="43" t="s">
        <v>275</v>
      </c>
      <c r="B180" s="43" t="s">
        <v>1078</v>
      </c>
      <c r="C180" s="43" t="s">
        <v>198</v>
      </c>
      <c r="D180" s="80">
        <v>0</v>
      </c>
      <c r="E180" s="80">
        <v>0</v>
      </c>
      <c r="F180" s="80">
        <v>196</v>
      </c>
      <c r="G180" s="80">
        <v>3.92</v>
      </c>
      <c r="H180" s="80">
        <v>196</v>
      </c>
      <c r="I180" s="80">
        <v>3.92</v>
      </c>
      <c r="J180" s="80">
        <v>50</v>
      </c>
    </row>
    <row r="181" spans="1:10" hidden="1" x14ac:dyDescent="0.3">
      <c r="A181" s="43" t="s">
        <v>277</v>
      </c>
      <c r="B181" s="43" t="s">
        <v>1079</v>
      </c>
      <c r="C181" s="43" t="s">
        <v>198</v>
      </c>
      <c r="D181" s="80">
        <v>100</v>
      </c>
      <c r="E181" s="80">
        <v>2</v>
      </c>
      <c r="F181" s="80">
        <v>43</v>
      </c>
      <c r="G181" s="80">
        <v>0.86</v>
      </c>
      <c r="H181" s="80">
        <v>143</v>
      </c>
      <c r="I181" s="80">
        <v>2.86</v>
      </c>
      <c r="J181" s="80">
        <v>50</v>
      </c>
    </row>
    <row r="182" spans="1:10" hidden="1" x14ac:dyDescent="0.3">
      <c r="A182" s="43" t="s">
        <v>279</v>
      </c>
      <c r="B182" s="43" t="s">
        <v>1080</v>
      </c>
      <c r="C182" s="43" t="s">
        <v>198</v>
      </c>
      <c r="D182" s="80">
        <v>0</v>
      </c>
      <c r="E182" s="80">
        <v>0</v>
      </c>
      <c r="F182" s="80">
        <v>46</v>
      </c>
      <c r="G182" s="80">
        <v>0.92</v>
      </c>
      <c r="H182" s="80">
        <v>46</v>
      </c>
      <c r="I182" s="80">
        <v>0.92</v>
      </c>
      <c r="J182" s="80">
        <v>50</v>
      </c>
    </row>
    <row r="183" spans="1:10" hidden="1" x14ac:dyDescent="0.3">
      <c r="A183" s="43" t="s">
        <v>281</v>
      </c>
      <c r="B183" s="43" t="s">
        <v>1081</v>
      </c>
      <c r="C183" s="43" t="s">
        <v>198</v>
      </c>
      <c r="D183" s="80">
        <v>650</v>
      </c>
      <c r="E183" s="80">
        <v>13</v>
      </c>
      <c r="F183" s="80">
        <v>46</v>
      </c>
      <c r="G183" s="80">
        <v>0.92</v>
      </c>
      <c r="H183" s="80">
        <v>696</v>
      </c>
      <c r="I183" s="80">
        <v>13.92</v>
      </c>
      <c r="J183" s="80">
        <v>50</v>
      </c>
    </row>
    <row r="184" spans="1:10" hidden="1" x14ac:dyDescent="0.3">
      <c r="A184" s="43" t="s">
        <v>283</v>
      </c>
      <c r="B184" s="43" t="s">
        <v>1082</v>
      </c>
      <c r="C184" s="43" t="s">
        <v>198</v>
      </c>
      <c r="D184" s="80">
        <v>0</v>
      </c>
      <c r="E184" s="80">
        <v>0</v>
      </c>
      <c r="F184" s="80">
        <v>235</v>
      </c>
      <c r="G184" s="80">
        <v>4.7</v>
      </c>
      <c r="H184" s="80">
        <v>235</v>
      </c>
      <c r="I184" s="80">
        <v>4.7</v>
      </c>
      <c r="J184" s="80">
        <v>50</v>
      </c>
    </row>
    <row r="185" spans="1:10" hidden="1" x14ac:dyDescent="0.3">
      <c r="A185" s="43" t="s">
        <v>285</v>
      </c>
      <c r="B185" s="43" t="s">
        <v>1083</v>
      </c>
      <c r="C185" s="43" t="s">
        <v>198</v>
      </c>
      <c r="D185" s="80">
        <v>350</v>
      </c>
      <c r="E185" s="80">
        <v>7</v>
      </c>
      <c r="F185" s="80">
        <v>387</v>
      </c>
      <c r="G185" s="80">
        <v>7.74</v>
      </c>
      <c r="H185" s="80">
        <v>737</v>
      </c>
      <c r="I185" s="80">
        <v>14.74</v>
      </c>
      <c r="J185" s="80">
        <v>50</v>
      </c>
    </row>
    <row r="186" spans="1:10" hidden="1" x14ac:dyDescent="0.3">
      <c r="A186" s="43" t="s">
        <v>287</v>
      </c>
      <c r="B186" s="43" t="s">
        <v>1084</v>
      </c>
      <c r="C186" s="43" t="s">
        <v>198</v>
      </c>
      <c r="D186" s="80">
        <v>3192</v>
      </c>
      <c r="E186" s="80">
        <v>63.84</v>
      </c>
      <c r="F186" s="80">
        <v>48</v>
      </c>
      <c r="G186" s="80">
        <v>0.96</v>
      </c>
      <c r="H186" s="80">
        <v>3240</v>
      </c>
      <c r="I186" s="80">
        <v>64.8</v>
      </c>
      <c r="J186" s="80">
        <v>50</v>
      </c>
    </row>
    <row r="187" spans="1:10" hidden="1" x14ac:dyDescent="0.3">
      <c r="A187" s="43" t="s">
        <v>289</v>
      </c>
      <c r="B187" s="43" t="s">
        <v>1085</v>
      </c>
      <c r="C187" s="43" t="s">
        <v>198</v>
      </c>
      <c r="D187" s="80">
        <v>250</v>
      </c>
      <c r="E187" s="80">
        <v>5</v>
      </c>
      <c r="F187" s="80">
        <v>48</v>
      </c>
      <c r="G187" s="80">
        <v>0.96</v>
      </c>
      <c r="H187" s="80">
        <v>298</v>
      </c>
      <c r="I187" s="80">
        <v>5.96</v>
      </c>
      <c r="J187" s="80">
        <v>50</v>
      </c>
    </row>
    <row r="188" spans="1:10" hidden="1" x14ac:dyDescent="0.3">
      <c r="A188" s="43" t="s">
        <v>978</v>
      </c>
      <c r="B188" s="43" t="s">
        <v>979</v>
      </c>
      <c r="C188" s="43" t="s">
        <v>198</v>
      </c>
      <c r="D188" s="80">
        <v>0</v>
      </c>
      <c r="E188" s="80">
        <v>0</v>
      </c>
      <c r="F188" s="80">
        <v>0</v>
      </c>
      <c r="G188" s="80">
        <v>0</v>
      </c>
      <c r="H188" s="80">
        <v>0</v>
      </c>
      <c r="I188" s="80">
        <v>0</v>
      </c>
      <c r="J188" s="80">
        <v>0</v>
      </c>
    </row>
    <row r="189" spans="1:10" hidden="1" x14ac:dyDescent="0.3">
      <c r="A189" s="43" t="s">
        <v>980</v>
      </c>
      <c r="B189" s="43" t="s">
        <v>981</v>
      </c>
      <c r="C189" s="43" t="s">
        <v>198</v>
      </c>
      <c r="D189" s="80">
        <v>0</v>
      </c>
      <c r="E189" s="80">
        <v>0</v>
      </c>
      <c r="F189" s="80">
        <v>0</v>
      </c>
      <c r="G189" s="80">
        <v>0</v>
      </c>
      <c r="H189" s="80">
        <v>0</v>
      </c>
      <c r="I189" s="80">
        <v>0</v>
      </c>
      <c r="J189" s="80">
        <v>0</v>
      </c>
    </row>
    <row r="190" spans="1:10" hidden="1" x14ac:dyDescent="0.3">
      <c r="A190" s="43" t="s">
        <v>1086</v>
      </c>
      <c r="B190" s="43" t="s">
        <v>1087</v>
      </c>
      <c r="C190" s="43" t="s">
        <v>198</v>
      </c>
      <c r="D190" s="80">
        <v>432</v>
      </c>
      <c r="E190" s="80">
        <v>9</v>
      </c>
      <c r="F190" s="80">
        <v>45</v>
      </c>
      <c r="G190" s="80">
        <v>0.9375</v>
      </c>
      <c r="H190" s="80">
        <v>477</v>
      </c>
      <c r="I190" s="80">
        <v>9.9375</v>
      </c>
      <c r="J190" s="80">
        <v>48</v>
      </c>
    </row>
    <row r="191" spans="1:10" hidden="1" x14ac:dyDescent="0.3">
      <c r="A191" s="43" t="s">
        <v>1088</v>
      </c>
      <c r="B191" s="43" t="s">
        <v>1089</v>
      </c>
      <c r="C191" s="43" t="s">
        <v>198</v>
      </c>
      <c r="D191" s="80">
        <v>576</v>
      </c>
      <c r="E191" s="80">
        <v>12</v>
      </c>
      <c r="F191" s="80">
        <v>45</v>
      </c>
      <c r="G191" s="80">
        <v>0.9375</v>
      </c>
      <c r="H191" s="80">
        <v>621</v>
      </c>
      <c r="I191" s="80">
        <v>12.9375</v>
      </c>
      <c r="J191" s="80">
        <v>48</v>
      </c>
    </row>
    <row r="192" spans="1:10" hidden="1" x14ac:dyDescent="0.3">
      <c r="A192" s="43" t="s">
        <v>1090</v>
      </c>
      <c r="B192" s="43" t="s">
        <v>1091</v>
      </c>
      <c r="C192" s="43" t="s">
        <v>198</v>
      </c>
      <c r="D192" s="80">
        <v>1968</v>
      </c>
      <c r="E192" s="80">
        <v>82</v>
      </c>
      <c r="F192" s="80">
        <v>21</v>
      </c>
      <c r="G192" s="80">
        <v>0.875</v>
      </c>
      <c r="H192" s="80">
        <v>1989</v>
      </c>
      <c r="I192" s="80">
        <v>82.875</v>
      </c>
      <c r="J192" s="80">
        <v>24</v>
      </c>
    </row>
    <row r="193" spans="1:10" hidden="1" x14ac:dyDescent="0.3">
      <c r="A193" s="43" t="s">
        <v>1092</v>
      </c>
      <c r="B193" s="43" t="s">
        <v>1093</v>
      </c>
      <c r="C193" s="43" t="s">
        <v>198</v>
      </c>
      <c r="D193" s="80">
        <v>2112</v>
      </c>
      <c r="E193" s="80">
        <v>88</v>
      </c>
      <c r="F193" s="80">
        <v>21</v>
      </c>
      <c r="G193" s="80">
        <v>0.875</v>
      </c>
      <c r="H193" s="80">
        <v>2133</v>
      </c>
      <c r="I193" s="80">
        <v>88.875</v>
      </c>
      <c r="J193" s="80">
        <v>24</v>
      </c>
    </row>
    <row r="194" spans="1:10" hidden="1" x14ac:dyDescent="0.3">
      <c r="A194" s="43" t="s">
        <v>1094</v>
      </c>
      <c r="B194" s="43" t="s">
        <v>1095</v>
      </c>
      <c r="C194" s="43" t="s">
        <v>198</v>
      </c>
      <c r="D194" s="80">
        <v>1848</v>
      </c>
      <c r="E194" s="80">
        <v>77</v>
      </c>
      <c r="F194" s="80">
        <v>21</v>
      </c>
      <c r="G194" s="80">
        <v>0.875</v>
      </c>
      <c r="H194" s="80">
        <v>1869</v>
      </c>
      <c r="I194" s="80">
        <v>77.875</v>
      </c>
      <c r="J194" s="80">
        <v>24</v>
      </c>
    </row>
    <row r="195" spans="1:10" hidden="1" x14ac:dyDescent="0.3">
      <c r="A195" s="43" t="s">
        <v>1096</v>
      </c>
      <c r="B195" s="43" t="s">
        <v>1097</v>
      </c>
      <c r="C195" s="43" t="s">
        <v>198</v>
      </c>
      <c r="D195" s="80">
        <v>6880</v>
      </c>
      <c r="E195" s="80">
        <v>172</v>
      </c>
      <c r="F195" s="80">
        <v>37</v>
      </c>
      <c r="G195" s="80">
        <v>0.92500000000000004</v>
      </c>
      <c r="H195" s="80">
        <v>6917</v>
      </c>
      <c r="I195" s="80">
        <v>172.92500000000001</v>
      </c>
      <c r="J195" s="80">
        <v>40</v>
      </c>
    </row>
    <row r="196" spans="1:10" hidden="1" x14ac:dyDescent="0.3">
      <c r="A196" s="43" t="s">
        <v>1098</v>
      </c>
      <c r="B196" s="43" t="s">
        <v>1099</v>
      </c>
      <c r="C196" s="43" t="s">
        <v>198</v>
      </c>
      <c r="D196" s="80">
        <v>2040</v>
      </c>
      <c r="E196" s="80">
        <v>170</v>
      </c>
      <c r="F196" s="80">
        <v>6</v>
      </c>
      <c r="G196" s="80">
        <v>0.5</v>
      </c>
      <c r="H196" s="80">
        <v>2046</v>
      </c>
      <c r="I196" s="80">
        <v>170.5</v>
      </c>
      <c r="J196" s="80">
        <v>12</v>
      </c>
    </row>
    <row r="197" spans="1:10" hidden="1" x14ac:dyDescent="0.3">
      <c r="A197" s="43" t="s">
        <v>1100</v>
      </c>
      <c r="B197" s="43" t="s">
        <v>1101</v>
      </c>
      <c r="C197" s="43" t="s">
        <v>198</v>
      </c>
      <c r="D197" s="80">
        <v>1812</v>
      </c>
      <c r="E197" s="80">
        <v>151</v>
      </c>
      <c r="F197" s="80">
        <v>9</v>
      </c>
      <c r="G197" s="80">
        <v>0.75</v>
      </c>
      <c r="H197" s="80">
        <v>1821</v>
      </c>
      <c r="I197" s="80">
        <v>151.75</v>
      </c>
      <c r="J197" s="80">
        <v>12</v>
      </c>
    </row>
    <row r="198" spans="1:10" hidden="1" x14ac:dyDescent="0.3">
      <c r="A198" s="43" t="s">
        <v>1102</v>
      </c>
      <c r="B198" s="43" t="s">
        <v>1103</v>
      </c>
      <c r="C198" s="43" t="s">
        <v>198</v>
      </c>
      <c r="D198" s="80">
        <v>840</v>
      </c>
      <c r="E198" s="80">
        <v>70</v>
      </c>
      <c r="F198" s="80">
        <v>6</v>
      </c>
      <c r="G198" s="80">
        <v>0.5</v>
      </c>
      <c r="H198" s="80">
        <v>846</v>
      </c>
      <c r="I198" s="80">
        <v>70.5</v>
      </c>
      <c r="J198" s="80">
        <v>12</v>
      </c>
    </row>
    <row r="199" spans="1:10" hidden="1" x14ac:dyDescent="0.3">
      <c r="A199" s="43" t="s">
        <v>1104</v>
      </c>
      <c r="B199" s="43" t="s">
        <v>1105</v>
      </c>
      <c r="C199" s="43" t="s">
        <v>198</v>
      </c>
      <c r="D199" s="80">
        <v>0</v>
      </c>
      <c r="E199" s="80">
        <v>0</v>
      </c>
      <c r="F199" s="80">
        <v>37</v>
      </c>
      <c r="G199" s="80">
        <v>0.92500000000000004</v>
      </c>
      <c r="H199" s="80">
        <v>37</v>
      </c>
      <c r="I199" s="80">
        <v>0.92500000000000004</v>
      </c>
      <c r="J199" s="80">
        <v>40</v>
      </c>
    </row>
    <row r="200" spans="1:10" hidden="1" x14ac:dyDescent="0.3">
      <c r="A200" s="43" t="s">
        <v>1106</v>
      </c>
      <c r="B200" s="43" t="s">
        <v>1107</v>
      </c>
      <c r="C200" s="43" t="s">
        <v>198</v>
      </c>
      <c r="D200" s="80">
        <v>4656</v>
      </c>
      <c r="E200" s="80">
        <v>194</v>
      </c>
      <c r="F200" s="80">
        <v>21</v>
      </c>
      <c r="G200" s="80">
        <v>0.875</v>
      </c>
      <c r="H200" s="80">
        <v>4677</v>
      </c>
      <c r="I200" s="80">
        <v>194.875</v>
      </c>
      <c r="J200" s="80">
        <v>24</v>
      </c>
    </row>
    <row r="201" spans="1:10" hidden="1" x14ac:dyDescent="0.3">
      <c r="A201" s="43" t="s">
        <v>1108</v>
      </c>
      <c r="B201" s="43" t="s">
        <v>1109</v>
      </c>
      <c r="C201" s="43" t="s">
        <v>198</v>
      </c>
      <c r="D201" s="80">
        <v>0</v>
      </c>
      <c r="E201" s="80">
        <v>0</v>
      </c>
      <c r="F201" s="80">
        <v>21</v>
      </c>
      <c r="G201" s="80">
        <v>0.875</v>
      </c>
      <c r="H201" s="80">
        <v>21</v>
      </c>
      <c r="I201" s="80">
        <v>0.875</v>
      </c>
      <c r="J201" s="80">
        <v>24</v>
      </c>
    </row>
    <row r="202" spans="1:10" hidden="1" x14ac:dyDescent="0.3">
      <c r="A202" s="43" t="s">
        <v>1110</v>
      </c>
      <c r="B202" s="43" t="s">
        <v>1111</v>
      </c>
      <c r="C202" s="43" t="s">
        <v>198</v>
      </c>
      <c r="D202" s="80">
        <v>48</v>
      </c>
      <c r="E202" s="80">
        <v>2</v>
      </c>
      <c r="F202" s="80">
        <v>21</v>
      </c>
      <c r="G202" s="80">
        <v>0.875</v>
      </c>
      <c r="H202" s="80">
        <v>69</v>
      </c>
      <c r="I202" s="80">
        <v>2.875</v>
      </c>
      <c r="J202" s="80">
        <v>24</v>
      </c>
    </row>
    <row r="203" spans="1:10" hidden="1" x14ac:dyDescent="0.3">
      <c r="A203" s="43" t="s">
        <v>1112</v>
      </c>
      <c r="B203" s="43" t="s">
        <v>1113</v>
      </c>
      <c r="C203" s="43" t="s">
        <v>198</v>
      </c>
      <c r="D203" s="80">
        <v>1284</v>
      </c>
      <c r="E203" s="80">
        <v>107</v>
      </c>
      <c r="F203" s="80">
        <v>9</v>
      </c>
      <c r="G203" s="80">
        <v>0.75</v>
      </c>
      <c r="H203" s="80">
        <v>1293</v>
      </c>
      <c r="I203" s="80">
        <v>107.75</v>
      </c>
      <c r="J203" s="80">
        <v>12</v>
      </c>
    </row>
    <row r="204" spans="1:10" hidden="1" x14ac:dyDescent="0.3">
      <c r="A204" s="43" t="s">
        <v>1114</v>
      </c>
      <c r="B204" s="43" t="s">
        <v>1113</v>
      </c>
      <c r="C204" s="43" t="s">
        <v>198</v>
      </c>
      <c r="D204" s="80">
        <v>1056</v>
      </c>
      <c r="E204" s="80">
        <v>88</v>
      </c>
      <c r="F204" s="80">
        <v>6</v>
      </c>
      <c r="G204" s="80">
        <v>0.5</v>
      </c>
      <c r="H204" s="80">
        <v>1062</v>
      </c>
      <c r="I204" s="80">
        <v>88.5</v>
      </c>
      <c r="J204" s="80">
        <v>12</v>
      </c>
    </row>
    <row r="205" spans="1:10" hidden="1" x14ac:dyDescent="0.3">
      <c r="A205" s="43" t="s">
        <v>1115</v>
      </c>
      <c r="B205" s="43" t="s">
        <v>1116</v>
      </c>
      <c r="C205" s="43" t="s">
        <v>198</v>
      </c>
      <c r="D205" s="80">
        <v>0</v>
      </c>
      <c r="E205" s="80">
        <v>0</v>
      </c>
      <c r="F205" s="80">
        <v>18</v>
      </c>
      <c r="G205" s="80">
        <v>0.75</v>
      </c>
      <c r="H205" s="80">
        <v>18</v>
      </c>
      <c r="I205" s="80">
        <v>0.75</v>
      </c>
      <c r="J205" s="80">
        <v>24</v>
      </c>
    </row>
    <row r="206" spans="1:10" hidden="1" x14ac:dyDescent="0.3">
      <c r="A206" s="43" t="s">
        <v>1117</v>
      </c>
      <c r="B206" s="43" t="s">
        <v>1118</v>
      </c>
      <c r="C206" s="43" t="s">
        <v>198</v>
      </c>
      <c r="D206" s="80">
        <v>96</v>
      </c>
      <c r="E206" s="80">
        <v>4</v>
      </c>
      <c r="F206" s="80">
        <v>21</v>
      </c>
      <c r="G206" s="80">
        <v>0.875</v>
      </c>
      <c r="H206" s="80">
        <v>117</v>
      </c>
      <c r="I206" s="80">
        <v>4.875</v>
      </c>
      <c r="J206" s="80">
        <v>24</v>
      </c>
    </row>
    <row r="207" spans="1:10" hidden="1" x14ac:dyDescent="0.3">
      <c r="A207" s="43" t="s">
        <v>291</v>
      </c>
      <c r="B207" s="43" t="s">
        <v>1107</v>
      </c>
      <c r="C207" s="43" t="s">
        <v>198</v>
      </c>
      <c r="D207" s="80">
        <v>0</v>
      </c>
      <c r="E207" s="80">
        <v>0</v>
      </c>
      <c r="F207" s="80">
        <v>20</v>
      </c>
      <c r="G207" s="80">
        <v>0.83333000000000002</v>
      </c>
      <c r="H207" s="80">
        <v>20</v>
      </c>
      <c r="I207" s="80">
        <v>0.83333000000000002</v>
      </c>
      <c r="J207" s="80">
        <v>24</v>
      </c>
    </row>
    <row r="208" spans="1:10" hidden="1" x14ac:dyDescent="0.3">
      <c r="A208" s="43" t="s">
        <v>293</v>
      </c>
      <c r="B208" s="43" t="s">
        <v>1109</v>
      </c>
      <c r="C208" s="43" t="s">
        <v>198</v>
      </c>
      <c r="D208" s="80">
        <v>0</v>
      </c>
      <c r="E208" s="80">
        <v>0</v>
      </c>
      <c r="F208" s="80">
        <v>20</v>
      </c>
      <c r="G208" s="80">
        <v>0.83333000000000002</v>
      </c>
      <c r="H208" s="80">
        <v>20</v>
      </c>
      <c r="I208" s="80">
        <v>0.83333000000000002</v>
      </c>
      <c r="J208" s="80">
        <v>24</v>
      </c>
    </row>
    <row r="209" spans="1:10" hidden="1" x14ac:dyDescent="0.3">
      <c r="A209" s="43" t="s">
        <v>1119</v>
      </c>
      <c r="B209" s="43" t="s">
        <v>1120</v>
      </c>
      <c r="C209" s="43" t="s">
        <v>198</v>
      </c>
      <c r="D209" s="80">
        <v>1536</v>
      </c>
      <c r="E209" s="80">
        <v>32</v>
      </c>
      <c r="F209" s="80">
        <v>45</v>
      </c>
      <c r="G209" s="80">
        <v>0.9375</v>
      </c>
      <c r="H209" s="80">
        <v>1581</v>
      </c>
      <c r="I209" s="80">
        <v>32.9375</v>
      </c>
      <c r="J209" s="80">
        <v>48</v>
      </c>
    </row>
    <row r="210" spans="1:10" hidden="1" x14ac:dyDescent="0.3">
      <c r="A210" s="43" t="s">
        <v>295</v>
      </c>
      <c r="B210" s="43" t="s">
        <v>296</v>
      </c>
      <c r="C210" s="43" t="s">
        <v>186</v>
      </c>
      <c r="D210" s="80">
        <v>0</v>
      </c>
      <c r="E210" s="80">
        <v>0</v>
      </c>
      <c r="F210" s="80">
        <v>0</v>
      </c>
      <c r="G210" s="80">
        <v>0</v>
      </c>
      <c r="H210" s="80">
        <v>0</v>
      </c>
      <c r="I210" s="80">
        <v>0</v>
      </c>
      <c r="J210" s="80">
        <v>0</v>
      </c>
    </row>
    <row r="211" spans="1:10" hidden="1" x14ac:dyDescent="0.3">
      <c r="A211" s="43" t="s">
        <v>297</v>
      </c>
      <c r="B211" s="43" t="s">
        <v>298</v>
      </c>
      <c r="C211" s="43" t="s">
        <v>183</v>
      </c>
      <c r="D211" s="80">
        <v>49</v>
      </c>
      <c r="E211" s="80">
        <v>49</v>
      </c>
      <c r="F211" s="80">
        <v>1</v>
      </c>
      <c r="G211" s="80">
        <v>1</v>
      </c>
      <c r="H211" s="80">
        <v>50</v>
      </c>
      <c r="I211" s="80">
        <v>50</v>
      </c>
      <c r="J211" s="80">
        <v>1</v>
      </c>
    </row>
    <row r="212" spans="1:10" hidden="1" x14ac:dyDescent="0.3">
      <c r="A212" s="43" t="s">
        <v>299</v>
      </c>
      <c r="B212" s="43" t="s">
        <v>300</v>
      </c>
      <c r="C212" s="43" t="s">
        <v>183</v>
      </c>
      <c r="D212" s="80">
        <v>8</v>
      </c>
      <c r="E212" s="80">
        <v>8</v>
      </c>
      <c r="F212" s="80">
        <v>0</v>
      </c>
      <c r="G212" s="80">
        <v>0</v>
      </c>
      <c r="H212" s="80">
        <v>8</v>
      </c>
      <c r="I212" s="80">
        <v>8</v>
      </c>
      <c r="J212" s="80">
        <v>1</v>
      </c>
    </row>
    <row r="213" spans="1:10" hidden="1" x14ac:dyDescent="0.3">
      <c r="A213" s="43" t="s">
        <v>301</v>
      </c>
      <c r="B213" s="43" t="s">
        <v>302</v>
      </c>
      <c r="C213" s="43" t="s">
        <v>186</v>
      </c>
      <c r="D213" s="80">
        <v>0</v>
      </c>
      <c r="E213" s="80">
        <v>0</v>
      </c>
      <c r="F213" s="80">
        <v>0</v>
      </c>
      <c r="G213" s="80">
        <v>0</v>
      </c>
      <c r="H213" s="80">
        <v>0</v>
      </c>
      <c r="I213" s="80">
        <v>0</v>
      </c>
      <c r="J213" s="80">
        <v>0</v>
      </c>
    </row>
    <row r="214" spans="1:10" hidden="1" x14ac:dyDescent="0.3">
      <c r="A214" s="43" t="s">
        <v>303</v>
      </c>
      <c r="B214" s="43" t="s">
        <v>304</v>
      </c>
      <c r="C214" s="43" t="s">
        <v>183</v>
      </c>
      <c r="D214" s="80">
        <v>3071</v>
      </c>
      <c r="E214" s="80">
        <v>3071</v>
      </c>
      <c r="F214" s="80">
        <v>1</v>
      </c>
      <c r="G214" s="80">
        <v>1</v>
      </c>
      <c r="H214" s="80">
        <v>3072</v>
      </c>
      <c r="I214" s="80">
        <v>3072</v>
      </c>
      <c r="J214" s="80">
        <v>1</v>
      </c>
    </row>
    <row r="215" spans="1:10" hidden="1" x14ac:dyDescent="0.3">
      <c r="A215" s="43" t="s">
        <v>305</v>
      </c>
      <c r="B215" s="43" t="s">
        <v>306</v>
      </c>
      <c r="C215" s="43" t="s">
        <v>183</v>
      </c>
      <c r="D215" s="80">
        <v>1434</v>
      </c>
      <c r="E215" s="80">
        <v>1434</v>
      </c>
      <c r="F215" s="80">
        <v>0</v>
      </c>
      <c r="G215" s="80">
        <v>0</v>
      </c>
      <c r="H215" s="80">
        <v>1434</v>
      </c>
      <c r="I215" s="80">
        <v>1434</v>
      </c>
      <c r="J215" s="80">
        <v>1</v>
      </c>
    </row>
    <row r="216" spans="1:10" hidden="1" x14ac:dyDescent="0.3">
      <c r="A216" s="43" t="s">
        <v>307</v>
      </c>
      <c r="B216" s="43" t="s">
        <v>308</v>
      </c>
      <c r="C216" s="43" t="s">
        <v>183</v>
      </c>
      <c r="D216" s="80">
        <v>3256</v>
      </c>
      <c r="E216" s="80">
        <v>3256</v>
      </c>
      <c r="F216" s="80">
        <v>0</v>
      </c>
      <c r="G216" s="80">
        <v>0</v>
      </c>
      <c r="H216" s="80">
        <v>3256</v>
      </c>
      <c r="I216" s="80">
        <v>3256</v>
      </c>
      <c r="J216" s="80">
        <v>1</v>
      </c>
    </row>
    <row r="217" spans="1:10" hidden="1" x14ac:dyDescent="0.3">
      <c r="A217" s="43" t="s">
        <v>309</v>
      </c>
      <c r="B217" s="43" t="s">
        <v>310</v>
      </c>
      <c r="C217" s="43" t="s">
        <v>183</v>
      </c>
      <c r="D217" s="80">
        <v>1156</v>
      </c>
      <c r="E217" s="80">
        <v>1156</v>
      </c>
      <c r="F217" s="80">
        <v>2</v>
      </c>
      <c r="G217" s="80">
        <v>2</v>
      </c>
      <c r="H217" s="80">
        <v>1158</v>
      </c>
      <c r="I217" s="80">
        <v>1158</v>
      </c>
      <c r="J217" s="80">
        <v>1</v>
      </c>
    </row>
    <row r="218" spans="1:10" hidden="1" x14ac:dyDescent="0.3">
      <c r="A218" s="43" t="s">
        <v>311</v>
      </c>
      <c r="B218" s="43" t="s">
        <v>312</v>
      </c>
      <c r="C218" s="43" t="s">
        <v>183</v>
      </c>
      <c r="D218" s="80">
        <v>0</v>
      </c>
      <c r="E218" s="80">
        <v>0</v>
      </c>
      <c r="F218" s="80">
        <v>4</v>
      </c>
      <c r="G218" s="80">
        <v>4</v>
      </c>
      <c r="H218" s="80">
        <v>4</v>
      </c>
      <c r="I218" s="80">
        <v>4</v>
      </c>
      <c r="J218" s="80">
        <v>1</v>
      </c>
    </row>
    <row r="219" spans="1:10" hidden="1" x14ac:dyDescent="0.3">
      <c r="A219" s="43" t="s">
        <v>1229</v>
      </c>
      <c r="B219" s="43" t="s">
        <v>1230</v>
      </c>
      <c r="C219" s="43" t="s">
        <v>198</v>
      </c>
      <c r="D219" s="80">
        <v>0</v>
      </c>
      <c r="E219" s="80">
        <v>0</v>
      </c>
      <c r="F219" s="80">
        <v>0</v>
      </c>
      <c r="G219" s="80">
        <v>0</v>
      </c>
      <c r="H219" s="80">
        <v>0</v>
      </c>
      <c r="I219" s="80">
        <v>0</v>
      </c>
      <c r="J219" s="80">
        <v>0</v>
      </c>
    </row>
    <row r="220" spans="1:10" hidden="1" x14ac:dyDescent="0.3">
      <c r="A220" s="43" t="s">
        <v>313</v>
      </c>
      <c r="B220" s="43" t="s">
        <v>314</v>
      </c>
      <c r="C220" s="43" t="s">
        <v>183</v>
      </c>
      <c r="D220" s="80">
        <v>0</v>
      </c>
      <c r="E220" s="80">
        <v>0</v>
      </c>
      <c r="F220" s="80">
        <v>3</v>
      </c>
      <c r="G220" s="80">
        <v>3</v>
      </c>
      <c r="H220" s="80">
        <v>3</v>
      </c>
      <c r="I220" s="80">
        <v>3</v>
      </c>
      <c r="J220" s="80">
        <v>1</v>
      </c>
    </row>
    <row r="221" spans="1:10" hidden="1" x14ac:dyDescent="0.3">
      <c r="A221" s="43" t="s">
        <v>315</v>
      </c>
      <c r="B221" s="43" t="s">
        <v>316</v>
      </c>
      <c r="C221" s="43" t="s">
        <v>183</v>
      </c>
      <c r="D221" s="80">
        <v>0</v>
      </c>
      <c r="E221" s="80">
        <v>0</v>
      </c>
      <c r="F221" s="80">
        <v>0</v>
      </c>
      <c r="G221" s="80">
        <v>0</v>
      </c>
      <c r="H221" s="80">
        <v>0</v>
      </c>
      <c r="I221" s="80">
        <v>0</v>
      </c>
      <c r="J221" s="80">
        <v>1</v>
      </c>
    </row>
    <row r="222" spans="1:10" hidden="1" x14ac:dyDescent="0.3">
      <c r="A222" s="43" t="s">
        <v>933</v>
      </c>
      <c r="B222" s="43" t="s">
        <v>934</v>
      </c>
      <c r="C222" s="43" t="s">
        <v>186</v>
      </c>
      <c r="D222" s="80">
        <v>0</v>
      </c>
      <c r="E222" s="80">
        <v>0</v>
      </c>
      <c r="F222" s="80">
        <v>0</v>
      </c>
      <c r="G222" s="80">
        <v>0</v>
      </c>
      <c r="H222" s="80">
        <v>0</v>
      </c>
      <c r="I222" s="80">
        <v>0</v>
      </c>
      <c r="J222" s="80">
        <v>0</v>
      </c>
    </row>
    <row r="223" spans="1:10" hidden="1" x14ac:dyDescent="0.3">
      <c r="A223" s="43" t="s">
        <v>317</v>
      </c>
      <c r="B223" s="43" t="s">
        <v>1121</v>
      </c>
      <c r="C223" s="43" t="s">
        <v>198</v>
      </c>
      <c r="D223" s="80">
        <v>0</v>
      </c>
      <c r="E223" s="80">
        <v>0</v>
      </c>
      <c r="F223" s="80">
        <v>12</v>
      </c>
      <c r="G223" s="80">
        <v>0.5</v>
      </c>
      <c r="H223" s="80">
        <v>12</v>
      </c>
      <c r="I223" s="80">
        <v>0.5</v>
      </c>
      <c r="J223" s="80">
        <v>24</v>
      </c>
    </row>
    <row r="224" spans="1:10" hidden="1" x14ac:dyDescent="0.3">
      <c r="A224" s="43" t="s">
        <v>319</v>
      </c>
      <c r="B224" s="43" t="s">
        <v>1122</v>
      </c>
      <c r="C224" s="43" t="s">
        <v>198</v>
      </c>
      <c r="D224" s="80">
        <v>10416</v>
      </c>
      <c r="E224" s="80">
        <v>217</v>
      </c>
      <c r="F224" s="80">
        <v>0</v>
      </c>
      <c r="G224" s="80">
        <v>0</v>
      </c>
      <c r="H224" s="80">
        <v>10416</v>
      </c>
      <c r="I224" s="80">
        <v>217</v>
      </c>
      <c r="J224" s="80">
        <v>48</v>
      </c>
    </row>
    <row r="225" spans="1:10" hidden="1" x14ac:dyDescent="0.3">
      <c r="A225" s="43" t="s">
        <v>1174</v>
      </c>
      <c r="B225" s="43" t="s">
        <v>1175</v>
      </c>
      <c r="C225" s="43" t="s">
        <v>198</v>
      </c>
      <c r="D225" s="80">
        <v>144</v>
      </c>
      <c r="E225" s="80">
        <v>3</v>
      </c>
      <c r="F225" s="80">
        <v>42</v>
      </c>
      <c r="G225" s="80">
        <v>0.875</v>
      </c>
      <c r="H225" s="80">
        <v>186</v>
      </c>
      <c r="I225" s="80">
        <v>3.875</v>
      </c>
      <c r="J225" s="80">
        <v>48</v>
      </c>
    </row>
    <row r="226" spans="1:10" hidden="1" x14ac:dyDescent="0.3">
      <c r="A226" s="43" t="s">
        <v>321</v>
      </c>
      <c r="B226" s="43" t="s">
        <v>1123</v>
      </c>
      <c r="C226" s="43" t="s">
        <v>198</v>
      </c>
      <c r="D226" s="80">
        <v>11184</v>
      </c>
      <c r="E226" s="80">
        <v>233</v>
      </c>
      <c r="F226" s="80">
        <v>6</v>
      </c>
      <c r="G226" s="80">
        <v>0.125</v>
      </c>
      <c r="H226" s="80">
        <v>11190</v>
      </c>
      <c r="I226" s="80">
        <v>233.125</v>
      </c>
      <c r="J226" s="80">
        <v>48</v>
      </c>
    </row>
    <row r="227" spans="1:10" hidden="1" x14ac:dyDescent="0.3">
      <c r="A227" s="43" t="s">
        <v>323</v>
      </c>
      <c r="B227" s="43" t="s">
        <v>1124</v>
      </c>
      <c r="C227" s="43" t="s">
        <v>198</v>
      </c>
      <c r="D227" s="80">
        <v>11232</v>
      </c>
      <c r="E227" s="80">
        <v>234</v>
      </c>
      <c r="F227" s="80">
        <v>84</v>
      </c>
      <c r="G227" s="80">
        <v>1.75</v>
      </c>
      <c r="H227" s="80">
        <v>11316</v>
      </c>
      <c r="I227" s="80">
        <v>235.75</v>
      </c>
      <c r="J227" s="80">
        <v>48</v>
      </c>
    </row>
    <row r="228" spans="1:10" hidden="1" x14ac:dyDescent="0.3">
      <c r="A228" s="43" t="s">
        <v>325</v>
      </c>
      <c r="B228" s="43" t="s">
        <v>1125</v>
      </c>
      <c r="C228" s="43" t="s">
        <v>198</v>
      </c>
      <c r="D228" s="80">
        <v>5544</v>
      </c>
      <c r="E228" s="80">
        <v>231</v>
      </c>
      <c r="F228" s="80">
        <v>12</v>
      </c>
      <c r="G228" s="80">
        <v>0.5</v>
      </c>
      <c r="H228" s="80">
        <v>5556</v>
      </c>
      <c r="I228" s="80">
        <v>231.5</v>
      </c>
      <c r="J228" s="80">
        <v>24</v>
      </c>
    </row>
    <row r="229" spans="1:10" hidden="1" x14ac:dyDescent="0.3">
      <c r="A229" s="43" t="s">
        <v>327</v>
      </c>
      <c r="B229" s="43" t="s">
        <v>1126</v>
      </c>
      <c r="C229" s="43" t="s">
        <v>198</v>
      </c>
      <c r="D229" s="80">
        <v>960</v>
      </c>
      <c r="E229" s="80">
        <v>40</v>
      </c>
      <c r="F229" s="80">
        <v>18</v>
      </c>
      <c r="G229" s="80">
        <v>0.75</v>
      </c>
      <c r="H229" s="80">
        <v>978</v>
      </c>
      <c r="I229" s="80">
        <v>40.75</v>
      </c>
      <c r="J229" s="80">
        <v>24</v>
      </c>
    </row>
    <row r="230" spans="1:10" hidden="1" x14ac:dyDescent="0.3">
      <c r="A230" s="43" t="s">
        <v>329</v>
      </c>
      <c r="B230" s="43" t="s">
        <v>1127</v>
      </c>
      <c r="C230" s="43" t="s">
        <v>198</v>
      </c>
      <c r="D230" s="80">
        <v>0</v>
      </c>
      <c r="E230" s="80">
        <v>0</v>
      </c>
      <c r="F230" s="80">
        <v>18</v>
      </c>
      <c r="G230" s="80">
        <v>0.75</v>
      </c>
      <c r="H230" s="80">
        <v>18</v>
      </c>
      <c r="I230" s="80">
        <v>0.75</v>
      </c>
      <c r="J230" s="80">
        <v>24</v>
      </c>
    </row>
    <row r="231" spans="1:10" hidden="1" x14ac:dyDescent="0.3">
      <c r="A231" s="43" t="s">
        <v>331</v>
      </c>
      <c r="B231" s="43" t="s">
        <v>1128</v>
      </c>
      <c r="C231" s="43" t="s">
        <v>198</v>
      </c>
      <c r="D231" s="80">
        <v>96</v>
      </c>
      <c r="E231" s="80">
        <v>4</v>
      </c>
      <c r="F231" s="80">
        <v>0</v>
      </c>
      <c r="G231" s="80">
        <v>0</v>
      </c>
      <c r="H231" s="80">
        <v>96</v>
      </c>
      <c r="I231" s="80">
        <v>4</v>
      </c>
      <c r="J231" s="80">
        <v>24</v>
      </c>
    </row>
    <row r="232" spans="1:10" hidden="1" x14ac:dyDescent="0.3">
      <c r="A232" s="43" t="s">
        <v>333</v>
      </c>
      <c r="B232" s="43" t="s">
        <v>1129</v>
      </c>
      <c r="C232" s="43" t="s">
        <v>198</v>
      </c>
      <c r="D232" s="80">
        <v>5760</v>
      </c>
      <c r="E232" s="80">
        <v>240</v>
      </c>
      <c r="F232" s="80">
        <v>6</v>
      </c>
      <c r="G232" s="80">
        <v>0.25</v>
      </c>
      <c r="H232" s="80">
        <v>5766</v>
      </c>
      <c r="I232" s="80">
        <v>240.25</v>
      </c>
      <c r="J232" s="80">
        <v>24</v>
      </c>
    </row>
    <row r="233" spans="1:10" hidden="1" x14ac:dyDescent="0.3">
      <c r="A233" s="43" t="s">
        <v>335</v>
      </c>
      <c r="B233" s="43" t="s">
        <v>1130</v>
      </c>
      <c r="C233" s="43" t="s">
        <v>198</v>
      </c>
      <c r="D233" s="80">
        <v>50856</v>
      </c>
      <c r="E233" s="80">
        <v>2119</v>
      </c>
      <c r="F233" s="80">
        <v>12</v>
      </c>
      <c r="G233" s="80">
        <v>0.5</v>
      </c>
      <c r="H233" s="80">
        <v>50868</v>
      </c>
      <c r="I233" s="80">
        <v>2119.5</v>
      </c>
      <c r="J233" s="80">
        <v>24</v>
      </c>
    </row>
    <row r="234" spans="1:10" hidden="1" x14ac:dyDescent="0.3">
      <c r="A234" s="43" t="s">
        <v>337</v>
      </c>
      <c r="B234" s="43" t="s">
        <v>1131</v>
      </c>
      <c r="C234" s="43" t="s">
        <v>198</v>
      </c>
      <c r="D234" s="80">
        <v>0</v>
      </c>
      <c r="E234" s="80">
        <v>0</v>
      </c>
      <c r="F234" s="80">
        <v>12</v>
      </c>
      <c r="G234" s="80">
        <v>0.5</v>
      </c>
      <c r="H234" s="80">
        <v>12</v>
      </c>
      <c r="I234" s="80">
        <v>0.5</v>
      </c>
      <c r="J234" s="80">
        <v>24</v>
      </c>
    </row>
    <row r="235" spans="1:10" hidden="1" x14ac:dyDescent="0.3">
      <c r="A235" s="43" t="s">
        <v>339</v>
      </c>
      <c r="B235" s="43" t="s">
        <v>1132</v>
      </c>
      <c r="C235" s="43" t="s">
        <v>198</v>
      </c>
      <c r="D235" s="80">
        <v>12768</v>
      </c>
      <c r="E235" s="80">
        <v>532</v>
      </c>
      <c r="F235" s="80">
        <v>6</v>
      </c>
      <c r="G235" s="80">
        <v>0.25</v>
      </c>
      <c r="H235" s="80">
        <v>12774</v>
      </c>
      <c r="I235" s="80">
        <v>532.25</v>
      </c>
      <c r="J235" s="80">
        <v>24</v>
      </c>
    </row>
    <row r="236" spans="1:10" hidden="1" x14ac:dyDescent="0.3">
      <c r="A236" s="43" t="s">
        <v>341</v>
      </c>
      <c r="B236" s="43" t="s">
        <v>1109</v>
      </c>
      <c r="C236" s="43" t="s">
        <v>198</v>
      </c>
      <c r="D236" s="80">
        <v>0</v>
      </c>
      <c r="E236" s="80">
        <v>0</v>
      </c>
      <c r="F236" s="80">
        <v>8</v>
      </c>
      <c r="G236" s="80">
        <v>0.66666999999999998</v>
      </c>
      <c r="H236" s="80">
        <v>8</v>
      </c>
      <c r="I236" s="80">
        <v>0.66666999999999998</v>
      </c>
      <c r="J236" s="80">
        <v>12</v>
      </c>
    </row>
    <row r="237" spans="1:10" hidden="1" x14ac:dyDescent="0.3">
      <c r="A237" s="43" t="s">
        <v>343</v>
      </c>
      <c r="B237" s="43" t="s">
        <v>1133</v>
      </c>
      <c r="C237" s="43" t="s">
        <v>198</v>
      </c>
      <c r="D237" s="80">
        <v>15192</v>
      </c>
      <c r="E237" s="80">
        <v>633</v>
      </c>
      <c r="F237" s="80">
        <v>0</v>
      </c>
      <c r="G237" s="80">
        <v>0</v>
      </c>
      <c r="H237" s="80">
        <v>15192</v>
      </c>
      <c r="I237" s="80">
        <v>633</v>
      </c>
      <c r="J237" s="80">
        <v>24</v>
      </c>
    </row>
    <row r="238" spans="1:10" hidden="1" x14ac:dyDescent="0.3">
      <c r="A238" s="43" t="s">
        <v>345</v>
      </c>
      <c r="B238" s="43" t="s">
        <v>1134</v>
      </c>
      <c r="C238" s="43" t="s">
        <v>198</v>
      </c>
      <c r="D238" s="80">
        <v>0</v>
      </c>
      <c r="E238" s="80">
        <v>0</v>
      </c>
      <c r="F238" s="80">
        <v>18</v>
      </c>
      <c r="G238" s="80">
        <v>0.75</v>
      </c>
      <c r="H238" s="80">
        <v>18</v>
      </c>
      <c r="I238" s="80">
        <v>0.75</v>
      </c>
      <c r="J238" s="80">
        <v>24</v>
      </c>
    </row>
    <row r="239" spans="1:10" hidden="1" x14ac:dyDescent="0.3">
      <c r="A239" s="43" t="s">
        <v>347</v>
      </c>
      <c r="B239" s="43" t="s">
        <v>1135</v>
      </c>
      <c r="C239" s="43" t="s">
        <v>198</v>
      </c>
      <c r="D239" s="80">
        <v>3456</v>
      </c>
      <c r="E239" s="80">
        <v>144</v>
      </c>
      <c r="F239" s="80">
        <v>18</v>
      </c>
      <c r="G239" s="80">
        <v>0.75</v>
      </c>
      <c r="H239" s="80">
        <v>3474</v>
      </c>
      <c r="I239" s="80">
        <v>144.75</v>
      </c>
      <c r="J239" s="80">
        <v>24</v>
      </c>
    </row>
    <row r="240" spans="1:10" hidden="1" x14ac:dyDescent="0.3">
      <c r="A240" s="43" t="s">
        <v>349</v>
      </c>
      <c r="B240" s="43" t="s">
        <v>1136</v>
      </c>
      <c r="C240" s="43" t="s">
        <v>198</v>
      </c>
      <c r="D240" s="80">
        <v>75288</v>
      </c>
      <c r="E240" s="80">
        <v>3137</v>
      </c>
      <c r="F240" s="80">
        <v>24</v>
      </c>
      <c r="G240" s="80">
        <v>1</v>
      </c>
      <c r="H240" s="80">
        <v>75312</v>
      </c>
      <c r="I240" s="80">
        <v>3138</v>
      </c>
      <c r="J240" s="80">
        <v>24</v>
      </c>
    </row>
    <row r="241" spans="1:10" hidden="1" x14ac:dyDescent="0.3">
      <c r="A241" s="43" t="s">
        <v>351</v>
      </c>
      <c r="B241" s="43" t="s">
        <v>1137</v>
      </c>
      <c r="C241" s="43" t="s">
        <v>198</v>
      </c>
      <c r="D241" s="80">
        <v>1272</v>
      </c>
      <c r="E241" s="80">
        <v>53</v>
      </c>
      <c r="F241" s="80">
        <v>12</v>
      </c>
      <c r="G241" s="80">
        <v>0.5</v>
      </c>
      <c r="H241" s="80">
        <v>1284</v>
      </c>
      <c r="I241" s="80">
        <v>53.5</v>
      </c>
      <c r="J241" s="80">
        <v>24</v>
      </c>
    </row>
    <row r="242" spans="1:10" hidden="1" x14ac:dyDescent="0.3">
      <c r="A242" s="43" t="s">
        <v>353</v>
      </c>
      <c r="B242" s="43" t="s">
        <v>1138</v>
      </c>
      <c r="C242" s="43" t="s">
        <v>198</v>
      </c>
      <c r="D242" s="80">
        <v>0</v>
      </c>
      <c r="E242" s="80">
        <v>0</v>
      </c>
      <c r="F242" s="80">
        <v>12</v>
      </c>
      <c r="G242" s="80">
        <v>0.5</v>
      </c>
      <c r="H242" s="80">
        <v>12</v>
      </c>
      <c r="I242" s="80">
        <v>0.5</v>
      </c>
      <c r="J242" s="80">
        <v>24</v>
      </c>
    </row>
    <row r="243" spans="1:10" hidden="1" x14ac:dyDescent="0.3">
      <c r="A243" s="43" t="s">
        <v>1139</v>
      </c>
      <c r="B243" s="43" t="s">
        <v>1140</v>
      </c>
      <c r="C243" s="43" t="s">
        <v>198</v>
      </c>
      <c r="D243" s="80">
        <v>0</v>
      </c>
      <c r="E243" s="80">
        <v>0</v>
      </c>
      <c r="F243" s="80">
        <v>6</v>
      </c>
      <c r="G243" s="80">
        <v>0.5</v>
      </c>
      <c r="H243" s="80">
        <v>6</v>
      </c>
      <c r="I243" s="80">
        <v>0.5</v>
      </c>
      <c r="J243" s="80">
        <v>12</v>
      </c>
    </row>
    <row r="244" spans="1:10" hidden="1" x14ac:dyDescent="0.3">
      <c r="A244" s="43" t="s">
        <v>1141</v>
      </c>
      <c r="B244" s="43" t="s">
        <v>1142</v>
      </c>
      <c r="C244" s="43" t="s">
        <v>198</v>
      </c>
      <c r="D244" s="80">
        <v>0</v>
      </c>
      <c r="E244" s="80">
        <v>0</v>
      </c>
      <c r="F244" s="80">
        <v>18</v>
      </c>
      <c r="G244" s="80">
        <v>0.75</v>
      </c>
      <c r="H244" s="80">
        <v>18</v>
      </c>
      <c r="I244" s="80">
        <v>0.75</v>
      </c>
      <c r="J244" s="80">
        <v>24</v>
      </c>
    </row>
    <row r="245" spans="1:10" hidden="1" x14ac:dyDescent="0.3">
      <c r="A245" s="43" t="s">
        <v>1143</v>
      </c>
      <c r="B245" s="43" t="s">
        <v>1144</v>
      </c>
      <c r="C245" s="43" t="s">
        <v>198</v>
      </c>
      <c r="D245" s="80">
        <v>408</v>
      </c>
      <c r="E245" s="80">
        <v>17</v>
      </c>
      <c r="F245" s="80">
        <v>21</v>
      </c>
      <c r="G245" s="80">
        <v>0.875</v>
      </c>
      <c r="H245" s="80">
        <v>429</v>
      </c>
      <c r="I245" s="80">
        <v>17.875</v>
      </c>
      <c r="J245" s="80">
        <v>24</v>
      </c>
    </row>
    <row r="246" spans="1:10" hidden="1" x14ac:dyDescent="0.3">
      <c r="A246" s="43" t="s">
        <v>1145</v>
      </c>
      <c r="B246" s="43" t="s">
        <v>1146</v>
      </c>
      <c r="C246" s="43" t="s">
        <v>198</v>
      </c>
      <c r="D246" s="80">
        <v>108</v>
      </c>
      <c r="E246" s="80">
        <v>9</v>
      </c>
      <c r="F246" s="80">
        <v>0</v>
      </c>
      <c r="G246" s="80">
        <v>0</v>
      </c>
      <c r="H246" s="80">
        <v>108</v>
      </c>
      <c r="I246" s="80">
        <v>9</v>
      </c>
      <c r="J246" s="80">
        <v>12</v>
      </c>
    </row>
    <row r="247" spans="1:10" hidden="1" x14ac:dyDescent="0.3">
      <c r="A247" s="43" t="s">
        <v>1147</v>
      </c>
      <c r="B247" s="43" t="s">
        <v>1148</v>
      </c>
      <c r="C247" s="43" t="s">
        <v>198</v>
      </c>
      <c r="D247" s="80">
        <v>0</v>
      </c>
      <c r="E247" s="80">
        <v>0</v>
      </c>
      <c r="F247" s="80">
        <v>6</v>
      </c>
      <c r="G247" s="80">
        <v>0.5</v>
      </c>
      <c r="H247" s="80">
        <v>6</v>
      </c>
      <c r="I247" s="80">
        <v>0.5</v>
      </c>
      <c r="J247" s="80">
        <v>12</v>
      </c>
    </row>
    <row r="248" spans="1:10" hidden="1" x14ac:dyDescent="0.3">
      <c r="A248" s="43" t="s">
        <v>1149</v>
      </c>
      <c r="B248" s="43" t="s">
        <v>1150</v>
      </c>
      <c r="C248" s="43" t="s">
        <v>198</v>
      </c>
      <c r="D248" s="80">
        <v>432</v>
      </c>
      <c r="E248" s="80">
        <v>36</v>
      </c>
      <c r="F248" s="80">
        <v>9</v>
      </c>
      <c r="G248" s="80">
        <v>0.75</v>
      </c>
      <c r="H248" s="80">
        <v>441</v>
      </c>
      <c r="I248" s="80">
        <v>36.75</v>
      </c>
      <c r="J248" s="80">
        <v>12</v>
      </c>
    </row>
    <row r="249" spans="1:10" hidden="1" x14ac:dyDescent="0.3">
      <c r="A249" s="43" t="s">
        <v>1151</v>
      </c>
      <c r="B249" s="43" t="s">
        <v>1111</v>
      </c>
      <c r="C249" s="43" t="s">
        <v>198</v>
      </c>
      <c r="D249" s="80">
        <v>0</v>
      </c>
      <c r="E249" s="80">
        <v>0</v>
      </c>
      <c r="F249" s="80">
        <v>18</v>
      </c>
      <c r="G249" s="80">
        <v>0.75</v>
      </c>
      <c r="H249" s="80">
        <v>18</v>
      </c>
      <c r="I249" s="80">
        <v>0.75</v>
      </c>
      <c r="J249" s="80">
        <v>24</v>
      </c>
    </row>
    <row r="250" spans="1:10" hidden="1" x14ac:dyDescent="0.3">
      <c r="A250" s="43" t="s">
        <v>1152</v>
      </c>
      <c r="B250" s="43" t="s">
        <v>1153</v>
      </c>
      <c r="C250" s="43" t="s">
        <v>198</v>
      </c>
      <c r="D250" s="80">
        <v>0</v>
      </c>
      <c r="E250" s="80">
        <v>0</v>
      </c>
      <c r="F250" s="80">
        <v>0</v>
      </c>
      <c r="G250" s="80">
        <v>0</v>
      </c>
      <c r="H250" s="80">
        <v>0</v>
      </c>
      <c r="I250" s="80">
        <v>0</v>
      </c>
      <c r="J250" s="80">
        <v>12</v>
      </c>
    </row>
    <row r="251" spans="1:10" hidden="1" x14ac:dyDescent="0.3">
      <c r="A251" s="43" t="s">
        <v>1154</v>
      </c>
      <c r="B251" s="43" t="s">
        <v>1155</v>
      </c>
      <c r="C251" s="43" t="s">
        <v>198</v>
      </c>
      <c r="D251" s="80">
        <v>132</v>
      </c>
      <c r="E251" s="80">
        <v>11</v>
      </c>
      <c r="F251" s="80">
        <v>9</v>
      </c>
      <c r="G251" s="80">
        <v>0.75</v>
      </c>
      <c r="H251" s="80">
        <v>141</v>
      </c>
      <c r="I251" s="80">
        <v>11.75</v>
      </c>
      <c r="J251" s="80">
        <v>12</v>
      </c>
    </row>
    <row r="252" spans="1:10" hidden="1" x14ac:dyDescent="0.3">
      <c r="A252" s="43" t="s">
        <v>1156</v>
      </c>
      <c r="B252" s="43" t="s">
        <v>1157</v>
      </c>
      <c r="C252" s="43" t="s">
        <v>198</v>
      </c>
      <c r="D252" s="80">
        <v>0</v>
      </c>
      <c r="E252" s="80">
        <v>0</v>
      </c>
      <c r="F252" s="80">
        <v>0</v>
      </c>
      <c r="G252" s="80">
        <v>0</v>
      </c>
      <c r="H252" s="80">
        <v>0</v>
      </c>
      <c r="I252" s="80">
        <v>0</v>
      </c>
      <c r="J252" s="80">
        <v>12</v>
      </c>
    </row>
    <row r="253" spans="1:10" hidden="1" x14ac:dyDescent="0.3">
      <c r="A253" s="43" t="s">
        <v>1158</v>
      </c>
      <c r="B253" s="43" t="s">
        <v>1109</v>
      </c>
      <c r="C253" s="43" t="s">
        <v>198</v>
      </c>
      <c r="D253" s="80">
        <v>2916</v>
      </c>
      <c r="E253" s="80">
        <v>243</v>
      </c>
      <c r="F253" s="80">
        <v>9</v>
      </c>
      <c r="G253" s="80">
        <v>0.75</v>
      </c>
      <c r="H253" s="80">
        <v>2925</v>
      </c>
      <c r="I253" s="80">
        <v>243.75</v>
      </c>
      <c r="J253" s="80">
        <v>12</v>
      </c>
    </row>
    <row r="254" spans="1:10" hidden="1" x14ac:dyDescent="0.3">
      <c r="A254" s="43" t="s">
        <v>1159</v>
      </c>
      <c r="B254" s="43" t="s">
        <v>1160</v>
      </c>
      <c r="C254" s="43" t="s">
        <v>198</v>
      </c>
      <c r="D254" s="80">
        <v>0</v>
      </c>
      <c r="E254" s="80">
        <v>0</v>
      </c>
      <c r="F254" s="80">
        <v>9</v>
      </c>
      <c r="G254" s="80">
        <v>0.75</v>
      </c>
      <c r="H254" s="80">
        <v>9</v>
      </c>
      <c r="I254" s="80">
        <v>0.75</v>
      </c>
      <c r="J254" s="80">
        <v>12</v>
      </c>
    </row>
    <row r="255" spans="1:10" hidden="1" x14ac:dyDescent="0.3">
      <c r="A255" s="43" t="s">
        <v>1161</v>
      </c>
      <c r="B255" s="43" t="s">
        <v>1162</v>
      </c>
      <c r="C255" s="43" t="s">
        <v>198</v>
      </c>
      <c r="D255" s="80">
        <v>0</v>
      </c>
      <c r="E255" s="80">
        <v>0</v>
      </c>
      <c r="F255" s="80">
        <v>6</v>
      </c>
      <c r="G255" s="80">
        <v>0.5</v>
      </c>
      <c r="H255" s="80">
        <v>6</v>
      </c>
      <c r="I255" s="80">
        <v>0.5</v>
      </c>
      <c r="J255" s="80">
        <v>12</v>
      </c>
    </row>
    <row r="256" spans="1:10" hidden="1" x14ac:dyDescent="0.3">
      <c r="A256" s="43" t="s">
        <v>355</v>
      </c>
      <c r="B256" s="43" t="s">
        <v>1163</v>
      </c>
      <c r="C256" s="43" t="s">
        <v>198</v>
      </c>
      <c r="D256" s="80">
        <v>2136</v>
      </c>
      <c r="E256" s="80">
        <v>89</v>
      </c>
      <c r="F256" s="80">
        <v>18</v>
      </c>
      <c r="G256" s="80">
        <v>0.75</v>
      </c>
      <c r="H256" s="80">
        <v>2154</v>
      </c>
      <c r="I256" s="80">
        <v>89.75</v>
      </c>
      <c r="J256" s="80">
        <v>24</v>
      </c>
    </row>
    <row r="257" spans="1:10" hidden="1" x14ac:dyDescent="0.3">
      <c r="A257" s="43" t="s">
        <v>1164</v>
      </c>
      <c r="B257" s="43" t="s">
        <v>1165</v>
      </c>
      <c r="C257" s="43" t="s">
        <v>198</v>
      </c>
      <c r="D257" s="80">
        <v>96</v>
      </c>
      <c r="E257" s="80">
        <v>8</v>
      </c>
      <c r="F257" s="80">
        <v>9</v>
      </c>
      <c r="G257" s="80">
        <v>0.75</v>
      </c>
      <c r="H257" s="80">
        <v>105</v>
      </c>
      <c r="I257" s="80">
        <v>8.75</v>
      </c>
      <c r="J257" s="80">
        <v>12</v>
      </c>
    </row>
    <row r="258" spans="1:10" hidden="1" x14ac:dyDescent="0.3">
      <c r="A258" s="43" t="s">
        <v>357</v>
      </c>
      <c r="B258" s="43" t="s">
        <v>1166</v>
      </c>
      <c r="C258" s="43" t="s">
        <v>198</v>
      </c>
      <c r="D258" s="80">
        <v>0</v>
      </c>
      <c r="E258" s="80">
        <v>0</v>
      </c>
      <c r="F258" s="80">
        <v>12</v>
      </c>
      <c r="G258" s="80">
        <v>0.5</v>
      </c>
      <c r="H258" s="80">
        <v>12</v>
      </c>
      <c r="I258" s="80">
        <v>0.5</v>
      </c>
      <c r="J258" s="80">
        <v>24</v>
      </c>
    </row>
    <row r="259" spans="1:10" hidden="1" x14ac:dyDescent="0.3">
      <c r="A259" s="43" t="s">
        <v>359</v>
      </c>
      <c r="B259" s="43" t="s">
        <v>1167</v>
      </c>
      <c r="C259" s="43" t="s">
        <v>198</v>
      </c>
      <c r="D259" s="80">
        <v>12264</v>
      </c>
      <c r="E259" s="80">
        <v>511</v>
      </c>
      <c r="F259" s="80">
        <v>12</v>
      </c>
      <c r="G259" s="80">
        <v>0.5</v>
      </c>
      <c r="H259" s="80">
        <v>12276</v>
      </c>
      <c r="I259" s="80">
        <v>511.5</v>
      </c>
      <c r="J259" s="80">
        <v>24</v>
      </c>
    </row>
    <row r="260" spans="1:10" hidden="1" x14ac:dyDescent="0.3">
      <c r="A260" s="43" t="s">
        <v>361</v>
      </c>
      <c r="B260" s="43" t="s">
        <v>1168</v>
      </c>
      <c r="C260" s="43" t="s">
        <v>198</v>
      </c>
      <c r="D260" s="80">
        <v>0</v>
      </c>
      <c r="E260" s="80">
        <v>0</v>
      </c>
      <c r="F260" s="80">
        <v>18</v>
      </c>
      <c r="G260" s="80">
        <v>0.75</v>
      </c>
      <c r="H260" s="80">
        <v>18</v>
      </c>
      <c r="I260" s="80">
        <v>0.75</v>
      </c>
      <c r="J260" s="80">
        <v>24</v>
      </c>
    </row>
    <row r="261" spans="1:10" hidden="1" x14ac:dyDescent="0.3">
      <c r="A261" s="43" t="s">
        <v>363</v>
      </c>
      <c r="B261" s="43" t="s">
        <v>1169</v>
      </c>
      <c r="C261" s="43" t="s">
        <v>198</v>
      </c>
      <c r="D261" s="80">
        <v>10512</v>
      </c>
      <c r="E261" s="80">
        <v>219</v>
      </c>
      <c r="F261" s="80">
        <v>42</v>
      </c>
      <c r="G261" s="80">
        <v>0.875</v>
      </c>
      <c r="H261" s="80">
        <v>10554</v>
      </c>
      <c r="I261" s="80">
        <v>219.875</v>
      </c>
      <c r="J261" s="80">
        <v>48</v>
      </c>
    </row>
    <row r="262" spans="1:10" hidden="1" x14ac:dyDescent="0.3">
      <c r="A262" s="43" t="s">
        <v>923</v>
      </c>
      <c r="B262" s="43" t="s">
        <v>940</v>
      </c>
      <c r="C262" s="43" t="s">
        <v>198</v>
      </c>
      <c r="D262" s="80">
        <v>0</v>
      </c>
      <c r="E262" s="80">
        <v>0</v>
      </c>
      <c r="F262" s="80">
        <v>0</v>
      </c>
      <c r="G262" s="80">
        <v>0</v>
      </c>
      <c r="H262" s="80">
        <v>0</v>
      </c>
      <c r="I262" s="80">
        <v>0</v>
      </c>
      <c r="J262" s="80">
        <v>0</v>
      </c>
    </row>
    <row r="263" spans="1:10" hidden="1" x14ac:dyDescent="0.3">
      <c r="A263" s="43" t="s">
        <v>365</v>
      </c>
      <c r="B263" s="43" t="s">
        <v>366</v>
      </c>
      <c r="C263" s="43" t="s">
        <v>183</v>
      </c>
      <c r="D263" s="80">
        <v>1286</v>
      </c>
      <c r="E263" s="80">
        <v>1286</v>
      </c>
      <c r="F263" s="80">
        <v>2</v>
      </c>
      <c r="G263" s="80">
        <v>2</v>
      </c>
      <c r="H263" s="80">
        <v>1288</v>
      </c>
      <c r="I263" s="80">
        <v>1288</v>
      </c>
      <c r="J263" s="80">
        <v>1</v>
      </c>
    </row>
    <row r="264" spans="1:10" hidden="1" x14ac:dyDescent="0.3">
      <c r="A264" s="43" t="s">
        <v>1023</v>
      </c>
      <c r="B264" s="43" t="s">
        <v>1024</v>
      </c>
      <c r="C264" s="43" t="s">
        <v>183</v>
      </c>
      <c r="D264" s="80">
        <v>1319</v>
      </c>
      <c r="E264" s="80">
        <v>1319</v>
      </c>
      <c r="F264" s="80">
        <v>0</v>
      </c>
      <c r="G264" s="80">
        <v>0</v>
      </c>
      <c r="H264" s="80">
        <v>1319</v>
      </c>
      <c r="I264" s="80">
        <v>1319</v>
      </c>
      <c r="J264" s="80">
        <v>1</v>
      </c>
    </row>
    <row r="265" spans="1:10" hidden="1" x14ac:dyDescent="0.3">
      <c r="A265" s="43" t="s">
        <v>367</v>
      </c>
      <c r="B265" s="43" t="s">
        <v>368</v>
      </c>
      <c r="C265" s="43" t="s">
        <v>186</v>
      </c>
      <c r="D265" s="80">
        <v>0</v>
      </c>
      <c r="E265" s="80">
        <v>0</v>
      </c>
      <c r="F265" s="80">
        <v>0</v>
      </c>
      <c r="G265" s="80">
        <v>0</v>
      </c>
      <c r="H265" s="80">
        <v>0</v>
      </c>
      <c r="I265" s="80">
        <v>0</v>
      </c>
      <c r="J265" s="80">
        <v>0</v>
      </c>
    </row>
    <row r="266" spans="1:10" hidden="1" x14ac:dyDescent="0.3">
      <c r="A266" s="43" t="s">
        <v>369</v>
      </c>
      <c r="B266" s="43" t="s">
        <v>370</v>
      </c>
      <c r="C266" s="43" t="s">
        <v>183</v>
      </c>
      <c r="D266" s="80">
        <v>1132</v>
      </c>
      <c r="E266" s="80">
        <v>1132</v>
      </c>
      <c r="F266" s="80">
        <v>0</v>
      </c>
      <c r="G266" s="80">
        <v>0</v>
      </c>
      <c r="H266" s="80">
        <v>1132</v>
      </c>
      <c r="I266" s="80">
        <v>1132</v>
      </c>
      <c r="J266" s="80">
        <v>1</v>
      </c>
    </row>
    <row r="267" spans="1:10" hidden="1" x14ac:dyDescent="0.3">
      <c r="A267" s="43" t="s">
        <v>1025</v>
      </c>
      <c r="B267" s="43" t="s">
        <v>1026</v>
      </c>
      <c r="C267" s="43" t="s">
        <v>183</v>
      </c>
      <c r="D267" s="80">
        <v>1231</v>
      </c>
      <c r="E267" s="80">
        <v>1231</v>
      </c>
      <c r="F267" s="80">
        <v>0</v>
      </c>
      <c r="G267" s="80">
        <v>0</v>
      </c>
      <c r="H267" s="80">
        <v>1231</v>
      </c>
      <c r="I267" s="80">
        <v>1231</v>
      </c>
      <c r="J267" s="80">
        <v>1</v>
      </c>
    </row>
    <row r="268" spans="1:10" hidden="1" x14ac:dyDescent="0.3">
      <c r="A268" s="43" t="s">
        <v>371</v>
      </c>
      <c r="B268" s="43" t="s">
        <v>372</v>
      </c>
      <c r="C268" s="43" t="s">
        <v>186</v>
      </c>
      <c r="D268" s="80">
        <v>0</v>
      </c>
      <c r="E268" s="80">
        <v>0</v>
      </c>
      <c r="F268" s="80">
        <v>0</v>
      </c>
      <c r="G268" s="80">
        <v>0</v>
      </c>
      <c r="H268" s="80">
        <v>0</v>
      </c>
      <c r="I268" s="80">
        <v>0</v>
      </c>
      <c r="J268" s="80">
        <v>0</v>
      </c>
    </row>
    <row r="269" spans="1:10" hidden="1" x14ac:dyDescent="0.3">
      <c r="A269" s="43" t="s">
        <v>373</v>
      </c>
      <c r="B269" s="43" t="s">
        <v>374</v>
      </c>
      <c r="C269" s="43" t="s">
        <v>183</v>
      </c>
      <c r="D269" s="80">
        <v>1864</v>
      </c>
      <c r="E269" s="80">
        <v>1864</v>
      </c>
      <c r="F269" s="80">
        <v>0</v>
      </c>
      <c r="G269" s="80">
        <v>0</v>
      </c>
      <c r="H269" s="80">
        <v>1864</v>
      </c>
      <c r="I269" s="80">
        <v>1864</v>
      </c>
      <c r="J269" s="80">
        <v>1</v>
      </c>
    </row>
    <row r="270" spans="1:10" hidden="1" x14ac:dyDescent="0.3">
      <c r="A270" s="43" t="s">
        <v>375</v>
      </c>
      <c r="B270" s="43" t="s">
        <v>376</v>
      </c>
      <c r="C270" s="43" t="s">
        <v>186</v>
      </c>
      <c r="D270" s="80">
        <v>6</v>
      </c>
      <c r="E270" s="80">
        <v>6</v>
      </c>
      <c r="F270" s="80">
        <v>1</v>
      </c>
      <c r="G270" s="80">
        <v>1</v>
      </c>
      <c r="H270" s="80">
        <v>7</v>
      </c>
      <c r="I270" s="80">
        <v>7</v>
      </c>
      <c r="J270" s="80">
        <v>0</v>
      </c>
    </row>
    <row r="271" spans="1:10" hidden="1" x14ac:dyDescent="0.3">
      <c r="A271" s="43" t="s">
        <v>1027</v>
      </c>
      <c r="B271" s="43" t="s">
        <v>1028</v>
      </c>
      <c r="C271" s="43" t="s">
        <v>183</v>
      </c>
      <c r="D271" s="80">
        <v>881</v>
      </c>
      <c r="E271" s="80">
        <v>881</v>
      </c>
      <c r="F271" s="80">
        <v>0</v>
      </c>
      <c r="G271" s="80">
        <v>0</v>
      </c>
      <c r="H271" s="80">
        <v>881</v>
      </c>
      <c r="I271" s="80">
        <v>881</v>
      </c>
      <c r="J271" s="80">
        <v>1</v>
      </c>
    </row>
    <row r="272" spans="1:10" hidden="1" x14ac:dyDescent="0.3">
      <c r="A272" s="43" t="s">
        <v>1029</v>
      </c>
      <c r="B272" s="43" t="s">
        <v>1030</v>
      </c>
      <c r="C272" s="43" t="s">
        <v>186</v>
      </c>
      <c r="D272" s="80">
        <v>54</v>
      </c>
      <c r="E272" s="80">
        <v>54</v>
      </c>
      <c r="F272" s="80">
        <v>0</v>
      </c>
      <c r="G272" s="80">
        <v>0</v>
      </c>
      <c r="H272" s="80">
        <v>54</v>
      </c>
      <c r="I272" s="80">
        <v>54</v>
      </c>
      <c r="J272" s="80">
        <v>0</v>
      </c>
    </row>
    <row r="273" spans="1:10" hidden="1" x14ac:dyDescent="0.3">
      <c r="A273" s="43" t="s">
        <v>377</v>
      </c>
      <c r="B273" s="43" t="s">
        <v>378</v>
      </c>
      <c r="C273" s="43" t="s">
        <v>183</v>
      </c>
      <c r="D273" s="80">
        <v>55</v>
      </c>
      <c r="E273" s="80">
        <v>55</v>
      </c>
      <c r="F273" s="80">
        <v>12</v>
      </c>
      <c r="G273" s="80">
        <v>12</v>
      </c>
      <c r="H273" s="80">
        <v>67</v>
      </c>
      <c r="I273" s="80">
        <v>67</v>
      </c>
      <c r="J273" s="80">
        <v>1</v>
      </c>
    </row>
    <row r="274" spans="1:10" hidden="1" x14ac:dyDescent="0.3">
      <c r="A274" s="43" t="s">
        <v>379</v>
      </c>
      <c r="B274" s="43" t="s">
        <v>380</v>
      </c>
      <c r="C274" s="43" t="s">
        <v>183</v>
      </c>
      <c r="D274" s="80">
        <v>157</v>
      </c>
      <c r="E274" s="80">
        <v>157</v>
      </c>
      <c r="F274" s="80">
        <v>2</v>
      </c>
      <c r="G274" s="80">
        <v>2</v>
      </c>
      <c r="H274" s="80">
        <v>159</v>
      </c>
      <c r="I274" s="80">
        <v>159</v>
      </c>
      <c r="J274" s="80">
        <v>1</v>
      </c>
    </row>
    <row r="275" spans="1:10" hidden="1" x14ac:dyDescent="0.3">
      <c r="A275" s="43" t="s">
        <v>381</v>
      </c>
      <c r="B275" s="43" t="s">
        <v>382</v>
      </c>
      <c r="C275" s="43" t="s">
        <v>186</v>
      </c>
      <c r="D275" s="80">
        <v>2</v>
      </c>
      <c r="E275" s="80">
        <v>2</v>
      </c>
      <c r="F275" s="80">
        <v>0</v>
      </c>
      <c r="G275" s="80">
        <v>0</v>
      </c>
      <c r="H275" s="80">
        <v>2</v>
      </c>
      <c r="I275" s="80">
        <v>2</v>
      </c>
      <c r="J275" s="80">
        <v>0</v>
      </c>
    </row>
    <row r="276" spans="1:10" hidden="1" x14ac:dyDescent="0.3">
      <c r="A276" s="43" t="s">
        <v>969</v>
      </c>
      <c r="B276" s="43" t="s">
        <v>970</v>
      </c>
      <c r="C276" s="43" t="s">
        <v>198</v>
      </c>
      <c r="D276" s="80">
        <v>0</v>
      </c>
      <c r="E276" s="80">
        <v>0</v>
      </c>
      <c r="F276" s="80">
        <v>0</v>
      </c>
      <c r="G276" s="80">
        <v>0</v>
      </c>
      <c r="H276" s="80">
        <v>0</v>
      </c>
      <c r="I276" s="80">
        <v>0</v>
      </c>
      <c r="J276" s="80">
        <v>0</v>
      </c>
    </row>
    <row r="277" spans="1:10" hidden="1" x14ac:dyDescent="0.3">
      <c r="A277" s="43" t="s">
        <v>924</v>
      </c>
      <c r="B277" s="43" t="s">
        <v>941</v>
      </c>
      <c r="C277" s="43" t="s">
        <v>198</v>
      </c>
      <c r="D277" s="80">
        <v>0</v>
      </c>
      <c r="E277" s="80">
        <v>0</v>
      </c>
      <c r="F277" s="80">
        <v>0</v>
      </c>
      <c r="G277" s="80">
        <v>0</v>
      </c>
      <c r="H277" s="80">
        <v>0</v>
      </c>
      <c r="I277" s="80">
        <v>0</v>
      </c>
      <c r="J277" s="80">
        <v>0</v>
      </c>
    </row>
    <row r="278" spans="1:10" hidden="1" x14ac:dyDescent="0.3">
      <c r="A278" s="43" t="s">
        <v>925</v>
      </c>
      <c r="B278" s="43" t="s">
        <v>966</v>
      </c>
      <c r="C278" s="43" t="s">
        <v>198</v>
      </c>
      <c r="D278" s="80">
        <v>0</v>
      </c>
      <c r="E278" s="80">
        <v>0</v>
      </c>
      <c r="F278" s="80">
        <v>0</v>
      </c>
      <c r="G278" s="80">
        <v>0</v>
      </c>
      <c r="H278" s="80">
        <v>0</v>
      </c>
      <c r="I278" s="80">
        <v>0</v>
      </c>
      <c r="J278" s="80">
        <v>0</v>
      </c>
    </row>
    <row r="279" spans="1:10" hidden="1" x14ac:dyDescent="0.3">
      <c r="A279" s="43" t="s">
        <v>1018</v>
      </c>
      <c r="B279" s="43" t="s">
        <v>1019</v>
      </c>
      <c r="C279" s="43" t="s">
        <v>198</v>
      </c>
      <c r="D279" s="80">
        <v>0</v>
      </c>
      <c r="E279" s="80">
        <v>0</v>
      </c>
      <c r="F279" s="80">
        <v>0</v>
      </c>
      <c r="G279" s="80">
        <v>0</v>
      </c>
      <c r="H279" s="80">
        <v>0</v>
      </c>
      <c r="I279" s="80">
        <v>0</v>
      </c>
      <c r="J279" s="80">
        <v>0</v>
      </c>
    </row>
    <row r="280" spans="1:10" hidden="1" x14ac:dyDescent="0.3">
      <c r="A280" s="43" t="s">
        <v>541</v>
      </c>
      <c r="B280" s="43" t="s">
        <v>542</v>
      </c>
      <c r="C280" s="43" t="s">
        <v>198</v>
      </c>
      <c r="D280" s="80">
        <v>0</v>
      </c>
      <c r="E280" s="80">
        <v>0</v>
      </c>
      <c r="F280" s="80">
        <v>0</v>
      </c>
      <c r="G280" s="80">
        <v>0</v>
      </c>
      <c r="H280" s="80">
        <v>0</v>
      </c>
      <c r="I280" s="80">
        <v>0</v>
      </c>
      <c r="J280" s="80">
        <v>0</v>
      </c>
    </row>
    <row r="281" spans="1:10" hidden="1" x14ac:dyDescent="0.3">
      <c r="A281" s="43" t="s">
        <v>543</v>
      </c>
      <c r="B281" s="43" t="s">
        <v>544</v>
      </c>
      <c r="C281" s="43" t="s">
        <v>198</v>
      </c>
      <c r="D281" s="80">
        <v>0</v>
      </c>
      <c r="E281" s="80">
        <v>0</v>
      </c>
      <c r="F281" s="80">
        <v>0</v>
      </c>
      <c r="G281" s="80">
        <v>0</v>
      </c>
      <c r="H281" s="80">
        <v>0</v>
      </c>
      <c r="I281" s="80">
        <v>0</v>
      </c>
      <c r="J281" s="80">
        <v>0</v>
      </c>
    </row>
    <row r="282" spans="1:10" hidden="1" x14ac:dyDescent="0.3">
      <c r="A282" s="43" t="s">
        <v>545</v>
      </c>
      <c r="B282" s="43" t="s">
        <v>546</v>
      </c>
      <c r="C282" s="43" t="s">
        <v>198</v>
      </c>
      <c r="D282" s="80">
        <v>0</v>
      </c>
      <c r="E282" s="80">
        <v>0</v>
      </c>
      <c r="F282" s="80">
        <v>0</v>
      </c>
      <c r="G282" s="80">
        <v>0</v>
      </c>
      <c r="H282" s="80">
        <v>0</v>
      </c>
      <c r="I282" s="80">
        <v>0</v>
      </c>
      <c r="J282" s="80">
        <v>0</v>
      </c>
    </row>
    <row r="283" spans="1:10" hidden="1" x14ac:dyDescent="0.3">
      <c r="A283" s="43" t="s">
        <v>547</v>
      </c>
      <c r="B283" s="43" t="s">
        <v>548</v>
      </c>
      <c r="C283" s="43" t="s">
        <v>198</v>
      </c>
      <c r="D283" s="80">
        <v>0</v>
      </c>
      <c r="E283" s="80">
        <v>0</v>
      </c>
      <c r="F283" s="80">
        <v>0</v>
      </c>
      <c r="G283" s="80">
        <v>0</v>
      </c>
      <c r="H283" s="80">
        <v>0</v>
      </c>
      <c r="I283" s="80">
        <v>0</v>
      </c>
      <c r="J283" s="80">
        <v>0</v>
      </c>
    </row>
    <row r="284" spans="1:10" hidden="1" x14ac:dyDescent="0.3">
      <c r="A284" s="43" t="s">
        <v>549</v>
      </c>
      <c r="B284" s="43" t="s">
        <v>550</v>
      </c>
      <c r="C284" s="43" t="s">
        <v>198</v>
      </c>
      <c r="D284" s="80">
        <v>0</v>
      </c>
      <c r="E284" s="80">
        <v>0</v>
      </c>
      <c r="F284" s="80">
        <v>0</v>
      </c>
      <c r="G284" s="80">
        <v>0</v>
      </c>
      <c r="H284" s="80">
        <v>0</v>
      </c>
      <c r="I284" s="80">
        <v>0</v>
      </c>
      <c r="J284" s="80">
        <v>0</v>
      </c>
    </row>
    <row r="285" spans="1:10" hidden="1" x14ac:dyDescent="0.3">
      <c r="A285" s="43" t="s">
        <v>551</v>
      </c>
      <c r="B285" s="43" t="s">
        <v>552</v>
      </c>
      <c r="C285" s="43" t="s">
        <v>198</v>
      </c>
      <c r="D285" s="80">
        <v>0</v>
      </c>
      <c r="E285" s="80">
        <v>0</v>
      </c>
      <c r="F285" s="80">
        <v>0</v>
      </c>
      <c r="G285" s="80">
        <v>0</v>
      </c>
      <c r="H285" s="80">
        <v>0</v>
      </c>
      <c r="I285" s="80">
        <v>0</v>
      </c>
      <c r="J285" s="80">
        <v>0</v>
      </c>
    </row>
    <row r="286" spans="1:10" hidden="1" x14ac:dyDescent="0.3">
      <c r="A286" s="43" t="s">
        <v>553</v>
      </c>
      <c r="B286" s="43" t="s">
        <v>554</v>
      </c>
      <c r="C286" s="43" t="s">
        <v>198</v>
      </c>
      <c r="D286" s="80">
        <v>0</v>
      </c>
      <c r="E286" s="80">
        <v>0</v>
      </c>
      <c r="F286" s="80">
        <v>0</v>
      </c>
      <c r="G286" s="80">
        <v>0</v>
      </c>
      <c r="H286" s="80">
        <v>0</v>
      </c>
      <c r="I286" s="80">
        <v>0</v>
      </c>
      <c r="J286" s="80">
        <v>0</v>
      </c>
    </row>
    <row r="287" spans="1:10" hidden="1" x14ac:dyDescent="0.3">
      <c r="A287" s="43" t="s">
        <v>555</v>
      </c>
      <c r="B287" s="43" t="s">
        <v>556</v>
      </c>
      <c r="C287" s="43" t="s">
        <v>198</v>
      </c>
      <c r="D287" s="80">
        <v>0</v>
      </c>
      <c r="E287" s="80">
        <v>0</v>
      </c>
      <c r="F287" s="80">
        <v>0</v>
      </c>
      <c r="G287" s="80">
        <v>0</v>
      </c>
      <c r="H287" s="80">
        <v>0</v>
      </c>
      <c r="I287" s="80">
        <v>0</v>
      </c>
      <c r="J287" s="80">
        <v>0</v>
      </c>
    </row>
    <row r="288" spans="1:10" hidden="1" x14ac:dyDescent="0.3">
      <c r="A288" s="43" t="s">
        <v>557</v>
      </c>
      <c r="B288" s="43" t="s">
        <v>558</v>
      </c>
      <c r="C288" s="43" t="s">
        <v>198</v>
      </c>
      <c r="D288" s="80">
        <v>0</v>
      </c>
      <c r="E288" s="80">
        <v>0</v>
      </c>
      <c r="F288" s="80">
        <v>0</v>
      </c>
      <c r="G288" s="80">
        <v>0</v>
      </c>
      <c r="H288" s="80">
        <v>0</v>
      </c>
      <c r="I288" s="80">
        <v>0</v>
      </c>
      <c r="J288" s="80">
        <v>0</v>
      </c>
    </row>
    <row r="289" spans="1:10" hidden="1" x14ac:dyDescent="0.3">
      <c r="A289" s="43" t="s">
        <v>559</v>
      </c>
      <c r="B289" s="43" t="s">
        <v>560</v>
      </c>
      <c r="C289" s="43" t="s">
        <v>198</v>
      </c>
      <c r="D289" s="80">
        <v>0</v>
      </c>
      <c r="E289" s="80">
        <v>0</v>
      </c>
      <c r="F289" s="80">
        <v>0</v>
      </c>
      <c r="G289" s="80">
        <v>0</v>
      </c>
      <c r="H289" s="80">
        <v>0</v>
      </c>
      <c r="I289" s="80">
        <v>0</v>
      </c>
      <c r="J289" s="80">
        <v>0</v>
      </c>
    </row>
    <row r="290" spans="1:10" hidden="1" x14ac:dyDescent="0.3">
      <c r="A290" s="43" t="s">
        <v>561</v>
      </c>
      <c r="B290" s="43" t="s">
        <v>562</v>
      </c>
      <c r="C290" s="43" t="s">
        <v>198</v>
      </c>
      <c r="D290" s="80">
        <v>0</v>
      </c>
      <c r="E290" s="80">
        <v>0</v>
      </c>
      <c r="F290" s="80">
        <v>0</v>
      </c>
      <c r="G290" s="80">
        <v>0</v>
      </c>
      <c r="H290" s="80">
        <v>0</v>
      </c>
      <c r="I290" s="80">
        <v>0</v>
      </c>
      <c r="J290" s="80">
        <v>0</v>
      </c>
    </row>
    <row r="291" spans="1:10" hidden="1" x14ac:dyDescent="0.3">
      <c r="A291" s="43" t="s">
        <v>565</v>
      </c>
      <c r="B291" s="43" t="s">
        <v>566</v>
      </c>
      <c r="C291" s="43" t="s">
        <v>198</v>
      </c>
      <c r="D291" s="80">
        <v>0</v>
      </c>
      <c r="E291" s="80">
        <v>0</v>
      </c>
      <c r="F291" s="80">
        <v>0</v>
      </c>
      <c r="G291" s="80">
        <v>0</v>
      </c>
      <c r="H291" s="80">
        <v>0</v>
      </c>
      <c r="I291" s="80">
        <v>0</v>
      </c>
      <c r="J291" s="80">
        <v>0</v>
      </c>
    </row>
    <row r="292" spans="1:10" hidden="1" x14ac:dyDescent="0.3">
      <c r="A292" s="43" t="s">
        <v>569</v>
      </c>
      <c r="B292" s="43" t="s">
        <v>570</v>
      </c>
      <c r="C292" s="43" t="s">
        <v>198</v>
      </c>
      <c r="D292" s="80">
        <v>0</v>
      </c>
      <c r="E292" s="80">
        <v>0</v>
      </c>
      <c r="F292" s="80">
        <v>0</v>
      </c>
      <c r="G292" s="80">
        <v>0</v>
      </c>
      <c r="H292" s="80">
        <v>0</v>
      </c>
      <c r="I292" s="80">
        <v>0</v>
      </c>
      <c r="J292" s="80">
        <v>0</v>
      </c>
    </row>
    <row r="293" spans="1:10" hidden="1" x14ac:dyDescent="0.3">
      <c r="A293" s="43" t="s">
        <v>597</v>
      </c>
      <c r="B293" s="43" t="s">
        <v>598</v>
      </c>
      <c r="C293" s="43" t="s">
        <v>198</v>
      </c>
      <c r="D293" s="80">
        <v>0</v>
      </c>
      <c r="E293" s="80">
        <v>0</v>
      </c>
      <c r="F293" s="80">
        <v>0</v>
      </c>
      <c r="G293" s="80">
        <v>0</v>
      </c>
      <c r="H293" s="80">
        <v>0</v>
      </c>
      <c r="I293" s="80">
        <v>0</v>
      </c>
      <c r="J293" s="80">
        <v>0</v>
      </c>
    </row>
    <row r="294" spans="1:10" hidden="1" x14ac:dyDescent="0.3">
      <c r="A294" s="43" t="s">
        <v>599</v>
      </c>
      <c r="B294" s="43" t="s">
        <v>600</v>
      </c>
      <c r="C294" s="43" t="s">
        <v>198</v>
      </c>
      <c r="D294" s="80">
        <v>0</v>
      </c>
      <c r="E294" s="80">
        <v>0</v>
      </c>
      <c r="F294" s="80">
        <v>0</v>
      </c>
      <c r="G294" s="80">
        <v>0</v>
      </c>
      <c r="H294" s="80">
        <v>0</v>
      </c>
      <c r="I294" s="80">
        <v>0</v>
      </c>
      <c r="J294" s="80">
        <v>0</v>
      </c>
    </row>
    <row r="295" spans="1:10" hidden="1" x14ac:dyDescent="0.3">
      <c r="A295" s="43" t="s">
        <v>926</v>
      </c>
      <c r="B295" s="43" t="s">
        <v>927</v>
      </c>
      <c r="C295" s="43" t="s">
        <v>198</v>
      </c>
      <c r="D295" s="80">
        <v>0</v>
      </c>
      <c r="E295" s="80">
        <v>0</v>
      </c>
      <c r="F295" s="80">
        <v>0</v>
      </c>
      <c r="G295" s="80">
        <v>0</v>
      </c>
      <c r="H295" s="80">
        <v>0</v>
      </c>
      <c r="I295" s="80">
        <v>0</v>
      </c>
      <c r="J295" s="80">
        <v>0</v>
      </c>
    </row>
    <row r="296" spans="1:10" hidden="1" x14ac:dyDescent="0.3">
      <c r="D296" s="80"/>
      <c r="E296" s="80"/>
      <c r="F296" s="80"/>
      <c r="G296" s="80"/>
      <c r="H296" s="80"/>
      <c r="I296" s="80"/>
      <c r="J296" s="80"/>
    </row>
    <row r="297" spans="1:10" hidden="1" x14ac:dyDescent="0.3">
      <c r="D297" s="80"/>
      <c r="E297" s="80"/>
      <c r="F297" s="80"/>
      <c r="G297" s="80"/>
      <c r="H297" s="80"/>
      <c r="I297" s="80"/>
      <c r="J297" s="80"/>
    </row>
    <row r="298" spans="1:10" hidden="1" x14ac:dyDescent="0.3">
      <c r="D298" s="80"/>
      <c r="E298" s="80"/>
      <c r="F298" s="80"/>
      <c r="G298" s="80"/>
      <c r="H298" s="80"/>
      <c r="I298" s="80"/>
      <c r="J298" s="80"/>
    </row>
    <row r="299" spans="1:10" hidden="1" x14ac:dyDescent="0.3">
      <c r="D299" s="80"/>
      <c r="E299" s="80"/>
      <c r="F299" s="80"/>
      <c r="G299" s="80"/>
      <c r="H299" s="80"/>
      <c r="I299" s="80"/>
      <c r="J299" s="80"/>
    </row>
    <row r="300" spans="1:10" hidden="1" x14ac:dyDescent="0.3">
      <c r="D300" s="80"/>
      <c r="E300" s="80"/>
      <c r="F300" s="80"/>
      <c r="G300" s="80"/>
      <c r="H300" s="80"/>
      <c r="I300" s="80"/>
      <c r="J300" s="80"/>
    </row>
    <row r="301" spans="1:10" hidden="1" x14ac:dyDescent="0.3">
      <c r="D301" s="80"/>
      <c r="E301" s="80"/>
      <c r="F301" s="80"/>
      <c r="G301" s="80"/>
      <c r="H301" s="80"/>
      <c r="I301" s="80"/>
      <c r="J301" s="80"/>
    </row>
    <row r="302" spans="1:10" hidden="1" x14ac:dyDescent="0.3">
      <c r="D302" s="80"/>
      <c r="E302" s="80"/>
      <c r="F302" s="80"/>
      <c r="G302" s="80"/>
      <c r="H302" s="80"/>
      <c r="I302" s="80"/>
      <c r="J302" s="80"/>
    </row>
    <row r="303" spans="1:10" hidden="1" x14ac:dyDescent="0.3">
      <c r="D303" s="80"/>
      <c r="E303" s="80"/>
      <c r="F303" s="80"/>
      <c r="G303" s="80"/>
      <c r="H303" s="80"/>
      <c r="I303" s="80"/>
      <c r="J303" s="80"/>
    </row>
    <row r="304" spans="1:10" hidden="1" x14ac:dyDescent="0.3">
      <c r="D304" s="80"/>
      <c r="E304" s="80"/>
      <c r="F304" s="80"/>
      <c r="G304" s="80"/>
      <c r="H304" s="80"/>
      <c r="I304" s="80"/>
      <c r="J304" s="80"/>
    </row>
    <row r="305" spans="4:10" hidden="1" x14ac:dyDescent="0.3">
      <c r="D305" s="80"/>
      <c r="E305" s="80"/>
      <c r="F305" s="80"/>
      <c r="G305" s="80"/>
      <c r="H305" s="80"/>
      <c r="I305" s="80"/>
      <c r="J305" s="80"/>
    </row>
    <row r="306" spans="4:10" hidden="1" x14ac:dyDescent="0.3">
      <c r="D306" s="80"/>
      <c r="E306" s="80"/>
      <c r="F306" s="80"/>
      <c r="G306" s="80"/>
      <c r="H306" s="80"/>
      <c r="I306" s="80"/>
      <c r="J306" s="80"/>
    </row>
    <row r="307" spans="4:10" hidden="1" x14ac:dyDescent="0.3">
      <c r="D307" s="80"/>
      <c r="E307" s="80"/>
      <c r="F307" s="80"/>
      <c r="G307" s="80"/>
      <c r="H307" s="80"/>
      <c r="I307" s="80"/>
      <c r="J307" s="80"/>
    </row>
    <row r="308" spans="4:10" hidden="1" x14ac:dyDescent="0.3">
      <c r="D308" s="80"/>
      <c r="E308" s="80"/>
      <c r="F308" s="80"/>
      <c r="G308" s="80"/>
      <c r="H308" s="80"/>
      <c r="I308" s="80"/>
      <c r="J308" s="80"/>
    </row>
    <row r="309" spans="4:10" hidden="1" x14ac:dyDescent="0.3">
      <c r="D309" s="80"/>
      <c r="E309" s="80"/>
      <c r="F309" s="80"/>
      <c r="G309" s="80"/>
      <c r="H309" s="80"/>
      <c r="I309" s="80"/>
      <c r="J309" s="80"/>
    </row>
    <row r="310" spans="4:10" hidden="1" x14ac:dyDescent="0.3">
      <c r="D310" s="80"/>
      <c r="E310" s="80"/>
      <c r="F310" s="80"/>
      <c r="G310" s="80"/>
      <c r="H310" s="80"/>
      <c r="I310" s="80"/>
      <c r="J310" s="80"/>
    </row>
    <row r="311" spans="4:10" hidden="1" x14ac:dyDescent="0.3">
      <c r="D311" s="80"/>
      <c r="E311" s="80"/>
      <c r="F311" s="80"/>
      <c r="G311" s="80"/>
      <c r="H311" s="80"/>
      <c r="I311" s="80"/>
      <c r="J311" s="80"/>
    </row>
    <row r="312" spans="4:10" hidden="1" x14ac:dyDescent="0.3">
      <c r="D312" s="80"/>
      <c r="E312" s="80"/>
      <c r="F312" s="80"/>
      <c r="G312" s="80"/>
      <c r="H312" s="80"/>
      <c r="I312" s="80"/>
      <c r="J312" s="80"/>
    </row>
    <row r="313" spans="4:10" hidden="1" x14ac:dyDescent="0.3">
      <c r="D313" s="80"/>
      <c r="E313" s="80"/>
      <c r="F313" s="80"/>
      <c r="G313" s="80"/>
      <c r="H313" s="80"/>
      <c r="I313" s="80"/>
      <c r="J313" s="80"/>
    </row>
    <row r="314" spans="4:10" hidden="1" x14ac:dyDescent="0.3">
      <c r="D314" s="80"/>
      <c r="E314" s="80"/>
      <c r="F314" s="80"/>
      <c r="G314" s="80"/>
      <c r="H314" s="80"/>
      <c r="I314" s="80"/>
      <c r="J314" s="80"/>
    </row>
    <row r="315" spans="4:10" hidden="1" x14ac:dyDescent="0.3">
      <c r="D315" s="80"/>
      <c r="E315" s="80"/>
      <c r="F315" s="80"/>
      <c r="G315" s="80"/>
      <c r="H315" s="80"/>
      <c r="I315" s="80"/>
      <c r="J315" s="80"/>
    </row>
    <row r="316" spans="4:10" hidden="1" x14ac:dyDescent="0.3">
      <c r="D316" s="80"/>
      <c r="E316" s="80"/>
      <c r="F316" s="80"/>
      <c r="G316" s="80"/>
      <c r="H316" s="80"/>
      <c r="I316" s="80"/>
      <c r="J316" s="80"/>
    </row>
    <row r="317" spans="4:10" hidden="1" x14ac:dyDescent="0.3">
      <c r="D317" s="80"/>
      <c r="E317" s="80"/>
      <c r="F317" s="80"/>
      <c r="G317" s="80"/>
      <c r="H317" s="80"/>
      <c r="I317" s="80"/>
      <c r="J317" s="80"/>
    </row>
    <row r="318" spans="4:10" hidden="1" x14ac:dyDescent="0.3">
      <c r="D318" s="80"/>
      <c r="E318" s="80"/>
      <c r="F318" s="80"/>
      <c r="G318" s="80"/>
      <c r="H318" s="80"/>
      <c r="I318" s="80"/>
      <c r="J318" s="80"/>
    </row>
    <row r="319" spans="4:10" hidden="1" x14ac:dyDescent="0.3">
      <c r="D319" s="80"/>
      <c r="E319" s="80"/>
      <c r="F319" s="80"/>
      <c r="G319" s="80"/>
      <c r="H319" s="80"/>
      <c r="I319" s="80"/>
      <c r="J319" s="80"/>
    </row>
    <row r="320" spans="4:10" hidden="1" x14ac:dyDescent="0.3">
      <c r="D320" s="80"/>
      <c r="E320" s="80"/>
      <c r="F320" s="80"/>
      <c r="G320" s="80"/>
      <c r="H320" s="80"/>
      <c r="I320" s="80"/>
      <c r="J320" s="80"/>
    </row>
    <row r="321" spans="4:10" hidden="1" x14ac:dyDescent="0.3">
      <c r="D321" s="80"/>
      <c r="E321" s="80"/>
      <c r="F321" s="80"/>
      <c r="G321" s="80"/>
      <c r="H321" s="80"/>
      <c r="I321" s="80"/>
      <c r="J321" s="80"/>
    </row>
    <row r="322" spans="4:10" hidden="1" x14ac:dyDescent="0.3">
      <c r="D322" s="80"/>
      <c r="E322" s="80"/>
      <c r="F322" s="80"/>
      <c r="G322" s="80"/>
      <c r="H322" s="80"/>
      <c r="I322" s="80"/>
      <c r="J322" s="80"/>
    </row>
    <row r="323" spans="4:10" hidden="1" x14ac:dyDescent="0.3">
      <c r="D323" s="80"/>
      <c r="E323" s="80"/>
      <c r="F323" s="80"/>
      <c r="G323" s="80"/>
      <c r="H323" s="80"/>
      <c r="I323" s="80"/>
      <c r="J323" s="80"/>
    </row>
    <row r="324" spans="4:10" hidden="1" x14ac:dyDescent="0.3">
      <c r="D324" s="80"/>
      <c r="E324" s="80"/>
      <c r="F324" s="80"/>
      <c r="G324" s="80"/>
      <c r="H324" s="80"/>
      <c r="I324" s="80"/>
      <c r="J324" s="80"/>
    </row>
    <row r="325" spans="4:10" hidden="1" x14ac:dyDescent="0.3">
      <c r="D325" s="80"/>
      <c r="E325" s="80"/>
      <c r="F325" s="80"/>
      <c r="G325" s="80"/>
      <c r="H325" s="80"/>
      <c r="I325" s="80"/>
      <c r="J325" s="80"/>
    </row>
    <row r="326" spans="4:10" hidden="1" x14ac:dyDescent="0.3">
      <c r="D326" s="80"/>
      <c r="E326" s="80"/>
      <c r="F326" s="80"/>
      <c r="G326" s="80"/>
      <c r="H326" s="80"/>
      <c r="I326" s="80"/>
      <c r="J326" s="80"/>
    </row>
    <row r="327" spans="4:10" hidden="1" x14ac:dyDescent="0.3">
      <c r="D327" s="80"/>
      <c r="E327" s="80"/>
      <c r="F327" s="80"/>
      <c r="G327" s="80"/>
      <c r="H327" s="80"/>
      <c r="I327" s="80"/>
      <c r="J327" s="80"/>
    </row>
    <row r="328" spans="4:10" hidden="1" x14ac:dyDescent="0.3">
      <c r="D328" s="80"/>
      <c r="E328" s="80"/>
      <c r="F328" s="80"/>
      <c r="G328" s="80"/>
      <c r="H328" s="80"/>
      <c r="I328" s="80"/>
      <c r="J328" s="80"/>
    </row>
    <row r="329" spans="4:10" hidden="1" x14ac:dyDescent="0.3">
      <c r="D329" s="80"/>
      <c r="E329" s="80"/>
      <c r="F329" s="80"/>
      <c r="G329" s="80"/>
      <c r="H329" s="80"/>
      <c r="I329" s="80"/>
      <c r="J329" s="80"/>
    </row>
    <row r="330" spans="4:10" hidden="1" x14ac:dyDescent="0.3">
      <c r="D330" s="80"/>
      <c r="E330" s="80"/>
      <c r="F330" s="80"/>
      <c r="G330" s="80"/>
      <c r="H330" s="80"/>
      <c r="I330" s="80"/>
      <c r="J330" s="80"/>
    </row>
    <row r="331" spans="4:10" hidden="1" x14ac:dyDescent="0.3">
      <c r="D331" s="80"/>
      <c r="E331" s="80"/>
      <c r="F331" s="80"/>
      <c r="G331" s="80"/>
      <c r="H331" s="80"/>
      <c r="I331" s="80"/>
      <c r="J331" s="80"/>
    </row>
    <row r="332" spans="4:10" hidden="1" x14ac:dyDescent="0.3">
      <c r="D332" s="80"/>
      <c r="E332" s="80"/>
      <c r="F332" s="80"/>
      <c r="G332" s="80"/>
      <c r="H332" s="80"/>
      <c r="I332" s="80"/>
      <c r="J332" s="80"/>
    </row>
    <row r="333" spans="4:10" hidden="1" x14ac:dyDescent="0.3">
      <c r="D333" s="80"/>
      <c r="E333" s="80"/>
      <c r="F333" s="80"/>
      <c r="G333" s="80"/>
      <c r="H333" s="80"/>
      <c r="I333" s="80"/>
      <c r="J333" s="80"/>
    </row>
    <row r="334" spans="4:10" hidden="1" x14ac:dyDescent="0.3">
      <c r="D334" s="80"/>
      <c r="E334" s="80"/>
      <c r="F334" s="80"/>
      <c r="G334" s="80"/>
      <c r="H334" s="80"/>
      <c r="I334" s="80"/>
      <c r="J334" s="80"/>
    </row>
    <row r="335" spans="4:10" hidden="1" x14ac:dyDescent="0.3">
      <c r="D335" s="80"/>
      <c r="E335" s="80"/>
      <c r="F335" s="80"/>
      <c r="G335" s="80"/>
      <c r="H335" s="80"/>
      <c r="I335" s="80"/>
      <c r="J335" s="80"/>
    </row>
    <row r="336" spans="4:10" hidden="1" x14ac:dyDescent="0.3">
      <c r="D336" s="80"/>
      <c r="E336" s="80"/>
      <c r="F336" s="80"/>
      <c r="G336" s="80"/>
      <c r="H336" s="80"/>
      <c r="I336" s="80"/>
      <c r="J336" s="80"/>
    </row>
    <row r="337" spans="4:10" hidden="1" x14ac:dyDescent="0.3">
      <c r="D337" s="80"/>
      <c r="E337" s="80"/>
      <c r="F337" s="80"/>
      <c r="G337" s="80"/>
      <c r="H337" s="80"/>
      <c r="I337" s="80"/>
      <c r="J337" s="80"/>
    </row>
    <row r="338" spans="4:10" hidden="1" x14ac:dyDescent="0.3">
      <c r="D338" s="80"/>
      <c r="E338" s="80"/>
      <c r="F338" s="80"/>
      <c r="G338" s="80"/>
      <c r="H338" s="80"/>
      <c r="I338" s="80"/>
      <c r="J338" s="80"/>
    </row>
    <row r="339" spans="4:10" hidden="1" x14ac:dyDescent="0.3">
      <c r="D339" s="80"/>
      <c r="E339" s="80"/>
      <c r="F339" s="80"/>
      <c r="G339" s="80"/>
      <c r="H339" s="80"/>
      <c r="I339" s="80"/>
      <c r="J339" s="80"/>
    </row>
    <row r="340" spans="4:10" hidden="1" x14ac:dyDescent="0.3">
      <c r="D340" s="80"/>
      <c r="E340" s="80"/>
      <c r="F340" s="80"/>
      <c r="G340" s="80"/>
      <c r="H340" s="80"/>
      <c r="I340" s="80"/>
      <c r="J340" s="80"/>
    </row>
    <row r="341" spans="4:10" hidden="1" x14ac:dyDescent="0.3">
      <c r="D341" s="80"/>
      <c r="E341" s="80"/>
      <c r="F341" s="80"/>
      <c r="G341" s="80"/>
      <c r="H341" s="80"/>
      <c r="I341" s="80"/>
      <c r="J341" s="80"/>
    </row>
    <row r="342" spans="4:10" hidden="1" x14ac:dyDescent="0.3">
      <c r="D342" s="80"/>
      <c r="E342" s="80"/>
      <c r="F342" s="80"/>
      <c r="G342" s="80"/>
      <c r="H342" s="80"/>
      <c r="I342" s="80"/>
      <c r="J342" s="80"/>
    </row>
    <row r="343" spans="4:10" hidden="1" x14ac:dyDescent="0.3">
      <c r="D343" s="80"/>
      <c r="E343" s="80"/>
      <c r="F343" s="80"/>
      <c r="G343" s="80"/>
      <c r="H343" s="80"/>
      <c r="I343" s="80"/>
      <c r="J343" s="80"/>
    </row>
    <row r="344" spans="4:10" hidden="1" x14ac:dyDescent="0.3">
      <c r="D344" s="80"/>
      <c r="E344" s="80"/>
      <c r="F344" s="80"/>
      <c r="G344" s="80"/>
      <c r="H344" s="80"/>
      <c r="I344" s="80"/>
      <c r="J344" s="80"/>
    </row>
    <row r="345" spans="4:10" hidden="1" x14ac:dyDescent="0.3">
      <c r="D345" s="80"/>
      <c r="E345" s="80"/>
      <c r="F345" s="80"/>
      <c r="G345" s="80"/>
      <c r="H345" s="80"/>
      <c r="I345" s="80"/>
      <c r="J345" s="80"/>
    </row>
    <row r="346" spans="4:10" hidden="1" x14ac:dyDescent="0.3">
      <c r="D346" s="80"/>
      <c r="E346" s="80"/>
      <c r="F346" s="80"/>
      <c r="G346" s="80"/>
      <c r="H346" s="80"/>
      <c r="I346" s="80"/>
      <c r="J346" s="80"/>
    </row>
    <row r="347" spans="4:10" hidden="1" x14ac:dyDescent="0.3">
      <c r="D347" s="80"/>
      <c r="E347" s="80"/>
      <c r="F347" s="80"/>
      <c r="G347" s="80"/>
      <c r="H347" s="80"/>
      <c r="I347" s="80"/>
      <c r="J347" s="80"/>
    </row>
    <row r="348" spans="4:10" hidden="1" x14ac:dyDescent="0.3">
      <c r="D348" s="80"/>
      <c r="E348" s="80"/>
      <c r="F348" s="80"/>
      <c r="G348" s="80"/>
      <c r="H348" s="80"/>
      <c r="I348" s="80"/>
      <c r="J348" s="80"/>
    </row>
    <row r="349" spans="4:10" hidden="1" x14ac:dyDescent="0.3">
      <c r="D349" s="80"/>
      <c r="E349" s="80"/>
      <c r="F349" s="80"/>
      <c r="G349" s="80"/>
      <c r="H349" s="80"/>
      <c r="I349" s="80"/>
      <c r="J349" s="80"/>
    </row>
    <row r="350" spans="4:10" hidden="1" x14ac:dyDescent="0.3">
      <c r="D350" s="80"/>
      <c r="E350" s="80"/>
      <c r="F350" s="80"/>
      <c r="G350" s="80"/>
      <c r="H350" s="80"/>
      <c r="I350" s="80"/>
      <c r="J350" s="80"/>
    </row>
    <row r="351" spans="4:10" hidden="1" x14ac:dyDescent="0.3">
      <c r="D351" s="80"/>
      <c r="E351" s="80"/>
      <c r="F351" s="80"/>
      <c r="G351" s="80"/>
      <c r="H351" s="80"/>
      <c r="I351" s="80"/>
      <c r="J351" s="80"/>
    </row>
    <row r="352" spans="4:10" hidden="1" x14ac:dyDescent="0.3">
      <c r="D352" s="80"/>
      <c r="E352" s="80"/>
      <c r="F352" s="80"/>
      <c r="G352" s="80"/>
      <c r="H352" s="80"/>
      <c r="I352" s="80"/>
      <c r="J352" s="80"/>
    </row>
    <row r="353" spans="4:10" hidden="1" x14ac:dyDescent="0.3">
      <c r="D353" s="80"/>
      <c r="E353" s="80"/>
      <c r="F353" s="80"/>
      <c r="G353" s="80"/>
      <c r="H353" s="80"/>
      <c r="I353" s="80"/>
      <c r="J353" s="80"/>
    </row>
    <row r="354" spans="4:10" hidden="1" x14ac:dyDescent="0.3">
      <c r="D354" s="80"/>
      <c r="E354" s="80"/>
      <c r="F354" s="80"/>
      <c r="G354" s="80"/>
      <c r="H354" s="80"/>
      <c r="I354" s="80"/>
      <c r="J354" s="80"/>
    </row>
    <row r="355" spans="4:10" hidden="1" x14ac:dyDescent="0.3">
      <c r="D355" s="80"/>
      <c r="E355" s="80"/>
      <c r="F355" s="80"/>
      <c r="G355" s="80"/>
      <c r="H355" s="80"/>
      <c r="I355" s="80"/>
      <c r="J355" s="80"/>
    </row>
    <row r="356" spans="4:10" hidden="1" x14ac:dyDescent="0.3">
      <c r="D356" s="80"/>
      <c r="E356" s="80"/>
      <c r="F356" s="80"/>
      <c r="G356" s="80"/>
      <c r="H356" s="80"/>
      <c r="I356" s="80"/>
      <c r="J356" s="80"/>
    </row>
    <row r="357" spans="4:10" hidden="1" x14ac:dyDescent="0.3">
      <c r="D357" s="80"/>
      <c r="E357" s="80"/>
      <c r="F357" s="80"/>
      <c r="G357" s="80"/>
      <c r="H357" s="80"/>
      <c r="I357" s="80"/>
      <c r="J357" s="80"/>
    </row>
    <row r="358" spans="4:10" hidden="1" x14ac:dyDescent="0.3">
      <c r="D358" s="80"/>
      <c r="E358" s="80"/>
      <c r="F358" s="80"/>
      <c r="G358" s="80"/>
      <c r="H358" s="80"/>
      <c r="I358" s="80"/>
      <c r="J358" s="80"/>
    </row>
    <row r="359" spans="4:10" hidden="1" x14ac:dyDescent="0.3">
      <c r="D359" s="80"/>
      <c r="E359" s="80"/>
      <c r="F359" s="80"/>
      <c r="G359" s="80"/>
      <c r="H359" s="80"/>
      <c r="I359" s="80"/>
      <c r="J359" s="80"/>
    </row>
    <row r="360" spans="4:10" hidden="1" x14ac:dyDescent="0.3">
      <c r="D360" s="80"/>
      <c r="E360" s="80"/>
      <c r="F360" s="80"/>
      <c r="G360" s="80"/>
      <c r="H360" s="80"/>
      <c r="I360" s="80"/>
      <c r="J360" s="80"/>
    </row>
    <row r="361" spans="4:10" hidden="1" x14ac:dyDescent="0.3">
      <c r="D361" s="80"/>
      <c r="E361" s="80"/>
      <c r="F361" s="80"/>
      <c r="G361" s="80"/>
      <c r="H361" s="80"/>
      <c r="I361" s="80"/>
      <c r="J361" s="80"/>
    </row>
    <row r="362" spans="4:10" hidden="1" x14ac:dyDescent="0.3">
      <c r="D362" s="80"/>
      <c r="E362" s="80"/>
      <c r="F362" s="80"/>
      <c r="G362" s="80"/>
      <c r="H362" s="80"/>
      <c r="I362" s="80"/>
      <c r="J362" s="80"/>
    </row>
    <row r="363" spans="4:10" hidden="1" x14ac:dyDescent="0.3">
      <c r="D363" s="80"/>
      <c r="E363" s="80"/>
      <c r="F363" s="80"/>
      <c r="G363" s="80"/>
      <c r="H363" s="80"/>
      <c r="I363" s="80"/>
      <c r="J363" s="80"/>
    </row>
    <row r="364" spans="4:10" hidden="1" x14ac:dyDescent="0.3">
      <c r="D364" s="80"/>
      <c r="E364" s="80"/>
      <c r="F364" s="80"/>
      <c r="G364" s="80"/>
      <c r="H364" s="80"/>
      <c r="I364" s="80"/>
      <c r="J364" s="80"/>
    </row>
    <row r="365" spans="4:10" hidden="1" x14ac:dyDescent="0.3">
      <c r="D365" s="80"/>
      <c r="E365" s="80"/>
      <c r="F365" s="80"/>
      <c r="G365" s="80"/>
      <c r="H365" s="80"/>
      <c r="I365" s="80"/>
      <c r="J365" s="80"/>
    </row>
    <row r="366" spans="4:10" hidden="1" x14ac:dyDescent="0.3">
      <c r="D366" s="80"/>
      <c r="E366" s="80"/>
      <c r="F366" s="80"/>
      <c r="G366" s="80"/>
      <c r="H366" s="80"/>
      <c r="I366" s="80"/>
      <c r="J366" s="80"/>
    </row>
    <row r="367" spans="4:10" hidden="1" x14ac:dyDescent="0.3">
      <c r="D367" s="80"/>
      <c r="E367" s="80"/>
      <c r="F367" s="80"/>
      <c r="G367" s="80"/>
      <c r="H367" s="80"/>
      <c r="I367" s="80"/>
      <c r="J367" s="80"/>
    </row>
    <row r="368" spans="4:10" hidden="1" x14ac:dyDescent="0.3">
      <c r="D368" s="80"/>
      <c r="E368" s="80"/>
      <c r="F368" s="80"/>
      <c r="G368" s="80"/>
      <c r="H368" s="80"/>
      <c r="I368" s="80"/>
      <c r="J368" s="80"/>
    </row>
    <row r="369" spans="4:10" hidden="1" x14ac:dyDescent="0.3">
      <c r="D369" s="80"/>
      <c r="E369" s="80"/>
      <c r="F369" s="80"/>
      <c r="G369" s="80"/>
      <c r="H369" s="80"/>
      <c r="I369" s="80"/>
      <c r="J369" s="80"/>
    </row>
    <row r="370" spans="4:10" x14ac:dyDescent="0.3">
      <c r="D370" s="80"/>
      <c r="E370" s="80"/>
      <c r="F370" s="80"/>
      <c r="G370" s="80"/>
      <c r="H370" s="80"/>
      <c r="I370" s="80"/>
      <c r="J370" s="80"/>
    </row>
    <row r="371" spans="4:10" x14ac:dyDescent="0.3">
      <c r="D371" s="80"/>
      <c r="E371" s="80"/>
      <c r="F371" s="80"/>
      <c r="G371" s="80"/>
      <c r="H371" s="80"/>
      <c r="I371" s="80"/>
      <c r="J371" s="80"/>
    </row>
    <row r="372" spans="4:10" x14ac:dyDescent="0.3">
      <c r="D372" s="80"/>
      <c r="E372" s="80"/>
      <c r="F372" s="80"/>
      <c r="G372" s="80"/>
      <c r="H372" s="80"/>
      <c r="I372" s="80"/>
      <c r="J372" s="80"/>
    </row>
    <row r="373" spans="4:10" x14ac:dyDescent="0.3">
      <c r="D373" s="80"/>
      <c r="E373" s="80"/>
      <c r="F373" s="80"/>
      <c r="G373" s="80"/>
      <c r="H373" s="80"/>
      <c r="I373" s="80"/>
      <c r="J373" s="80"/>
    </row>
    <row r="374" spans="4:10" x14ac:dyDescent="0.3">
      <c r="D374" s="80"/>
      <c r="E374" s="80"/>
      <c r="F374" s="80"/>
      <c r="G374" s="80"/>
      <c r="H374" s="80"/>
      <c r="I374" s="80"/>
      <c r="J374" s="80"/>
    </row>
    <row r="375" spans="4:10" x14ac:dyDescent="0.3">
      <c r="D375" s="80"/>
      <c r="E375" s="80"/>
      <c r="F375" s="80"/>
      <c r="G375" s="80"/>
      <c r="H375" s="80"/>
      <c r="I375" s="80"/>
      <c r="J375" s="80"/>
    </row>
    <row r="376" spans="4:10" x14ac:dyDescent="0.3">
      <c r="D376" s="80"/>
      <c r="E376" s="80"/>
      <c r="F376" s="80"/>
      <c r="G376" s="80"/>
      <c r="H376" s="80"/>
      <c r="I376" s="80"/>
      <c r="J376" s="80"/>
    </row>
    <row r="377" spans="4:10" x14ac:dyDescent="0.3">
      <c r="D377" s="80"/>
      <c r="E377" s="80"/>
      <c r="F377" s="80"/>
      <c r="G377" s="80"/>
      <c r="H377" s="80"/>
      <c r="I377" s="80"/>
      <c r="J377" s="80"/>
    </row>
    <row r="378" spans="4:10" x14ac:dyDescent="0.3">
      <c r="D378" s="80"/>
      <c r="E378" s="80"/>
      <c r="F378" s="80"/>
      <c r="G378" s="80"/>
      <c r="H378" s="80"/>
      <c r="I378" s="80"/>
      <c r="J378" s="80"/>
    </row>
    <row r="379" spans="4:10" x14ac:dyDescent="0.3">
      <c r="D379" s="80"/>
      <c r="E379" s="80"/>
      <c r="F379" s="80"/>
      <c r="G379" s="80"/>
      <c r="H379" s="80"/>
      <c r="I379" s="80"/>
      <c r="J379" s="80"/>
    </row>
    <row r="380" spans="4:10" x14ac:dyDescent="0.3">
      <c r="D380" s="80"/>
      <c r="E380" s="80"/>
      <c r="F380" s="80"/>
      <c r="G380" s="80"/>
      <c r="H380" s="80"/>
      <c r="I380" s="80"/>
      <c r="J380" s="80"/>
    </row>
    <row r="381" spans="4:10" x14ac:dyDescent="0.3">
      <c r="D381" s="80"/>
      <c r="E381" s="80"/>
      <c r="F381" s="80"/>
      <c r="G381" s="80"/>
      <c r="H381" s="80"/>
      <c r="I381" s="80"/>
      <c r="J381" s="80"/>
    </row>
    <row r="382" spans="4:10" x14ac:dyDescent="0.3">
      <c r="D382" s="80"/>
      <c r="E382" s="80"/>
      <c r="F382" s="80"/>
      <c r="G382" s="80"/>
      <c r="H382" s="80"/>
      <c r="I382" s="80"/>
      <c r="J382" s="80"/>
    </row>
    <row r="383" spans="4:10" x14ac:dyDescent="0.3">
      <c r="D383" s="80"/>
      <c r="E383" s="80"/>
      <c r="F383" s="80"/>
      <c r="G383" s="80"/>
      <c r="H383" s="80"/>
      <c r="I383" s="80"/>
      <c r="J383" s="80"/>
    </row>
    <row r="384" spans="4:10" x14ac:dyDescent="0.3">
      <c r="D384" s="80"/>
      <c r="E384" s="80"/>
      <c r="F384" s="80"/>
      <c r="G384" s="80"/>
      <c r="H384" s="80"/>
      <c r="I384" s="80"/>
      <c r="J384" s="80"/>
    </row>
    <row r="385" spans="4:10" x14ac:dyDescent="0.3">
      <c r="D385" s="80"/>
      <c r="E385" s="80"/>
      <c r="F385" s="80"/>
      <c r="G385" s="80"/>
      <c r="H385" s="80"/>
      <c r="I385" s="80"/>
      <c r="J385" s="80"/>
    </row>
    <row r="386" spans="4:10" x14ac:dyDescent="0.3">
      <c r="D386" s="80"/>
      <c r="E386" s="80"/>
      <c r="F386" s="80"/>
      <c r="G386" s="80"/>
      <c r="H386" s="80"/>
      <c r="I386" s="80"/>
      <c r="J386" s="80"/>
    </row>
    <row r="387" spans="4:10" x14ac:dyDescent="0.3">
      <c r="D387" s="80"/>
      <c r="E387" s="80"/>
      <c r="F387" s="80"/>
      <c r="G387" s="80"/>
      <c r="H387" s="80"/>
      <c r="I387" s="80"/>
      <c r="J387" s="80"/>
    </row>
    <row r="388" spans="4:10" x14ac:dyDescent="0.3">
      <c r="D388" s="80"/>
      <c r="E388" s="80"/>
      <c r="F388" s="80"/>
      <c r="G388" s="80"/>
      <c r="H388" s="80"/>
      <c r="I388" s="80"/>
      <c r="J388" s="80"/>
    </row>
    <row r="389" spans="4:10" x14ac:dyDescent="0.3">
      <c r="D389" s="80"/>
      <c r="E389" s="80"/>
      <c r="F389" s="80"/>
      <c r="G389" s="80"/>
      <c r="H389" s="80"/>
      <c r="I389" s="80"/>
      <c r="J389" s="80"/>
    </row>
    <row r="390" spans="4:10" x14ac:dyDescent="0.3">
      <c r="D390" s="80"/>
      <c r="E390" s="80"/>
      <c r="F390" s="80"/>
      <c r="G390" s="80"/>
      <c r="H390" s="80"/>
      <c r="I390" s="80"/>
      <c r="J390" s="80"/>
    </row>
    <row r="391" spans="4:10" x14ac:dyDescent="0.3">
      <c r="D391" s="80"/>
      <c r="E391" s="80"/>
      <c r="F391" s="80"/>
      <c r="G391" s="80"/>
      <c r="H391" s="80"/>
      <c r="I391" s="80"/>
      <c r="J391" s="80"/>
    </row>
    <row r="392" spans="4:10" x14ac:dyDescent="0.3">
      <c r="D392" s="80"/>
      <c r="E392" s="80"/>
      <c r="F392" s="80"/>
      <c r="G392" s="80"/>
      <c r="H392" s="80"/>
      <c r="I392" s="80"/>
      <c r="J392" s="80"/>
    </row>
    <row r="393" spans="4:10" x14ac:dyDescent="0.3">
      <c r="D393" s="80"/>
      <c r="E393" s="80"/>
      <c r="F393" s="80"/>
      <c r="G393" s="80"/>
      <c r="H393" s="80"/>
      <c r="I393" s="80"/>
      <c r="J393" s="80"/>
    </row>
    <row r="394" spans="4:10" x14ac:dyDescent="0.3">
      <c r="D394" s="80"/>
      <c r="E394" s="80"/>
      <c r="F394" s="80"/>
      <c r="G394" s="80"/>
      <c r="H394" s="80"/>
      <c r="I394" s="80"/>
      <c r="J394" s="80"/>
    </row>
    <row r="395" spans="4:10" x14ac:dyDescent="0.3">
      <c r="D395" s="80"/>
      <c r="E395" s="80"/>
      <c r="F395" s="80"/>
      <c r="G395" s="80"/>
      <c r="H395" s="80"/>
      <c r="I395" s="80"/>
      <c r="J395" s="80"/>
    </row>
    <row r="396" spans="4:10" x14ac:dyDescent="0.3">
      <c r="D396" s="80"/>
      <c r="E396" s="80"/>
      <c r="F396" s="80"/>
      <c r="G396" s="80"/>
      <c r="H396" s="80"/>
      <c r="I396" s="80"/>
      <c r="J396" s="80"/>
    </row>
    <row r="397" spans="4:10" x14ac:dyDescent="0.3">
      <c r="D397" s="80"/>
      <c r="E397" s="80"/>
      <c r="F397" s="80"/>
      <c r="G397" s="80"/>
      <c r="H397" s="80"/>
      <c r="I397" s="80"/>
      <c r="J397" s="80"/>
    </row>
    <row r="398" spans="4:10" x14ac:dyDescent="0.3">
      <c r="D398" s="80"/>
      <c r="E398" s="80"/>
      <c r="F398" s="80"/>
      <c r="G398" s="80"/>
      <c r="H398" s="80"/>
      <c r="I398" s="80"/>
      <c r="J398" s="80"/>
    </row>
    <row r="399" spans="4:10" x14ac:dyDescent="0.3">
      <c r="D399" s="80"/>
      <c r="E399" s="80"/>
      <c r="F399" s="80"/>
      <c r="G399" s="80"/>
      <c r="H399" s="80"/>
      <c r="I399" s="80"/>
      <c r="J399" s="80"/>
    </row>
    <row r="400" spans="4:10" x14ac:dyDescent="0.3">
      <c r="D400" s="80"/>
      <c r="E400" s="80"/>
      <c r="F400" s="80"/>
      <c r="G400" s="80"/>
      <c r="H400" s="80"/>
      <c r="I400" s="80"/>
      <c r="J400" s="80"/>
    </row>
    <row r="401" spans="4:10" x14ac:dyDescent="0.3">
      <c r="D401" s="80"/>
      <c r="E401" s="80"/>
      <c r="F401" s="80"/>
      <c r="G401" s="80"/>
      <c r="H401" s="80"/>
      <c r="I401" s="80"/>
      <c r="J401" s="80"/>
    </row>
    <row r="402" spans="4:10" x14ac:dyDescent="0.3">
      <c r="D402" s="80"/>
      <c r="E402" s="80"/>
      <c r="F402" s="80"/>
      <c r="G402" s="80"/>
      <c r="H402" s="80"/>
      <c r="I402" s="80"/>
      <c r="J402" s="80"/>
    </row>
    <row r="403" spans="4:10" x14ac:dyDescent="0.3">
      <c r="D403" s="80"/>
      <c r="E403" s="80"/>
      <c r="F403" s="80"/>
      <c r="G403" s="80"/>
      <c r="H403" s="80"/>
      <c r="I403" s="80"/>
      <c r="J403" s="80"/>
    </row>
    <row r="404" spans="4:10" x14ac:dyDescent="0.3">
      <c r="D404" s="80"/>
      <c r="E404" s="80"/>
      <c r="F404" s="80"/>
      <c r="G404" s="80"/>
      <c r="H404" s="80"/>
      <c r="I404" s="80"/>
      <c r="J404" s="80"/>
    </row>
    <row r="405" spans="4:10" x14ac:dyDescent="0.3">
      <c r="D405" s="80"/>
      <c r="E405" s="80"/>
      <c r="F405" s="80"/>
      <c r="G405" s="80"/>
      <c r="H405" s="80"/>
      <c r="I405" s="80"/>
      <c r="J405" s="80"/>
    </row>
    <row r="406" spans="4:10" x14ac:dyDescent="0.3">
      <c r="D406" s="80"/>
      <c r="E406" s="80"/>
      <c r="F406" s="80"/>
      <c r="G406" s="80"/>
      <c r="H406" s="80"/>
      <c r="I406" s="80"/>
      <c r="J406" s="80"/>
    </row>
    <row r="407" spans="4:10" x14ac:dyDescent="0.3">
      <c r="D407" s="80"/>
      <c r="E407" s="80"/>
      <c r="F407" s="80"/>
      <c r="G407" s="80"/>
      <c r="H407" s="80"/>
      <c r="I407" s="80"/>
      <c r="J407" s="80"/>
    </row>
    <row r="408" spans="4:10" x14ac:dyDescent="0.3">
      <c r="D408" s="80"/>
      <c r="E408" s="80"/>
      <c r="F408" s="80"/>
      <c r="G408" s="80"/>
      <c r="H408" s="80"/>
      <c r="I408" s="80"/>
      <c r="J408" s="80"/>
    </row>
    <row r="409" spans="4:10" x14ac:dyDescent="0.3">
      <c r="D409" s="80"/>
      <c r="E409" s="80"/>
      <c r="F409" s="80"/>
      <c r="G409" s="80"/>
      <c r="H409" s="80"/>
      <c r="I409" s="80"/>
      <c r="J409" s="80"/>
    </row>
    <row r="410" spans="4:10" x14ac:dyDescent="0.3">
      <c r="D410" s="80"/>
      <c r="E410" s="80"/>
      <c r="F410" s="80"/>
      <c r="G410" s="80"/>
      <c r="H410" s="80"/>
      <c r="I410" s="80"/>
      <c r="J410" s="80"/>
    </row>
    <row r="411" spans="4:10" x14ac:dyDescent="0.3">
      <c r="D411" s="80"/>
      <c r="E411" s="80"/>
      <c r="F411" s="80"/>
      <c r="G411" s="80"/>
      <c r="H411" s="80"/>
      <c r="I411" s="80"/>
      <c r="J411" s="80"/>
    </row>
    <row r="412" spans="4:10" x14ac:dyDescent="0.3">
      <c r="D412" s="80"/>
      <c r="E412" s="80"/>
      <c r="F412" s="80"/>
      <c r="G412" s="80"/>
      <c r="H412" s="80"/>
      <c r="I412" s="80"/>
      <c r="J412" s="80"/>
    </row>
    <row r="413" spans="4:10" x14ac:dyDescent="0.3">
      <c r="D413" s="80"/>
      <c r="E413" s="80"/>
      <c r="F413" s="80"/>
      <c r="G413" s="80"/>
      <c r="H413" s="80"/>
      <c r="I413" s="80"/>
      <c r="J413" s="80"/>
    </row>
    <row r="414" spans="4:10" x14ac:dyDescent="0.3">
      <c r="D414" s="80"/>
      <c r="E414" s="80"/>
      <c r="F414" s="80"/>
      <c r="G414" s="80"/>
      <c r="H414" s="80"/>
      <c r="I414" s="80"/>
      <c r="J414" s="80"/>
    </row>
    <row r="415" spans="4:10" x14ac:dyDescent="0.3">
      <c r="D415" s="80"/>
      <c r="E415" s="80"/>
      <c r="F415" s="80"/>
      <c r="G415" s="80"/>
      <c r="H415" s="80"/>
      <c r="I415" s="80"/>
      <c r="J415" s="80"/>
    </row>
    <row r="416" spans="4:10" x14ac:dyDescent="0.3">
      <c r="D416" s="80"/>
      <c r="E416" s="80"/>
      <c r="F416" s="80"/>
      <c r="G416" s="80"/>
      <c r="H416" s="80"/>
      <c r="I416" s="80"/>
      <c r="J416" s="80"/>
    </row>
    <row r="417" spans="4:10" x14ac:dyDescent="0.3">
      <c r="D417" s="80"/>
      <c r="E417" s="80"/>
      <c r="F417" s="80"/>
      <c r="G417" s="80"/>
      <c r="H417" s="80"/>
      <c r="I417" s="80"/>
      <c r="J417" s="80"/>
    </row>
    <row r="418" spans="4:10" x14ac:dyDescent="0.3">
      <c r="D418" s="80"/>
      <c r="E418" s="80"/>
      <c r="F418" s="80"/>
      <c r="G418" s="80"/>
      <c r="H418" s="80"/>
      <c r="I418" s="80"/>
      <c r="J418" s="80"/>
    </row>
    <row r="419" spans="4:10" x14ac:dyDescent="0.3">
      <c r="D419" s="80"/>
      <c r="E419" s="80"/>
      <c r="F419" s="80"/>
      <c r="G419" s="80"/>
      <c r="H419" s="80"/>
      <c r="I419" s="80"/>
      <c r="J419" s="80"/>
    </row>
    <row r="420" spans="4:10" x14ac:dyDescent="0.3">
      <c r="D420" s="80"/>
      <c r="E420" s="80"/>
      <c r="F420" s="80"/>
      <c r="G420" s="80"/>
      <c r="H420" s="80"/>
      <c r="I420" s="80"/>
      <c r="J420" s="80"/>
    </row>
    <row r="421" spans="4:10" x14ac:dyDescent="0.3">
      <c r="D421" s="80"/>
      <c r="E421" s="80"/>
      <c r="F421" s="80"/>
      <c r="G421" s="80"/>
      <c r="H421" s="80"/>
      <c r="I421" s="80"/>
      <c r="J421" s="80"/>
    </row>
    <row r="422" spans="4:10" x14ac:dyDescent="0.3">
      <c r="D422" s="80"/>
      <c r="E422" s="80"/>
      <c r="F422" s="80"/>
      <c r="G422" s="80"/>
      <c r="H422" s="80"/>
      <c r="I422" s="80"/>
      <c r="J422" s="80"/>
    </row>
    <row r="423" spans="4:10" x14ac:dyDescent="0.3">
      <c r="D423" s="80"/>
      <c r="E423" s="80"/>
      <c r="F423" s="80"/>
      <c r="G423" s="80"/>
      <c r="H423" s="80"/>
      <c r="I423" s="80"/>
      <c r="J423" s="80"/>
    </row>
    <row r="424" spans="4:10" x14ac:dyDescent="0.3">
      <c r="D424" s="80"/>
      <c r="E424" s="80"/>
      <c r="F424" s="80"/>
      <c r="G424" s="80"/>
      <c r="H424" s="80"/>
      <c r="I424" s="80"/>
      <c r="J424" s="80"/>
    </row>
    <row r="425" spans="4:10" x14ac:dyDescent="0.3">
      <c r="D425" s="80"/>
      <c r="E425" s="80"/>
      <c r="F425" s="80"/>
      <c r="G425" s="80"/>
      <c r="H425" s="80"/>
      <c r="I425" s="80"/>
      <c r="J425" s="80"/>
    </row>
    <row r="426" spans="4:10" x14ac:dyDescent="0.3">
      <c r="D426" s="80"/>
      <c r="E426" s="80"/>
      <c r="F426" s="80"/>
      <c r="G426" s="80"/>
      <c r="H426" s="80"/>
      <c r="I426" s="80"/>
      <c r="J426" s="80"/>
    </row>
    <row r="427" spans="4:10" x14ac:dyDescent="0.3">
      <c r="D427" s="80"/>
      <c r="E427" s="80"/>
      <c r="F427" s="80"/>
      <c r="G427" s="80"/>
      <c r="H427" s="80"/>
      <c r="I427" s="80"/>
      <c r="J427" s="80"/>
    </row>
    <row r="428" spans="4:10" x14ac:dyDescent="0.3">
      <c r="D428" s="80"/>
      <c r="E428" s="80"/>
      <c r="F428" s="80"/>
      <c r="G428" s="80"/>
      <c r="H428" s="80"/>
      <c r="I428" s="80"/>
      <c r="J428" s="80"/>
    </row>
    <row r="429" spans="4:10" x14ac:dyDescent="0.3">
      <c r="D429" s="80"/>
      <c r="E429" s="80"/>
      <c r="F429" s="80"/>
      <c r="G429" s="80"/>
      <c r="H429" s="80"/>
      <c r="I429" s="80"/>
      <c r="J429" s="80"/>
    </row>
    <row r="430" spans="4:10" x14ac:dyDescent="0.3">
      <c r="D430" s="80"/>
      <c r="E430" s="80"/>
      <c r="F430" s="80"/>
      <c r="G430" s="80"/>
      <c r="H430" s="80"/>
      <c r="I430" s="80"/>
      <c r="J430" s="80"/>
    </row>
    <row r="431" spans="4:10" x14ac:dyDescent="0.3">
      <c r="D431" s="80"/>
      <c r="E431" s="80"/>
      <c r="F431" s="80"/>
      <c r="G431" s="80"/>
      <c r="H431" s="80"/>
      <c r="I431" s="80"/>
      <c r="J431" s="80"/>
    </row>
    <row r="432" spans="4:10" x14ac:dyDescent="0.3">
      <c r="D432" s="80"/>
      <c r="E432" s="80"/>
      <c r="F432" s="80"/>
      <c r="G432" s="80"/>
      <c r="H432" s="80"/>
      <c r="I432" s="80"/>
      <c r="J432" s="80"/>
    </row>
    <row r="433" spans="4:10" x14ac:dyDescent="0.3">
      <c r="D433" s="80"/>
      <c r="E433" s="80"/>
      <c r="F433" s="80"/>
      <c r="G433" s="80"/>
      <c r="H433" s="80"/>
      <c r="I433" s="80"/>
      <c r="J433" s="80"/>
    </row>
    <row r="434" spans="4:10" x14ac:dyDescent="0.3">
      <c r="D434" s="80"/>
      <c r="E434" s="80"/>
      <c r="F434" s="80"/>
      <c r="G434" s="80"/>
      <c r="H434" s="80"/>
      <c r="I434" s="80"/>
      <c r="J434" s="80"/>
    </row>
    <row r="435" spans="4:10" x14ac:dyDescent="0.3">
      <c r="D435" s="80"/>
      <c r="E435" s="80"/>
      <c r="F435" s="80"/>
      <c r="G435" s="80"/>
      <c r="H435" s="80"/>
      <c r="I435" s="80"/>
      <c r="J435" s="80"/>
    </row>
    <row r="436" spans="4:10" x14ac:dyDescent="0.3">
      <c r="D436" s="80"/>
      <c r="E436" s="80"/>
      <c r="F436" s="80"/>
      <c r="G436" s="80"/>
      <c r="H436" s="80"/>
      <c r="I436" s="80"/>
      <c r="J436" s="80"/>
    </row>
    <row r="437" spans="4:10" x14ac:dyDescent="0.3">
      <c r="D437" s="80"/>
      <c r="E437" s="80"/>
      <c r="F437" s="80"/>
      <c r="G437" s="80"/>
      <c r="H437" s="80"/>
      <c r="I437" s="80"/>
      <c r="J437" s="80"/>
    </row>
    <row r="438" spans="4:10" x14ac:dyDescent="0.3">
      <c r="D438" s="80"/>
      <c r="E438" s="80"/>
      <c r="F438" s="80"/>
      <c r="G438" s="80"/>
      <c r="H438" s="80"/>
      <c r="I438" s="80"/>
      <c r="J438" s="80"/>
    </row>
    <row r="439" spans="4:10" x14ac:dyDescent="0.3">
      <c r="D439" s="80"/>
      <c r="E439" s="80"/>
      <c r="F439" s="80"/>
      <c r="G439" s="80"/>
      <c r="H439" s="80"/>
      <c r="I439" s="80"/>
      <c r="J439" s="80"/>
    </row>
    <row r="440" spans="4:10" x14ac:dyDescent="0.3">
      <c r="D440" s="80"/>
      <c r="E440" s="80"/>
      <c r="F440" s="80"/>
      <c r="G440" s="80"/>
      <c r="H440" s="80"/>
      <c r="I440" s="80"/>
      <c r="J440" s="80"/>
    </row>
    <row r="441" spans="4:10" x14ac:dyDescent="0.3">
      <c r="D441" s="80"/>
      <c r="E441" s="80"/>
      <c r="F441" s="80"/>
      <c r="G441" s="80"/>
      <c r="H441" s="80"/>
      <c r="I441" s="80"/>
      <c r="J441" s="80"/>
    </row>
    <row r="442" spans="4:10" x14ac:dyDescent="0.3">
      <c r="D442" s="80"/>
      <c r="E442" s="80"/>
      <c r="F442" s="80"/>
      <c r="G442" s="80"/>
      <c r="H442" s="80"/>
      <c r="I442" s="80"/>
      <c r="J442" s="80"/>
    </row>
    <row r="443" spans="4:10" x14ac:dyDescent="0.3">
      <c r="D443" s="80"/>
      <c r="E443" s="80"/>
      <c r="F443" s="80"/>
      <c r="G443" s="80"/>
      <c r="H443" s="80"/>
      <c r="I443" s="80"/>
      <c r="J443" s="80"/>
    </row>
    <row r="444" spans="4:10" x14ac:dyDescent="0.3">
      <c r="D444" s="80"/>
      <c r="E444" s="80"/>
      <c r="F444" s="80"/>
      <c r="G444" s="80"/>
      <c r="H444" s="80"/>
      <c r="I444" s="80"/>
      <c r="J444" s="80"/>
    </row>
    <row r="445" spans="4:10" x14ac:dyDescent="0.3">
      <c r="D445" s="80"/>
      <c r="E445" s="80"/>
      <c r="F445" s="80"/>
      <c r="G445" s="80"/>
      <c r="H445" s="80"/>
      <c r="I445" s="80"/>
      <c r="J445" s="80"/>
    </row>
    <row r="446" spans="4:10" x14ac:dyDescent="0.3">
      <c r="D446" s="80"/>
      <c r="E446" s="80"/>
      <c r="F446" s="80"/>
      <c r="G446" s="80"/>
      <c r="H446" s="80"/>
      <c r="I446" s="80"/>
      <c r="J446" s="80"/>
    </row>
    <row r="447" spans="4:10" x14ac:dyDescent="0.3">
      <c r="D447" s="80"/>
      <c r="E447" s="80"/>
      <c r="F447" s="80"/>
      <c r="G447" s="80"/>
      <c r="H447" s="80"/>
      <c r="I447" s="80"/>
      <c r="J447" s="80"/>
    </row>
    <row r="448" spans="4:10" x14ac:dyDescent="0.3">
      <c r="D448" s="80"/>
      <c r="E448" s="80"/>
      <c r="F448" s="80"/>
      <c r="G448" s="80"/>
      <c r="H448" s="80"/>
      <c r="I448" s="80"/>
      <c r="J448" s="80"/>
    </row>
    <row r="449" spans="4:10" x14ac:dyDescent="0.3">
      <c r="D449" s="80"/>
      <c r="E449" s="80"/>
      <c r="F449" s="80"/>
      <c r="G449" s="80"/>
      <c r="H449" s="80"/>
      <c r="I449" s="80"/>
      <c r="J449" s="80"/>
    </row>
    <row r="450" spans="4:10" x14ac:dyDescent="0.3">
      <c r="D450" s="80"/>
      <c r="E450" s="80"/>
      <c r="F450" s="80"/>
      <c r="G450" s="80"/>
      <c r="H450" s="80"/>
      <c r="I450" s="80"/>
      <c r="J450" s="80"/>
    </row>
    <row r="451" spans="4:10" x14ac:dyDescent="0.3">
      <c r="D451" s="80"/>
      <c r="E451" s="80"/>
      <c r="F451" s="80"/>
      <c r="G451" s="80"/>
      <c r="H451" s="80"/>
      <c r="I451" s="80"/>
      <c r="J451" s="80"/>
    </row>
    <row r="452" spans="4:10" x14ac:dyDescent="0.3">
      <c r="D452" s="80"/>
      <c r="E452" s="80"/>
      <c r="F452" s="80"/>
      <c r="G452" s="80"/>
      <c r="H452" s="80"/>
      <c r="I452" s="80"/>
      <c r="J452" s="80"/>
    </row>
    <row r="453" spans="4:10" x14ac:dyDescent="0.3">
      <c r="D453" s="80"/>
      <c r="E453" s="80"/>
      <c r="F453" s="80"/>
      <c r="G453" s="80"/>
      <c r="H453" s="80"/>
      <c r="I453" s="80"/>
      <c r="J453" s="80"/>
    </row>
    <row r="454" spans="4:10" x14ac:dyDescent="0.3">
      <c r="D454" s="80"/>
      <c r="E454" s="80"/>
      <c r="F454" s="80"/>
      <c r="G454" s="80"/>
      <c r="H454" s="80"/>
      <c r="I454" s="80"/>
      <c r="J454" s="80"/>
    </row>
    <row r="455" spans="4:10" x14ac:dyDescent="0.3">
      <c r="D455" s="80"/>
      <c r="E455" s="80"/>
      <c r="F455" s="80"/>
      <c r="G455" s="80"/>
      <c r="H455" s="80"/>
      <c r="I455" s="80"/>
      <c r="J455" s="80"/>
    </row>
    <row r="456" spans="4:10" x14ac:dyDescent="0.3">
      <c r="D456" s="80"/>
      <c r="E456" s="80"/>
      <c r="F456" s="80"/>
      <c r="G456" s="80"/>
      <c r="H456" s="80"/>
      <c r="I456" s="80"/>
      <c r="J456" s="80"/>
    </row>
    <row r="457" spans="4:10" x14ac:dyDescent="0.3">
      <c r="D457" s="80"/>
      <c r="E457" s="80"/>
      <c r="F457" s="80"/>
      <c r="G457" s="80"/>
      <c r="H457" s="80"/>
      <c r="I457" s="80"/>
      <c r="J457" s="80"/>
    </row>
    <row r="458" spans="4:10" x14ac:dyDescent="0.3">
      <c r="D458" s="80"/>
      <c r="E458" s="80"/>
      <c r="F458" s="80"/>
      <c r="G458" s="80"/>
      <c r="H458" s="80"/>
      <c r="I458" s="80"/>
      <c r="J458" s="80"/>
    </row>
    <row r="459" spans="4:10" x14ac:dyDescent="0.3">
      <c r="D459" s="80"/>
      <c r="E459" s="80"/>
      <c r="F459" s="80"/>
      <c r="G459" s="80"/>
      <c r="H459" s="80"/>
      <c r="I459" s="80"/>
      <c r="J459" s="80"/>
    </row>
    <row r="460" spans="4:10" x14ac:dyDescent="0.3">
      <c r="D460" s="80"/>
      <c r="E460" s="80"/>
      <c r="F460" s="80"/>
      <c r="G460" s="80"/>
      <c r="H460" s="80"/>
      <c r="I460" s="80"/>
      <c r="J460" s="80"/>
    </row>
    <row r="461" spans="4:10" x14ac:dyDescent="0.3">
      <c r="D461" s="80"/>
      <c r="E461" s="80"/>
      <c r="F461" s="80"/>
      <c r="G461" s="80"/>
      <c r="H461" s="80"/>
      <c r="I461" s="80"/>
      <c r="J461" s="80"/>
    </row>
    <row r="462" spans="4:10" x14ac:dyDescent="0.3">
      <c r="D462" s="80"/>
      <c r="E462" s="80"/>
      <c r="F462" s="80"/>
      <c r="G462" s="80"/>
      <c r="H462" s="80"/>
      <c r="I462" s="80"/>
      <c r="J462" s="80"/>
    </row>
    <row r="463" spans="4:10" x14ac:dyDescent="0.3">
      <c r="D463" s="80"/>
      <c r="E463" s="80"/>
      <c r="F463" s="80"/>
      <c r="G463" s="80"/>
      <c r="H463" s="80"/>
      <c r="I463" s="80"/>
      <c r="J463" s="80"/>
    </row>
    <row r="464" spans="4:10" x14ac:dyDescent="0.3">
      <c r="D464" s="80"/>
      <c r="E464" s="80"/>
      <c r="F464" s="80"/>
      <c r="G464" s="80"/>
      <c r="H464" s="80"/>
      <c r="I464" s="80"/>
      <c r="J464" s="80"/>
    </row>
    <row r="465" spans="4:10" x14ac:dyDescent="0.3">
      <c r="D465" s="80"/>
      <c r="E465" s="80"/>
      <c r="F465" s="80"/>
      <c r="G465" s="80"/>
      <c r="H465" s="80"/>
      <c r="I465" s="80"/>
      <c r="J465" s="80"/>
    </row>
    <row r="466" spans="4:10" x14ac:dyDescent="0.3">
      <c r="D466" s="80"/>
      <c r="E466" s="80"/>
      <c r="F466" s="80"/>
      <c r="G466" s="80"/>
      <c r="H466" s="80"/>
      <c r="I466" s="80"/>
      <c r="J466" s="80"/>
    </row>
    <row r="467" spans="4:10" x14ac:dyDescent="0.3">
      <c r="D467" s="80"/>
      <c r="E467" s="80"/>
      <c r="F467" s="80"/>
      <c r="G467" s="80"/>
      <c r="H467" s="80"/>
      <c r="I467" s="80"/>
      <c r="J467" s="80"/>
    </row>
    <row r="468" spans="4:10" x14ac:dyDescent="0.3">
      <c r="D468" s="80"/>
      <c r="E468" s="80"/>
      <c r="F468" s="80"/>
      <c r="G468" s="80"/>
      <c r="H468" s="80"/>
      <c r="I468" s="80"/>
      <c r="J468" s="80"/>
    </row>
    <row r="469" spans="4:10" x14ac:dyDescent="0.3">
      <c r="D469" s="80"/>
      <c r="E469" s="80"/>
      <c r="F469" s="80"/>
      <c r="G469" s="80"/>
      <c r="H469" s="80"/>
      <c r="I469" s="80"/>
      <c r="J469" s="80"/>
    </row>
    <row r="470" spans="4:10" x14ac:dyDescent="0.3">
      <c r="D470" s="80"/>
      <c r="E470" s="80"/>
      <c r="F470" s="80"/>
      <c r="G470" s="80"/>
      <c r="H470" s="80"/>
      <c r="I470" s="80"/>
      <c r="J470" s="80"/>
    </row>
    <row r="471" spans="4:10" x14ac:dyDescent="0.3">
      <c r="D471" s="80"/>
      <c r="E471" s="80"/>
      <c r="F471" s="80"/>
      <c r="G471" s="80"/>
      <c r="H471" s="80"/>
      <c r="I471" s="80"/>
      <c r="J471" s="80"/>
    </row>
    <row r="472" spans="4:10" x14ac:dyDescent="0.3">
      <c r="D472" s="80"/>
      <c r="E472" s="80"/>
      <c r="F472" s="80"/>
      <c r="G472" s="80"/>
      <c r="H472" s="80"/>
      <c r="I472" s="80"/>
      <c r="J472" s="80"/>
    </row>
    <row r="473" spans="4:10" x14ac:dyDescent="0.3">
      <c r="D473" s="80"/>
      <c r="E473" s="80"/>
      <c r="F473" s="80"/>
      <c r="G473" s="80"/>
      <c r="H473" s="80"/>
      <c r="I473" s="80"/>
      <c r="J473" s="80"/>
    </row>
    <row r="474" spans="4:10" x14ac:dyDescent="0.3">
      <c r="D474" s="80"/>
      <c r="E474" s="80"/>
      <c r="F474" s="80"/>
      <c r="G474" s="80"/>
      <c r="H474" s="80"/>
      <c r="I474" s="80"/>
      <c r="J474" s="80"/>
    </row>
    <row r="475" spans="4:10" x14ac:dyDescent="0.3">
      <c r="D475" s="80"/>
      <c r="E475" s="80"/>
      <c r="F475" s="80"/>
      <c r="G475" s="80"/>
      <c r="H475" s="80"/>
      <c r="I475" s="80"/>
      <c r="J475" s="80"/>
    </row>
    <row r="476" spans="4:10" x14ac:dyDescent="0.3">
      <c r="D476" s="80"/>
      <c r="E476" s="80"/>
      <c r="F476" s="80"/>
      <c r="G476" s="80"/>
      <c r="H476" s="80"/>
      <c r="I476" s="80"/>
      <c r="J476" s="80"/>
    </row>
    <row r="477" spans="4:10" x14ac:dyDescent="0.3">
      <c r="D477" s="80"/>
      <c r="E477" s="80"/>
      <c r="F477" s="80"/>
      <c r="G477" s="80"/>
      <c r="H477" s="80"/>
      <c r="I477" s="80"/>
      <c r="J477" s="80"/>
    </row>
    <row r="478" spans="4:10" x14ac:dyDescent="0.3">
      <c r="D478" s="80"/>
      <c r="E478" s="80"/>
      <c r="F478" s="80"/>
      <c r="G478" s="80"/>
      <c r="H478" s="80"/>
      <c r="I478" s="80"/>
      <c r="J478" s="80"/>
    </row>
    <row r="479" spans="4:10" x14ac:dyDescent="0.3">
      <c r="D479" s="80"/>
      <c r="E479" s="80"/>
      <c r="F479" s="80"/>
      <c r="G479" s="80"/>
      <c r="H479" s="80"/>
      <c r="I479" s="80"/>
      <c r="J479" s="80"/>
    </row>
    <row r="480" spans="4:10" x14ac:dyDescent="0.3">
      <c r="D480" s="80"/>
      <c r="E480" s="80"/>
      <c r="F480" s="80"/>
      <c r="G480" s="80"/>
      <c r="H480" s="80"/>
      <c r="I480" s="80"/>
      <c r="J480" s="80"/>
    </row>
    <row r="481" spans="4:10" x14ac:dyDescent="0.3">
      <c r="D481" s="80"/>
      <c r="E481" s="80"/>
      <c r="F481" s="80"/>
      <c r="G481" s="80"/>
      <c r="H481" s="80"/>
      <c r="I481" s="80"/>
      <c r="J481" s="80"/>
    </row>
    <row r="482" spans="4:10" x14ac:dyDescent="0.3">
      <c r="D482" s="80"/>
      <c r="E482" s="80"/>
      <c r="F482" s="80"/>
      <c r="G482" s="80"/>
      <c r="H482" s="80"/>
      <c r="I482" s="80"/>
      <c r="J482" s="80"/>
    </row>
    <row r="483" spans="4:10" x14ac:dyDescent="0.3">
      <c r="D483" s="80"/>
      <c r="E483" s="80"/>
      <c r="F483" s="80"/>
      <c r="G483" s="80"/>
      <c r="H483" s="80"/>
      <c r="I483" s="80"/>
      <c r="J483" s="80"/>
    </row>
    <row r="484" spans="4:10" x14ac:dyDescent="0.3">
      <c r="D484" s="80"/>
      <c r="E484" s="80"/>
      <c r="F484" s="80"/>
      <c r="G484" s="80"/>
      <c r="H484" s="80"/>
      <c r="I484" s="80"/>
      <c r="J484" s="80"/>
    </row>
    <row r="485" spans="4:10" x14ac:dyDescent="0.3">
      <c r="D485" s="80"/>
      <c r="E485" s="80"/>
      <c r="F485" s="80"/>
      <c r="G485" s="80"/>
      <c r="H485" s="80"/>
      <c r="I485" s="80"/>
      <c r="J485" s="80"/>
    </row>
    <row r="486" spans="4:10" x14ac:dyDescent="0.3">
      <c r="D486" s="80"/>
      <c r="E486" s="80"/>
      <c r="F486" s="80"/>
      <c r="G486" s="80"/>
      <c r="H486" s="80"/>
      <c r="I486" s="80"/>
      <c r="J486" s="80"/>
    </row>
    <row r="487" spans="4:10" x14ac:dyDescent="0.3">
      <c r="D487" s="80"/>
      <c r="E487" s="80"/>
      <c r="F487" s="80"/>
      <c r="G487" s="80"/>
      <c r="H487" s="80"/>
      <c r="I487" s="80"/>
      <c r="J487" s="80"/>
    </row>
    <row r="488" spans="4:10" x14ac:dyDescent="0.3">
      <c r="D488" s="80"/>
      <c r="E488" s="80"/>
      <c r="F488" s="80"/>
      <c r="G488" s="80"/>
      <c r="H488" s="80"/>
      <c r="I488" s="80"/>
      <c r="J488" s="80"/>
    </row>
    <row r="489" spans="4:10" x14ac:dyDescent="0.3">
      <c r="D489" s="80"/>
      <c r="E489" s="80"/>
      <c r="F489" s="80"/>
      <c r="G489" s="80"/>
      <c r="H489" s="80"/>
      <c r="I489" s="80"/>
      <c r="J489" s="80"/>
    </row>
    <row r="490" spans="4:10" x14ac:dyDescent="0.3">
      <c r="D490" s="80"/>
      <c r="E490" s="80"/>
      <c r="F490" s="80"/>
      <c r="G490" s="80"/>
      <c r="H490" s="80"/>
      <c r="I490" s="80"/>
      <c r="J490" s="80"/>
    </row>
    <row r="491" spans="4:10" x14ac:dyDescent="0.3">
      <c r="D491" s="80"/>
      <c r="E491" s="80"/>
      <c r="F491" s="80"/>
      <c r="G491" s="80"/>
      <c r="H491" s="80"/>
      <c r="I491" s="80"/>
      <c r="J491" s="80"/>
    </row>
    <row r="492" spans="4:10" x14ac:dyDescent="0.3">
      <c r="D492" s="80"/>
      <c r="E492" s="80"/>
      <c r="F492" s="80"/>
      <c r="G492" s="80"/>
      <c r="H492" s="80"/>
      <c r="I492" s="80"/>
      <c r="J492" s="80"/>
    </row>
    <row r="493" spans="4:10" x14ac:dyDescent="0.3">
      <c r="D493" s="80"/>
      <c r="E493" s="80"/>
      <c r="F493" s="80"/>
      <c r="G493" s="80"/>
      <c r="H493" s="80"/>
      <c r="I493" s="80"/>
      <c r="J493" s="80"/>
    </row>
    <row r="494" spans="4:10" x14ac:dyDescent="0.3">
      <c r="D494" s="80"/>
      <c r="E494" s="80"/>
      <c r="F494" s="80"/>
      <c r="G494" s="80"/>
      <c r="H494" s="80"/>
      <c r="I494" s="80"/>
      <c r="J494" s="80"/>
    </row>
    <row r="495" spans="4:10" x14ac:dyDescent="0.3">
      <c r="D495" s="80"/>
      <c r="E495" s="80"/>
      <c r="F495" s="80"/>
      <c r="G495" s="80"/>
      <c r="H495" s="80"/>
      <c r="I495" s="80"/>
      <c r="J495" s="80"/>
    </row>
    <row r="496" spans="4:10" x14ac:dyDescent="0.3">
      <c r="D496" s="80"/>
      <c r="E496" s="80"/>
      <c r="F496" s="80"/>
      <c r="G496" s="80"/>
      <c r="H496" s="80"/>
      <c r="I496" s="80"/>
      <c r="J496" s="80"/>
    </row>
    <row r="497" spans="4:10" x14ac:dyDescent="0.3">
      <c r="D497" s="80"/>
      <c r="E497" s="80"/>
      <c r="F497" s="80"/>
      <c r="G497" s="80"/>
      <c r="H497" s="80"/>
      <c r="I497" s="80"/>
      <c r="J497" s="80"/>
    </row>
    <row r="498" spans="4:10" x14ac:dyDescent="0.3">
      <c r="D498" s="80"/>
      <c r="E498" s="80"/>
      <c r="F498" s="80"/>
      <c r="G498" s="80"/>
      <c r="H498" s="80"/>
      <c r="I498" s="80"/>
      <c r="J498" s="80"/>
    </row>
    <row r="499" spans="4:10" x14ac:dyDescent="0.3">
      <c r="D499" s="80"/>
      <c r="E499" s="80"/>
      <c r="F499" s="80"/>
      <c r="G499" s="80"/>
      <c r="H499" s="80"/>
      <c r="I499" s="80"/>
      <c r="J499" s="80"/>
    </row>
    <row r="500" spans="4:10" x14ac:dyDescent="0.3">
      <c r="D500" s="80"/>
      <c r="E500" s="80"/>
      <c r="F500" s="80"/>
      <c r="G500" s="80"/>
      <c r="H500" s="80"/>
      <c r="I500" s="80"/>
      <c r="J500" s="80"/>
    </row>
    <row r="501" spans="4:10" x14ac:dyDescent="0.3">
      <c r="D501" s="80"/>
      <c r="E501" s="80"/>
      <c r="F501" s="80"/>
      <c r="G501" s="80"/>
      <c r="H501" s="80"/>
      <c r="I501" s="80"/>
      <c r="J501" s="80"/>
    </row>
    <row r="502" spans="4:10" x14ac:dyDescent="0.3">
      <c r="D502" s="80"/>
      <c r="E502" s="80"/>
      <c r="F502" s="80"/>
      <c r="G502" s="80"/>
      <c r="H502" s="80"/>
      <c r="I502" s="80"/>
      <c r="J502" s="80"/>
    </row>
    <row r="503" spans="4:10" x14ac:dyDescent="0.3">
      <c r="D503" s="80"/>
      <c r="E503" s="80"/>
      <c r="F503" s="80"/>
      <c r="G503" s="80"/>
      <c r="H503" s="80"/>
      <c r="I503" s="80"/>
      <c r="J503" s="80"/>
    </row>
    <row r="504" spans="4:10" x14ac:dyDescent="0.3">
      <c r="D504" s="80"/>
      <c r="E504" s="80"/>
      <c r="F504" s="80"/>
      <c r="G504" s="80"/>
      <c r="H504" s="80"/>
      <c r="I504" s="80"/>
      <c r="J504" s="80"/>
    </row>
    <row r="505" spans="4:10" x14ac:dyDescent="0.3">
      <c r="D505" s="80"/>
      <c r="E505" s="80"/>
      <c r="F505" s="80"/>
      <c r="G505" s="80"/>
      <c r="H505" s="80"/>
      <c r="I505" s="80"/>
      <c r="J505" s="80"/>
    </row>
    <row r="506" spans="4:10" x14ac:dyDescent="0.3">
      <c r="D506" s="80"/>
      <c r="E506" s="80"/>
      <c r="F506" s="80"/>
      <c r="G506" s="80"/>
      <c r="H506" s="80"/>
      <c r="I506" s="80"/>
      <c r="J506" s="80"/>
    </row>
    <row r="507" spans="4:10" x14ac:dyDescent="0.3">
      <c r="D507" s="80"/>
      <c r="E507" s="80"/>
      <c r="F507" s="80"/>
      <c r="G507" s="80"/>
      <c r="H507" s="80"/>
      <c r="I507" s="80"/>
      <c r="J507" s="80"/>
    </row>
    <row r="508" spans="4:10" x14ac:dyDescent="0.3">
      <c r="D508" s="80"/>
      <c r="E508" s="80"/>
      <c r="F508" s="80"/>
      <c r="G508" s="80"/>
      <c r="H508" s="80"/>
      <c r="I508" s="80"/>
      <c r="J508" s="80"/>
    </row>
    <row r="509" spans="4:10" x14ac:dyDescent="0.3">
      <c r="D509" s="80"/>
      <c r="E509" s="80"/>
      <c r="F509" s="80"/>
      <c r="G509" s="80"/>
      <c r="H509" s="80"/>
      <c r="I509" s="80"/>
      <c r="J509" s="80"/>
    </row>
    <row r="510" spans="4:10" x14ac:dyDescent="0.3">
      <c r="D510" s="80"/>
      <c r="E510" s="80"/>
      <c r="F510" s="80"/>
      <c r="G510" s="80"/>
      <c r="H510" s="80"/>
      <c r="I510" s="80"/>
      <c r="J510" s="80"/>
    </row>
    <row r="511" spans="4:10" x14ac:dyDescent="0.3">
      <c r="D511" s="80"/>
      <c r="E511" s="80"/>
      <c r="F511" s="80"/>
      <c r="G511" s="80"/>
      <c r="H511" s="80"/>
      <c r="I511" s="80"/>
      <c r="J511" s="80"/>
    </row>
    <row r="512" spans="4:10" x14ac:dyDescent="0.3">
      <c r="D512" s="80"/>
      <c r="E512" s="80"/>
      <c r="F512" s="80"/>
      <c r="G512" s="80"/>
      <c r="H512" s="80"/>
      <c r="I512" s="80"/>
      <c r="J512" s="80"/>
    </row>
    <row r="513" spans="4:10" x14ac:dyDescent="0.3">
      <c r="D513" s="80"/>
      <c r="E513" s="80"/>
      <c r="F513" s="80"/>
      <c r="G513" s="80"/>
      <c r="H513" s="80"/>
      <c r="I513" s="80"/>
      <c r="J513" s="80"/>
    </row>
    <row r="514" spans="4:10" x14ac:dyDescent="0.3">
      <c r="D514" s="80"/>
      <c r="E514" s="80"/>
      <c r="F514" s="80"/>
      <c r="G514" s="80"/>
      <c r="H514" s="80"/>
      <c r="I514" s="80"/>
      <c r="J514" s="80"/>
    </row>
    <row r="515" spans="4:10" x14ac:dyDescent="0.3">
      <c r="D515" s="80"/>
      <c r="E515" s="80"/>
      <c r="F515" s="80"/>
      <c r="G515" s="80"/>
      <c r="H515" s="80"/>
      <c r="I515" s="80"/>
      <c r="J515" s="80"/>
    </row>
    <row r="516" spans="4:10" x14ac:dyDescent="0.3">
      <c r="D516" s="80"/>
      <c r="E516" s="80"/>
      <c r="F516" s="80"/>
      <c r="G516" s="80"/>
      <c r="H516" s="80"/>
      <c r="I516" s="80"/>
      <c r="J516" s="80"/>
    </row>
    <row r="517" spans="4:10" x14ac:dyDescent="0.3">
      <c r="D517" s="80"/>
      <c r="E517" s="80"/>
      <c r="F517" s="80"/>
      <c r="G517" s="80"/>
      <c r="H517" s="80"/>
      <c r="I517" s="80"/>
      <c r="J517" s="80"/>
    </row>
    <row r="518" spans="4:10" x14ac:dyDescent="0.3">
      <c r="D518" s="80"/>
      <c r="E518" s="80"/>
      <c r="F518" s="80"/>
      <c r="G518" s="80"/>
      <c r="H518" s="80"/>
      <c r="I518" s="80"/>
      <c r="J518" s="80"/>
    </row>
    <row r="519" spans="4:10" x14ac:dyDescent="0.3">
      <c r="D519" s="80"/>
      <c r="E519" s="80"/>
      <c r="F519" s="80"/>
      <c r="G519" s="80"/>
      <c r="H519" s="80"/>
      <c r="I519" s="80"/>
      <c r="J519" s="80"/>
    </row>
    <row r="520" spans="4:10" x14ac:dyDescent="0.3">
      <c r="D520" s="80"/>
      <c r="E520" s="80"/>
      <c r="F520" s="80"/>
      <c r="G520" s="80"/>
      <c r="H520" s="80"/>
      <c r="I520" s="80"/>
      <c r="J520" s="80"/>
    </row>
    <row r="521" spans="4:10" x14ac:dyDescent="0.3">
      <c r="D521" s="80"/>
      <c r="E521" s="80"/>
      <c r="F521" s="80"/>
      <c r="G521" s="80"/>
      <c r="H521" s="80"/>
      <c r="I521" s="80"/>
      <c r="J521" s="80"/>
    </row>
    <row r="522" spans="4:10" x14ac:dyDescent="0.3">
      <c r="D522" s="80"/>
      <c r="E522" s="80"/>
      <c r="F522" s="80"/>
      <c r="G522" s="80"/>
      <c r="H522" s="80"/>
      <c r="I522" s="80"/>
      <c r="J522" s="80"/>
    </row>
    <row r="523" spans="4:10" x14ac:dyDescent="0.3">
      <c r="D523" s="80"/>
      <c r="E523" s="80"/>
      <c r="F523" s="80"/>
      <c r="G523" s="80"/>
      <c r="H523" s="80"/>
      <c r="I523" s="80"/>
      <c r="J523" s="80"/>
    </row>
    <row r="524" spans="4:10" x14ac:dyDescent="0.3">
      <c r="D524" s="80"/>
      <c r="E524" s="80"/>
      <c r="F524" s="80"/>
      <c r="G524" s="80"/>
      <c r="H524" s="80"/>
      <c r="I524" s="80"/>
      <c r="J524" s="80"/>
    </row>
    <row r="525" spans="4:10" x14ac:dyDescent="0.3">
      <c r="D525" s="80"/>
      <c r="E525" s="80"/>
      <c r="F525" s="80"/>
      <c r="G525" s="80"/>
      <c r="H525" s="80"/>
      <c r="I525" s="80"/>
      <c r="J525" s="80"/>
    </row>
    <row r="526" spans="4:10" x14ac:dyDescent="0.3">
      <c r="D526" s="80"/>
      <c r="E526" s="80"/>
      <c r="F526" s="80"/>
      <c r="G526" s="80"/>
      <c r="H526" s="80"/>
      <c r="I526" s="80"/>
      <c r="J526" s="80"/>
    </row>
    <row r="527" spans="4:10" x14ac:dyDescent="0.3">
      <c r="D527" s="80"/>
      <c r="E527" s="80"/>
      <c r="F527" s="80"/>
      <c r="G527" s="80"/>
      <c r="H527" s="80"/>
      <c r="I527" s="80"/>
      <c r="J527" s="80"/>
    </row>
    <row r="528" spans="4:10" x14ac:dyDescent="0.3">
      <c r="D528" s="80"/>
      <c r="E528" s="80"/>
      <c r="F528" s="80"/>
      <c r="G528" s="80"/>
      <c r="H528" s="80"/>
      <c r="I528" s="80"/>
      <c r="J528" s="80"/>
    </row>
    <row r="529" spans="4:10" x14ac:dyDescent="0.3">
      <c r="D529" s="80"/>
      <c r="E529" s="80"/>
      <c r="F529" s="80"/>
      <c r="G529" s="80"/>
      <c r="H529" s="80"/>
      <c r="I529" s="80"/>
      <c r="J529" s="80"/>
    </row>
    <row r="530" spans="4:10" x14ac:dyDescent="0.3">
      <c r="D530" s="80"/>
      <c r="E530" s="80"/>
      <c r="F530" s="80"/>
      <c r="G530" s="80"/>
      <c r="H530" s="80"/>
      <c r="I530" s="80"/>
      <c r="J530" s="80"/>
    </row>
    <row r="531" spans="4:10" x14ac:dyDescent="0.3">
      <c r="D531" s="80"/>
      <c r="E531" s="80"/>
      <c r="F531" s="80"/>
      <c r="G531" s="80"/>
      <c r="H531" s="80"/>
      <c r="I531" s="80"/>
      <c r="J531" s="80"/>
    </row>
    <row r="532" spans="4:10" x14ac:dyDescent="0.3">
      <c r="D532" s="80"/>
      <c r="E532" s="80"/>
      <c r="F532" s="80"/>
      <c r="G532" s="80"/>
      <c r="H532" s="80"/>
      <c r="I532" s="80"/>
      <c r="J532" s="80"/>
    </row>
    <row r="533" spans="4:10" x14ac:dyDescent="0.3">
      <c r="D533" s="80"/>
      <c r="E533" s="80"/>
      <c r="F533" s="80"/>
      <c r="G533" s="80"/>
      <c r="H533" s="80"/>
      <c r="I533" s="80"/>
      <c r="J533" s="80"/>
    </row>
    <row r="534" spans="4:10" x14ac:dyDescent="0.3">
      <c r="D534" s="80"/>
      <c r="E534" s="80"/>
      <c r="F534" s="80"/>
      <c r="G534" s="80"/>
      <c r="H534" s="80"/>
      <c r="I534" s="80"/>
      <c r="J534" s="80"/>
    </row>
    <row r="535" spans="4:10" x14ac:dyDescent="0.3">
      <c r="D535" s="80"/>
      <c r="E535" s="80"/>
      <c r="F535" s="80"/>
      <c r="G535" s="80"/>
      <c r="H535" s="80"/>
      <c r="I535" s="80"/>
      <c r="J535" s="80"/>
    </row>
    <row r="536" spans="4:10" x14ac:dyDescent="0.3">
      <c r="D536" s="80"/>
      <c r="E536" s="80"/>
      <c r="F536" s="80"/>
      <c r="G536" s="80"/>
      <c r="H536" s="80"/>
      <c r="I536" s="80"/>
      <c r="J536" s="80"/>
    </row>
    <row r="537" spans="4:10" x14ac:dyDescent="0.3">
      <c r="D537" s="80"/>
      <c r="E537" s="80"/>
      <c r="F537" s="80"/>
      <c r="G537" s="80"/>
      <c r="H537" s="80"/>
      <c r="I537" s="80"/>
      <c r="J537" s="80"/>
    </row>
    <row r="538" spans="4:10" x14ac:dyDescent="0.3">
      <c r="D538" s="80"/>
      <c r="E538" s="80"/>
      <c r="F538" s="80"/>
      <c r="G538" s="80"/>
      <c r="H538" s="80"/>
      <c r="I538" s="80"/>
      <c r="J538" s="80"/>
    </row>
    <row r="539" spans="4:10" x14ac:dyDescent="0.3">
      <c r="D539" s="80"/>
      <c r="E539" s="80"/>
      <c r="F539" s="80"/>
      <c r="G539" s="80"/>
      <c r="H539" s="80"/>
      <c r="I539" s="80"/>
      <c r="J539" s="80"/>
    </row>
    <row r="540" spans="4:10" x14ac:dyDescent="0.3">
      <c r="D540" s="80"/>
      <c r="E540" s="80"/>
      <c r="F540" s="80"/>
      <c r="G540" s="80"/>
      <c r="H540" s="80"/>
      <c r="I540" s="80"/>
      <c r="J540" s="80"/>
    </row>
    <row r="541" spans="4:10" x14ac:dyDescent="0.3">
      <c r="D541" s="80"/>
      <c r="E541" s="80"/>
      <c r="F541" s="80"/>
      <c r="G541" s="80"/>
      <c r="H541" s="80"/>
      <c r="I541" s="80"/>
      <c r="J541" s="80"/>
    </row>
    <row r="542" spans="4:10" x14ac:dyDescent="0.3">
      <c r="D542" s="80"/>
      <c r="E542" s="80"/>
      <c r="F542" s="80"/>
      <c r="G542" s="80"/>
      <c r="H542" s="80"/>
      <c r="I542" s="80"/>
      <c r="J542" s="80"/>
    </row>
    <row r="543" spans="4:10" x14ac:dyDescent="0.3">
      <c r="D543" s="80"/>
      <c r="E543" s="80"/>
      <c r="F543" s="80"/>
      <c r="G543" s="80"/>
      <c r="H543" s="80"/>
      <c r="I543" s="80"/>
      <c r="J543" s="80"/>
    </row>
    <row r="544" spans="4:10" x14ac:dyDescent="0.3">
      <c r="D544" s="80"/>
      <c r="E544" s="80"/>
      <c r="F544" s="80"/>
      <c r="G544" s="80"/>
      <c r="H544" s="80"/>
      <c r="I544" s="80"/>
      <c r="J544" s="80"/>
    </row>
    <row r="545" spans="4:10" x14ac:dyDescent="0.3">
      <c r="D545" s="80"/>
      <c r="E545" s="80"/>
      <c r="F545" s="80"/>
      <c r="G545" s="80"/>
      <c r="H545" s="80"/>
      <c r="I545" s="80"/>
      <c r="J545" s="80"/>
    </row>
    <row r="546" spans="4:10" x14ac:dyDescent="0.3">
      <c r="D546" s="80"/>
      <c r="E546" s="80"/>
      <c r="F546" s="80"/>
      <c r="G546" s="80"/>
      <c r="H546" s="80"/>
      <c r="I546" s="80"/>
      <c r="J546" s="80"/>
    </row>
    <row r="547" spans="4:10" x14ac:dyDescent="0.3">
      <c r="D547" s="80"/>
      <c r="E547" s="80"/>
      <c r="F547" s="80"/>
      <c r="G547" s="80"/>
      <c r="H547" s="80"/>
      <c r="I547" s="80"/>
      <c r="J547" s="80"/>
    </row>
    <row r="548" spans="4:10" x14ac:dyDescent="0.3">
      <c r="D548" s="80"/>
      <c r="E548" s="80"/>
      <c r="F548" s="80"/>
      <c r="G548" s="80"/>
      <c r="H548" s="80"/>
      <c r="I548" s="80"/>
      <c r="J548" s="80"/>
    </row>
    <row r="549" spans="4:10" x14ac:dyDescent="0.3">
      <c r="D549" s="80"/>
      <c r="E549" s="80"/>
      <c r="F549" s="80"/>
      <c r="G549" s="80"/>
      <c r="H549" s="80"/>
      <c r="I549" s="80"/>
      <c r="J549" s="80"/>
    </row>
    <row r="550" spans="4:10" x14ac:dyDescent="0.3">
      <c r="D550" s="80"/>
      <c r="E550" s="80"/>
      <c r="F550" s="80"/>
      <c r="G550" s="80"/>
      <c r="H550" s="80"/>
      <c r="I550" s="80"/>
      <c r="J550" s="80"/>
    </row>
    <row r="551" spans="4:10" x14ac:dyDescent="0.3">
      <c r="D551" s="80"/>
      <c r="E551" s="80"/>
      <c r="F551" s="80"/>
      <c r="G551" s="80"/>
      <c r="H551" s="80"/>
      <c r="I551" s="80"/>
      <c r="J551" s="80"/>
    </row>
    <row r="552" spans="4:10" x14ac:dyDescent="0.3">
      <c r="D552" s="80"/>
      <c r="E552" s="80"/>
      <c r="F552" s="80"/>
      <c r="G552" s="80"/>
      <c r="H552" s="80"/>
      <c r="I552" s="80"/>
      <c r="J552" s="80"/>
    </row>
    <row r="553" spans="4:10" x14ac:dyDescent="0.3">
      <c r="D553" s="80"/>
      <c r="E553" s="80"/>
      <c r="F553" s="80"/>
      <c r="G553" s="80"/>
      <c r="H553" s="80"/>
      <c r="I553" s="80"/>
      <c r="J553" s="80"/>
    </row>
    <row r="554" spans="4:10" x14ac:dyDescent="0.3">
      <c r="D554" s="80"/>
      <c r="E554" s="80"/>
      <c r="F554" s="80"/>
      <c r="G554" s="80"/>
      <c r="H554" s="80"/>
      <c r="I554" s="80"/>
      <c r="J554" s="80"/>
    </row>
    <row r="555" spans="4:10" x14ac:dyDescent="0.3">
      <c r="D555" s="80"/>
      <c r="E555" s="80"/>
      <c r="F555" s="80"/>
      <c r="G555" s="80"/>
      <c r="H555" s="80"/>
      <c r="I555" s="80"/>
      <c r="J555" s="80"/>
    </row>
    <row r="556" spans="4:10" x14ac:dyDescent="0.3">
      <c r="D556" s="80"/>
      <c r="E556" s="80"/>
      <c r="F556" s="80"/>
      <c r="G556" s="80"/>
      <c r="H556" s="80"/>
      <c r="I556" s="80"/>
      <c r="J556" s="80"/>
    </row>
    <row r="557" spans="4:10" x14ac:dyDescent="0.3">
      <c r="D557" s="80"/>
      <c r="E557" s="80"/>
      <c r="F557" s="80"/>
      <c r="G557" s="80"/>
      <c r="H557" s="80"/>
      <c r="I557" s="80"/>
      <c r="J557" s="80"/>
    </row>
    <row r="558" spans="4:10" x14ac:dyDescent="0.3">
      <c r="D558" s="80"/>
      <c r="E558" s="80"/>
      <c r="F558" s="80"/>
      <c r="G558" s="80"/>
      <c r="H558" s="80"/>
      <c r="I558" s="80"/>
      <c r="J558" s="80"/>
    </row>
    <row r="559" spans="4:10" x14ac:dyDescent="0.3">
      <c r="D559" s="80"/>
      <c r="E559" s="80"/>
      <c r="F559" s="80"/>
      <c r="G559" s="80"/>
      <c r="H559" s="80"/>
      <c r="I559" s="80"/>
      <c r="J559" s="80"/>
    </row>
    <row r="560" spans="4:10" x14ac:dyDescent="0.3">
      <c r="D560" s="80"/>
      <c r="E560" s="80"/>
      <c r="F560" s="80"/>
      <c r="G560" s="80"/>
      <c r="H560" s="80"/>
      <c r="I560" s="80"/>
      <c r="J560" s="80"/>
    </row>
    <row r="561" spans="4:10" x14ac:dyDescent="0.3">
      <c r="D561" s="80"/>
      <c r="E561" s="80"/>
      <c r="F561" s="80"/>
      <c r="G561" s="80"/>
      <c r="H561" s="80"/>
      <c r="I561" s="80"/>
      <c r="J561" s="80"/>
    </row>
    <row r="562" spans="4:10" x14ac:dyDescent="0.3">
      <c r="D562" s="80"/>
      <c r="E562" s="80"/>
      <c r="F562" s="80"/>
      <c r="G562" s="80"/>
      <c r="H562" s="80"/>
      <c r="I562" s="80"/>
      <c r="J562" s="80"/>
    </row>
    <row r="563" spans="4:10" x14ac:dyDescent="0.3">
      <c r="D563" s="80"/>
      <c r="E563" s="80"/>
      <c r="F563" s="80"/>
      <c r="G563" s="80"/>
      <c r="H563" s="80"/>
      <c r="I563" s="80"/>
      <c r="J563" s="80"/>
    </row>
    <row r="564" spans="4:10" x14ac:dyDescent="0.3">
      <c r="D564" s="80"/>
      <c r="E564" s="80"/>
      <c r="F564" s="80"/>
      <c r="G564" s="80"/>
      <c r="H564" s="80"/>
      <c r="I564" s="80"/>
      <c r="J564" s="80"/>
    </row>
    <row r="565" spans="4:10" x14ac:dyDescent="0.3">
      <c r="D565" s="80"/>
      <c r="E565" s="80"/>
      <c r="F565" s="80"/>
      <c r="G565" s="80"/>
      <c r="H565" s="80"/>
      <c r="I565" s="80"/>
      <c r="J565" s="80"/>
    </row>
    <row r="566" spans="4:10" x14ac:dyDescent="0.3">
      <c r="D566" s="80"/>
      <c r="E566" s="80"/>
      <c r="F566" s="80"/>
      <c r="G566" s="80"/>
      <c r="H566" s="80"/>
      <c r="I566" s="80"/>
      <c r="J566" s="80"/>
    </row>
    <row r="567" spans="4:10" x14ac:dyDescent="0.3">
      <c r="D567" s="80"/>
      <c r="E567" s="80"/>
      <c r="F567" s="80"/>
      <c r="G567" s="80"/>
      <c r="H567" s="80"/>
      <c r="I567" s="80"/>
      <c r="J567" s="80"/>
    </row>
    <row r="568" spans="4:10" x14ac:dyDescent="0.3">
      <c r="D568" s="80"/>
      <c r="E568" s="80"/>
      <c r="F568" s="80"/>
      <c r="G568" s="80"/>
      <c r="H568" s="80"/>
      <c r="I568" s="80"/>
      <c r="J568" s="80"/>
    </row>
    <row r="569" spans="4:10" x14ac:dyDescent="0.3">
      <c r="D569" s="80"/>
      <c r="E569" s="80"/>
      <c r="F569" s="80"/>
      <c r="G569" s="80"/>
      <c r="H569" s="80"/>
      <c r="I569" s="80"/>
      <c r="J569" s="80"/>
    </row>
    <row r="570" spans="4:10" x14ac:dyDescent="0.3">
      <c r="D570" s="80"/>
      <c r="E570" s="80"/>
      <c r="F570" s="80"/>
      <c r="G570" s="80"/>
      <c r="H570" s="80"/>
      <c r="I570" s="80"/>
      <c r="J570" s="80"/>
    </row>
    <row r="571" spans="4:10" x14ac:dyDescent="0.3">
      <c r="D571" s="80"/>
      <c r="E571" s="80"/>
      <c r="F571" s="80"/>
      <c r="G571" s="80"/>
      <c r="H571" s="80"/>
      <c r="I571" s="80"/>
      <c r="J571" s="80"/>
    </row>
    <row r="572" spans="4:10" x14ac:dyDescent="0.3">
      <c r="D572" s="80"/>
      <c r="E572" s="80"/>
      <c r="F572" s="80"/>
      <c r="G572" s="80"/>
      <c r="H572" s="80"/>
      <c r="I572" s="80"/>
      <c r="J572" s="80"/>
    </row>
    <row r="573" spans="4:10" x14ac:dyDescent="0.3">
      <c r="D573" s="80"/>
      <c r="E573" s="80"/>
      <c r="F573" s="80"/>
      <c r="G573" s="80"/>
      <c r="H573" s="80"/>
      <c r="I573" s="80"/>
      <c r="J573" s="80"/>
    </row>
    <row r="574" spans="4:10" x14ac:dyDescent="0.3">
      <c r="D574" s="80"/>
      <c r="E574" s="80"/>
      <c r="F574" s="80"/>
      <c r="G574" s="80"/>
      <c r="H574" s="80"/>
      <c r="I574" s="80"/>
      <c r="J574" s="80"/>
    </row>
    <row r="575" spans="4:10" x14ac:dyDescent="0.3">
      <c r="D575" s="80"/>
      <c r="E575" s="80"/>
      <c r="F575" s="80"/>
      <c r="G575" s="80"/>
      <c r="H575" s="80"/>
      <c r="I575" s="80"/>
      <c r="J575" s="80"/>
    </row>
    <row r="576" spans="4:10" x14ac:dyDescent="0.3">
      <c r="D576" s="80"/>
      <c r="E576" s="80"/>
      <c r="F576" s="80"/>
      <c r="G576" s="80"/>
      <c r="H576" s="80"/>
      <c r="I576" s="80"/>
      <c r="J576" s="80"/>
    </row>
    <row r="577" spans="4:10" x14ac:dyDescent="0.3">
      <c r="D577" s="80"/>
      <c r="E577" s="80"/>
      <c r="F577" s="80"/>
      <c r="G577" s="80"/>
      <c r="H577" s="80"/>
      <c r="I577" s="80"/>
      <c r="J577" s="80"/>
    </row>
    <row r="578" spans="4:10" x14ac:dyDescent="0.3">
      <c r="D578" s="80"/>
      <c r="E578" s="80"/>
      <c r="F578" s="80"/>
      <c r="G578" s="80"/>
      <c r="H578" s="80"/>
      <c r="I578" s="80"/>
      <c r="J578" s="80"/>
    </row>
    <row r="579" spans="4:10" x14ac:dyDescent="0.3">
      <c r="D579" s="80"/>
      <c r="E579" s="80"/>
      <c r="F579" s="80"/>
      <c r="G579" s="80"/>
      <c r="H579" s="80"/>
      <c r="I579" s="80"/>
      <c r="J579" s="80"/>
    </row>
    <row r="580" spans="4:10" x14ac:dyDescent="0.3">
      <c r="D580" s="80"/>
      <c r="E580" s="80"/>
      <c r="F580" s="80"/>
      <c r="G580" s="80"/>
      <c r="H580" s="80"/>
      <c r="I580" s="80"/>
      <c r="J580" s="80"/>
    </row>
    <row r="581" spans="4:10" x14ac:dyDescent="0.3">
      <c r="D581" s="80"/>
      <c r="E581" s="80"/>
      <c r="F581" s="80"/>
      <c r="G581" s="80"/>
      <c r="H581" s="80"/>
      <c r="I581" s="80"/>
      <c r="J581" s="80"/>
    </row>
    <row r="582" spans="4:10" x14ac:dyDescent="0.3">
      <c r="D582" s="80"/>
      <c r="E582" s="80"/>
      <c r="F582" s="80"/>
      <c r="G582" s="80"/>
      <c r="H582" s="80"/>
      <c r="I582" s="80"/>
      <c r="J582" s="80"/>
    </row>
    <row r="583" spans="4:10" x14ac:dyDescent="0.3">
      <c r="D583" s="80"/>
      <c r="E583" s="80"/>
      <c r="F583" s="80"/>
      <c r="G583" s="80"/>
      <c r="H583" s="80"/>
      <c r="I583" s="80"/>
      <c r="J583" s="80"/>
    </row>
    <row r="584" spans="4:10" x14ac:dyDescent="0.3">
      <c r="D584" s="80"/>
      <c r="E584" s="80"/>
      <c r="F584" s="80"/>
      <c r="G584" s="80"/>
      <c r="H584" s="80"/>
      <c r="I584" s="80"/>
      <c r="J584" s="80"/>
    </row>
    <row r="585" spans="4:10" x14ac:dyDescent="0.3">
      <c r="D585" s="80"/>
      <c r="E585" s="80"/>
      <c r="F585" s="80"/>
      <c r="G585" s="80"/>
      <c r="H585" s="80"/>
      <c r="I585" s="80"/>
      <c r="J585" s="80"/>
    </row>
    <row r="586" spans="4:10" x14ac:dyDescent="0.3">
      <c r="D586" s="80"/>
      <c r="E586" s="80"/>
      <c r="F586" s="80"/>
      <c r="G586" s="80"/>
      <c r="H586" s="80"/>
      <c r="I586" s="80"/>
      <c r="J586" s="80"/>
    </row>
    <row r="587" spans="4:10" x14ac:dyDescent="0.3">
      <c r="D587" s="80"/>
      <c r="E587" s="80"/>
      <c r="F587" s="80"/>
      <c r="G587" s="80"/>
      <c r="H587" s="80"/>
      <c r="I587" s="80"/>
      <c r="J587" s="80"/>
    </row>
  </sheetData>
  <autoFilter ref="A1:K369" xr:uid="{D1C3B942-4E5E-45FA-AC7F-2EF529EFBA5C}">
    <filterColumn colId="1">
      <filters>
        <filter val="SHELL RIMULA R4X 15W-40 TB 209L EXPO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EAD83-04DF-4057-86F1-4A0824A0A77B}">
  <dimension ref="A1:E285"/>
  <sheetViews>
    <sheetView workbookViewId="0">
      <selection sqref="A1:E285"/>
    </sheetView>
  </sheetViews>
  <sheetFormatPr baseColWidth="10" defaultRowHeight="14.4" x14ac:dyDescent="0.3"/>
  <sheetData>
    <row r="1" spans="1:5" s="11" customFormat="1" ht="15" thickBot="1" x14ac:dyDescent="0.35">
      <c r="A1" s="6" t="s">
        <v>616</v>
      </c>
      <c r="B1" s="7" t="s">
        <v>101</v>
      </c>
      <c r="C1" s="7">
        <v>2705</v>
      </c>
      <c r="D1" s="39">
        <v>12</v>
      </c>
      <c r="E1" s="37">
        <v>2717</v>
      </c>
    </row>
    <row r="2" spans="1:5" s="11" customFormat="1" ht="15" thickBot="1" x14ac:dyDescent="0.35">
      <c r="A2" s="6" t="s">
        <v>617</v>
      </c>
      <c r="B2" s="7" t="s">
        <v>99</v>
      </c>
      <c r="C2" s="7">
        <v>0</v>
      </c>
      <c r="D2" s="39">
        <v>1</v>
      </c>
      <c r="E2" s="37">
        <v>1</v>
      </c>
    </row>
    <row r="3" spans="1:5" s="11" customFormat="1" ht="15" thickBot="1" x14ac:dyDescent="0.35">
      <c r="A3" s="6" t="s">
        <v>618</v>
      </c>
      <c r="B3" s="7" t="s">
        <v>185</v>
      </c>
      <c r="C3" s="7">
        <v>0</v>
      </c>
      <c r="D3" s="39">
        <v>0</v>
      </c>
      <c r="E3" s="37">
        <v>0</v>
      </c>
    </row>
    <row r="4" spans="1:5" s="11" customFormat="1" ht="15" thickBot="1" x14ac:dyDescent="0.35">
      <c r="A4" s="6" t="s">
        <v>619</v>
      </c>
      <c r="B4" s="7" t="s">
        <v>83</v>
      </c>
      <c r="C4" s="7">
        <v>317</v>
      </c>
      <c r="D4" s="39">
        <v>0</v>
      </c>
      <c r="E4" s="37">
        <v>317</v>
      </c>
    </row>
    <row r="5" spans="1:5" s="11" customFormat="1" ht="15" thickBot="1" x14ac:dyDescent="0.35">
      <c r="A5" s="6" t="s">
        <v>620</v>
      </c>
      <c r="B5" s="7" t="s">
        <v>81</v>
      </c>
      <c r="C5" s="7">
        <v>0</v>
      </c>
      <c r="D5" s="39">
        <v>0</v>
      </c>
      <c r="E5" s="37">
        <v>0</v>
      </c>
    </row>
    <row r="6" spans="1:5" s="11" customFormat="1" ht="15" thickBot="1" x14ac:dyDescent="0.35">
      <c r="A6" s="6" t="s">
        <v>621</v>
      </c>
      <c r="B6" s="7" t="s">
        <v>81</v>
      </c>
      <c r="C6" s="7">
        <v>8527</v>
      </c>
      <c r="D6" s="39">
        <v>1</v>
      </c>
      <c r="E6" s="37">
        <v>8528</v>
      </c>
    </row>
    <row r="7" spans="1:5" s="11" customFormat="1" ht="15" thickBot="1" x14ac:dyDescent="0.35">
      <c r="A7" s="6" t="s">
        <v>622</v>
      </c>
      <c r="B7" s="7" t="s">
        <v>157</v>
      </c>
      <c r="C7" s="7">
        <v>928</v>
      </c>
      <c r="D7" s="39">
        <v>5</v>
      </c>
      <c r="E7" s="37">
        <v>933</v>
      </c>
    </row>
    <row r="8" spans="1:5" s="11" customFormat="1" ht="15" thickBot="1" x14ac:dyDescent="0.35">
      <c r="A8" s="6" t="s">
        <v>623</v>
      </c>
      <c r="B8" s="7" t="s">
        <v>139</v>
      </c>
      <c r="C8" s="7">
        <v>572</v>
      </c>
      <c r="D8" s="39">
        <v>23</v>
      </c>
      <c r="E8" s="37">
        <v>595</v>
      </c>
    </row>
    <row r="9" spans="1:5" s="11" customFormat="1" ht="15" thickBot="1" x14ac:dyDescent="0.35">
      <c r="A9" s="6" t="s">
        <v>624</v>
      </c>
      <c r="B9" s="7" t="s">
        <v>135</v>
      </c>
      <c r="C9" s="7">
        <v>725</v>
      </c>
      <c r="D9" s="39">
        <v>46</v>
      </c>
      <c r="E9" s="37">
        <v>771</v>
      </c>
    </row>
    <row r="10" spans="1:5" s="11" customFormat="1" ht="15" thickBot="1" x14ac:dyDescent="0.35">
      <c r="A10" s="6" t="s">
        <v>625</v>
      </c>
      <c r="B10" s="7" t="s">
        <v>131</v>
      </c>
      <c r="C10" s="7">
        <v>337</v>
      </c>
      <c r="D10" s="39">
        <v>1</v>
      </c>
      <c r="E10" s="37">
        <v>338</v>
      </c>
    </row>
    <row r="11" spans="1:5" s="11" customFormat="1" ht="15" thickBot="1" x14ac:dyDescent="0.35">
      <c r="A11" s="6" t="s">
        <v>626</v>
      </c>
      <c r="B11" s="7" t="s">
        <v>133</v>
      </c>
      <c r="C11" s="7">
        <v>10085</v>
      </c>
      <c r="D11" s="39">
        <v>27</v>
      </c>
      <c r="E11" s="37">
        <v>10112</v>
      </c>
    </row>
    <row r="12" spans="1:5" s="11" customFormat="1" ht="15" thickBot="1" x14ac:dyDescent="0.35">
      <c r="A12" s="6" t="s">
        <v>627</v>
      </c>
      <c r="B12" s="7" t="s">
        <v>143</v>
      </c>
      <c r="C12" s="7">
        <v>0</v>
      </c>
      <c r="D12" s="39">
        <v>0</v>
      </c>
      <c r="E12" s="37">
        <v>0</v>
      </c>
    </row>
    <row r="13" spans="1:5" s="11" customFormat="1" ht="15" thickBot="1" x14ac:dyDescent="0.35">
      <c r="A13" s="6" t="s">
        <v>628</v>
      </c>
      <c r="B13" s="7" t="s">
        <v>55</v>
      </c>
      <c r="C13" s="7">
        <v>0</v>
      </c>
      <c r="D13" s="39">
        <v>20</v>
      </c>
      <c r="E13" s="37">
        <v>20</v>
      </c>
    </row>
    <row r="14" spans="1:5" s="11" customFormat="1" ht="15" thickBot="1" x14ac:dyDescent="0.35">
      <c r="A14" s="6" t="s">
        <v>629</v>
      </c>
      <c r="B14" s="7" t="s">
        <v>53</v>
      </c>
      <c r="C14" s="7">
        <v>23872</v>
      </c>
      <c r="D14" s="39">
        <v>72</v>
      </c>
      <c r="E14" s="37">
        <v>23944</v>
      </c>
    </row>
    <row r="15" spans="1:5" s="11" customFormat="1" ht="15" thickBot="1" x14ac:dyDescent="0.35">
      <c r="A15" s="6" t="s">
        <v>630</v>
      </c>
      <c r="B15" s="7" t="s">
        <v>155</v>
      </c>
      <c r="C15" s="7">
        <v>0</v>
      </c>
      <c r="D15" s="39">
        <v>0</v>
      </c>
      <c r="E15" s="37">
        <v>0</v>
      </c>
    </row>
    <row r="16" spans="1:5" s="11" customFormat="1" ht="15" thickBot="1" x14ac:dyDescent="0.35">
      <c r="A16" s="6" t="s">
        <v>631</v>
      </c>
      <c r="B16" s="7" t="s">
        <v>153</v>
      </c>
      <c r="C16" s="7">
        <v>575</v>
      </c>
      <c r="D16" s="39">
        <v>1</v>
      </c>
      <c r="E16" s="37">
        <v>576</v>
      </c>
    </row>
    <row r="17" spans="1:5" s="11" customFormat="1" ht="15" thickBot="1" x14ac:dyDescent="0.35">
      <c r="A17" s="6" t="s">
        <v>632</v>
      </c>
      <c r="B17" s="7" t="s">
        <v>151</v>
      </c>
      <c r="C17" s="7">
        <v>44</v>
      </c>
      <c r="D17" s="39">
        <v>0</v>
      </c>
      <c r="E17" s="37">
        <v>44</v>
      </c>
    </row>
    <row r="18" spans="1:5" s="11" customFormat="1" ht="15" thickBot="1" x14ac:dyDescent="0.35">
      <c r="A18" s="6" t="s">
        <v>633</v>
      </c>
      <c r="B18" s="7" t="s">
        <v>147</v>
      </c>
      <c r="C18" s="7">
        <v>89</v>
      </c>
      <c r="D18" s="39">
        <v>1</v>
      </c>
      <c r="E18" s="37">
        <v>90</v>
      </c>
    </row>
    <row r="19" spans="1:5" s="11" customFormat="1" ht="15" thickBot="1" x14ac:dyDescent="0.35">
      <c r="A19" s="6" t="s">
        <v>634</v>
      </c>
      <c r="B19" s="7" t="s">
        <v>41</v>
      </c>
      <c r="C19" s="7">
        <v>199</v>
      </c>
      <c r="D19" s="39">
        <v>9</v>
      </c>
      <c r="E19" s="37">
        <v>208</v>
      </c>
    </row>
    <row r="20" spans="1:5" s="11" customFormat="1" ht="15" thickBot="1" x14ac:dyDescent="0.35">
      <c r="A20" s="6" t="s">
        <v>635</v>
      </c>
      <c r="B20" s="7" t="s">
        <v>43</v>
      </c>
      <c r="C20" s="7">
        <v>408</v>
      </c>
      <c r="D20" s="39">
        <v>0</v>
      </c>
      <c r="E20" s="37">
        <v>408</v>
      </c>
    </row>
    <row r="21" spans="1:5" s="11" customFormat="1" ht="15" thickBot="1" x14ac:dyDescent="0.35">
      <c r="A21" s="6" t="s">
        <v>636</v>
      </c>
      <c r="B21" s="7" t="s">
        <v>47</v>
      </c>
      <c r="C21" s="7">
        <v>365</v>
      </c>
      <c r="D21" s="39">
        <v>29</v>
      </c>
      <c r="E21" s="37">
        <v>394</v>
      </c>
    </row>
    <row r="22" spans="1:5" s="11" customFormat="1" ht="15" thickBot="1" x14ac:dyDescent="0.35">
      <c r="A22" s="6" t="s">
        <v>637</v>
      </c>
      <c r="B22" s="7" t="s">
        <v>45</v>
      </c>
      <c r="C22" s="7">
        <v>14</v>
      </c>
      <c r="D22" s="39">
        <v>0</v>
      </c>
      <c r="E22" s="37">
        <v>14</v>
      </c>
    </row>
    <row r="23" spans="1:5" s="11" customFormat="1" ht="15" thickBot="1" x14ac:dyDescent="0.35">
      <c r="A23" s="6" t="s">
        <v>638</v>
      </c>
      <c r="B23" s="7" t="s">
        <v>49</v>
      </c>
      <c r="C23" s="7">
        <v>48</v>
      </c>
      <c r="D23" s="39">
        <v>0</v>
      </c>
      <c r="E23" s="37">
        <v>48</v>
      </c>
    </row>
    <row r="24" spans="1:5" s="11" customFormat="1" ht="15" thickBot="1" x14ac:dyDescent="0.35">
      <c r="A24" s="6" t="s">
        <v>639</v>
      </c>
      <c r="B24" s="7" t="s">
        <v>51</v>
      </c>
      <c r="C24" s="7">
        <v>40</v>
      </c>
      <c r="D24" s="39">
        <v>1</v>
      </c>
      <c r="E24" s="37">
        <v>41</v>
      </c>
    </row>
    <row r="25" spans="1:5" s="11" customFormat="1" ht="15" thickBot="1" x14ac:dyDescent="0.35">
      <c r="A25" s="6" t="s">
        <v>640</v>
      </c>
      <c r="B25" s="7" t="s">
        <v>190</v>
      </c>
      <c r="C25" s="7">
        <v>0</v>
      </c>
      <c r="D25" s="39">
        <v>0</v>
      </c>
      <c r="E25" s="37">
        <v>0</v>
      </c>
    </row>
    <row r="26" spans="1:5" s="11" customFormat="1" ht="15" thickBot="1" x14ac:dyDescent="0.35">
      <c r="A26" s="6" t="s">
        <v>641</v>
      </c>
      <c r="B26" s="7" t="s">
        <v>65</v>
      </c>
      <c r="C26" s="7">
        <v>0</v>
      </c>
      <c r="D26" s="39">
        <v>0</v>
      </c>
      <c r="E26" s="37">
        <v>0</v>
      </c>
    </row>
    <row r="27" spans="1:5" s="11" customFormat="1" ht="15" thickBot="1" x14ac:dyDescent="0.35">
      <c r="A27" s="6" t="s">
        <v>642</v>
      </c>
      <c r="B27" s="7" t="s">
        <v>117</v>
      </c>
      <c r="C27" s="7">
        <v>48</v>
      </c>
      <c r="D27" s="39">
        <v>0</v>
      </c>
      <c r="E27" s="37">
        <v>48</v>
      </c>
    </row>
    <row r="28" spans="1:5" s="11" customFormat="1" ht="15" thickBot="1" x14ac:dyDescent="0.35">
      <c r="A28" s="6" t="s">
        <v>643</v>
      </c>
      <c r="B28" s="7" t="s">
        <v>125</v>
      </c>
      <c r="C28" s="7">
        <v>1563</v>
      </c>
      <c r="D28" s="39">
        <v>28</v>
      </c>
      <c r="E28" s="37">
        <v>1591</v>
      </c>
    </row>
    <row r="29" spans="1:5" s="11" customFormat="1" ht="15" thickBot="1" x14ac:dyDescent="0.35">
      <c r="A29" s="6" t="s">
        <v>644</v>
      </c>
      <c r="B29" s="7" t="s">
        <v>129</v>
      </c>
      <c r="C29" s="7">
        <v>963</v>
      </c>
      <c r="D29" s="39">
        <v>1</v>
      </c>
      <c r="E29" s="37">
        <v>964</v>
      </c>
    </row>
    <row r="30" spans="1:5" s="11" customFormat="1" ht="15" thickBot="1" x14ac:dyDescent="0.35">
      <c r="A30" s="6" t="s">
        <v>645</v>
      </c>
      <c r="B30" s="7" t="s">
        <v>79</v>
      </c>
      <c r="C30" s="7">
        <v>90</v>
      </c>
      <c r="D30" s="39">
        <v>0</v>
      </c>
      <c r="E30" s="37">
        <v>90</v>
      </c>
    </row>
    <row r="31" spans="1:5" s="11" customFormat="1" ht="15" thickBot="1" x14ac:dyDescent="0.35">
      <c r="A31" s="6" t="s">
        <v>646</v>
      </c>
      <c r="B31" s="7" t="s">
        <v>69</v>
      </c>
      <c r="C31" s="7">
        <v>1047</v>
      </c>
      <c r="D31" s="39">
        <v>0</v>
      </c>
      <c r="E31" s="37">
        <v>1047</v>
      </c>
    </row>
    <row r="32" spans="1:5" s="11" customFormat="1" ht="15" thickBot="1" x14ac:dyDescent="0.35">
      <c r="A32" s="6" t="s">
        <v>647</v>
      </c>
      <c r="B32" s="7" t="s">
        <v>115</v>
      </c>
      <c r="C32" s="7">
        <v>5</v>
      </c>
      <c r="D32" s="39">
        <v>0</v>
      </c>
      <c r="E32" s="37">
        <v>5</v>
      </c>
    </row>
    <row r="33" spans="1:5" s="11" customFormat="1" ht="15" thickBot="1" x14ac:dyDescent="0.35">
      <c r="A33" s="6" t="s">
        <v>648</v>
      </c>
      <c r="B33" s="7" t="s">
        <v>113</v>
      </c>
      <c r="C33" s="7">
        <v>0</v>
      </c>
      <c r="D33" s="39">
        <v>0</v>
      </c>
      <c r="E33" s="37">
        <v>0</v>
      </c>
    </row>
    <row r="34" spans="1:5" s="11" customFormat="1" ht="15" thickBot="1" x14ac:dyDescent="0.35">
      <c r="A34" s="6" t="s">
        <v>649</v>
      </c>
      <c r="B34" s="7" t="s">
        <v>111</v>
      </c>
      <c r="C34" s="7">
        <v>152</v>
      </c>
      <c r="D34" s="39">
        <v>58</v>
      </c>
      <c r="E34" s="37">
        <v>210</v>
      </c>
    </row>
    <row r="35" spans="1:5" s="11" customFormat="1" ht="15" thickBot="1" x14ac:dyDescent="0.35">
      <c r="A35" s="6" t="s">
        <v>650</v>
      </c>
      <c r="B35" s="7" t="s">
        <v>109</v>
      </c>
      <c r="C35" s="7">
        <v>14</v>
      </c>
      <c r="D35" s="39">
        <v>0</v>
      </c>
      <c r="E35" s="37">
        <v>14</v>
      </c>
    </row>
    <row r="36" spans="1:5" s="11" customFormat="1" ht="15" thickBot="1" x14ac:dyDescent="0.35">
      <c r="A36" s="6" t="s">
        <v>651</v>
      </c>
      <c r="B36" s="7" t="s">
        <v>127</v>
      </c>
      <c r="C36" s="7">
        <v>90</v>
      </c>
      <c r="D36" s="39">
        <v>0</v>
      </c>
      <c r="E36" s="37">
        <v>90</v>
      </c>
    </row>
    <row r="37" spans="1:5" s="11" customFormat="1" ht="15" thickBot="1" x14ac:dyDescent="0.35">
      <c r="A37" s="6" t="s">
        <v>652</v>
      </c>
      <c r="B37" s="7" t="s">
        <v>165</v>
      </c>
      <c r="C37" s="7">
        <v>588</v>
      </c>
      <c r="D37" s="39">
        <v>0</v>
      </c>
      <c r="E37" s="37">
        <v>588</v>
      </c>
    </row>
    <row r="38" spans="1:5" s="11" customFormat="1" ht="15" thickBot="1" x14ac:dyDescent="0.35">
      <c r="A38" s="6" t="s">
        <v>653</v>
      </c>
      <c r="B38" s="7" t="s">
        <v>161</v>
      </c>
      <c r="C38" s="7">
        <v>0</v>
      </c>
      <c r="D38" s="39">
        <v>1</v>
      </c>
      <c r="E38" s="37">
        <v>1</v>
      </c>
    </row>
    <row r="39" spans="1:5" s="11" customFormat="1" ht="15" thickBot="1" x14ac:dyDescent="0.35">
      <c r="A39" s="6" t="s">
        <v>654</v>
      </c>
      <c r="B39" s="7" t="s">
        <v>163</v>
      </c>
      <c r="C39" s="7">
        <v>1</v>
      </c>
      <c r="D39" s="39">
        <v>0</v>
      </c>
      <c r="E39" s="37">
        <v>1</v>
      </c>
    </row>
    <row r="40" spans="1:5" s="11" customFormat="1" ht="15" thickBot="1" x14ac:dyDescent="0.35">
      <c r="A40" s="6" t="s">
        <v>655</v>
      </c>
      <c r="B40" s="7" t="s">
        <v>67</v>
      </c>
      <c r="C40" s="7">
        <v>417</v>
      </c>
      <c r="D40" s="39">
        <v>3</v>
      </c>
      <c r="E40" s="37">
        <v>420</v>
      </c>
    </row>
    <row r="41" spans="1:5" s="11" customFormat="1" ht="15" thickBot="1" x14ac:dyDescent="0.35">
      <c r="A41" s="6" t="s">
        <v>656</v>
      </c>
      <c r="B41" s="7" t="s">
        <v>73</v>
      </c>
      <c r="C41" s="7">
        <v>6043</v>
      </c>
      <c r="D41" s="39">
        <v>419</v>
      </c>
      <c r="E41" s="37">
        <v>6462</v>
      </c>
    </row>
    <row r="42" spans="1:5" s="11" customFormat="1" ht="15" thickBot="1" x14ac:dyDescent="0.35">
      <c r="A42" s="6" t="s">
        <v>657</v>
      </c>
      <c r="B42" s="7" t="s">
        <v>149</v>
      </c>
      <c r="C42" s="7">
        <v>44</v>
      </c>
      <c r="D42" s="39">
        <v>0</v>
      </c>
      <c r="E42" s="37">
        <v>44</v>
      </c>
    </row>
    <row r="43" spans="1:5" s="11" customFormat="1" ht="15" thickBot="1" x14ac:dyDescent="0.35">
      <c r="A43" s="6" t="s">
        <v>658</v>
      </c>
      <c r="B43" s="7" t="s">
        <v>145</v>
      </c>
      <c r="C43" s="7">
        <v>40</v>
      </c>
      <c r="D43" s="39">
        <v>0</v>
      </c>
      <c r="E43" s="37">
        <v>40</v>
      </c>
    </row>
    <row r="44" spans="1:5" s="11" customFormat="1" ht="15" thickBot="1" x14ac:dyDescent="0.35">
      <c r="A44" s="6" t="s">
        <v>659</v>
      </c>
      <c r="B44" s="7" t="s">
        <v>121</v>
      </c>
      <c r="C44" s="7">
        <v>60</v>
      </c>
      <c r="D44" s="39">
        <v>0</v>
      </c>
      <c r="E44" s="37">
        <v>60</v>
      </c>
    </row>
    <row r="45" spans="1:5" s="11" customFormat="1" ht="15" thickBot="1" x14ac:dyDescent="0.35">
      <c r="A45" s="6" t="s">
        <v>660</v>
      </c>
      <c r="B45" s="7" t="s">
        <v>119</v>
      </c>
      <c r="C45" s="7">
        <v>84</v>
      </c>
      <c r="D45" s="39">
        <v>0</v>
      </c>
      <c r="E45" s="37">
        <v>84</v>
      </c>
    </row>
    <row r="46" spans="1:5" s="11" customFormat="1" ht="15" thickBot="1" x14ac:dyDescent="0.35">
      <c r="A46" s="6" t="s">
        <v>661</v>
      </c>
      <c r="B46" s="7" t="s">
        <v>175</v>
      </c>
      <c r="C46" s="7">
        <v>102</v>
      </c>
      <c r="D46" s="39">
        <v>0</v>
      </c>
      <c r="E46" s="37">
        <v>102</v>
      </c>
    </row>
    <row r="47" spans="1:5" s="11" customFormat="1" ht="15" thickBot="1" x14ac:dyDescent="0.35">
      <c r="A47" s="6" t="s">
        <v>662</v>
      </c>
      <c r="B47" s="7" t="s">
        <v>169</v>
      </c>
      <c r="C47" s="7">
        <v>397</v>
      </c>
      <c r="D47" s="39">
        <v>0</v>
      </c>
      <c r="E47" s="37">
        <v>397</v>
      </c>
    </row>
    <row r="48" spans="1:5" s="11" customFormat="1" ht="15" thickBot="1" x14ac:dyDescent="0.35">
      <c r="A48" s="6" t="s">
        <v>663</v>
      </c>
      <c r="B48" s="7" t="s">
        <v>137</v>
      </c>
      <c r="C48" s="7">
        <v>1147</v>
      </c>
      <c r="D48" s="39">
        <v>3</v>
      </c>
      <c r="E48" s="37">
        <v>1150</v>
      </c>
    </row>
    <row r="49" spans="1:5" s="11" customFormat="1" ht="15" thickBot="1" x14ac:dyDescent="0.35">
      <c r="A49" s="6" t="s">
        <v>664</v>
      </c>
      <c r="B49" s="7" t="s">
        <v>141</v>
      </c>
      <c r="C49" s="7">
        <v>1567</v>
      </c>
      <c r="D49" s="39">
        <v>0</v>
      </c>
      <c r="E49" s="37">
        <v>1567</v>
      </c>
    </row>
    <row r="50" spans="1:5" s="11" customFormat="1" ht="15" thickBot="1" x14ac:dyDescent="0.35">
      <c r="A50" s="6" t="s">
        <v>665</v>
      </c>
      <c r="B50" s="7" t="s">
        <v>87</v>
      </c>
      <c r="C50" s="7">
        <v>23</v>
      </c>
      <c r="D50" s="39">
        <v>37</v>
      </c>
      <c r="E50" s="37">
        <v>60</v>
      </c>
    </row>
    <row r="51" spans="1:5" s="11" customFormat="1" ht="15" thickBot="1" x14ac:dyDescent="0.35">
      <c r="A51" s="6" t="s">
        <v>666</v>
      </c>
      <c r="B51" s="7" t="s">
        <v>89</v>
      </c>
      <c r="C51" s="7">
        <v>54382</v>
      </c>
      <c r="D51" s="39">
        <v>50</v>
      </c>
      <c r="E51" s="37">
        <v>54432</v>
      </c>
    </row>
    <row r="52" spans="1:5" s="11" customFormat="1" ht="15" thickBot="1" x14ac:dyDescent="0.35">
      <c r="A52" s="6" t="s">
        <v>667</v>
      </c>
      <c r="B52" s="7" t="s">
        <v>95</v>
      </c>
      <c r="C52" s="7">
        <v>0</v>
      </c>
      <c r="D52" s="39">
        <v>0</v>
      </c>
      <c r="E52" s="37">
        <v>0</v>
      </c>
    </row>
    <row r="53" spans="1:5" s="11" customFormat="1" ht="15" thickBot="1" x14ac:dyDescent="0.35">
      <c r="A53" s="6" t="s">
        <v>668</v>
      </c>
      <c r="B53" s="7" t="s">
        <v>71</v>
      </c>
      <c r="C53" s="7">
        <v>290</v>
      </c>
      <c r="D53" s="39">
        <v>0</v>
      </c>
      <c r="E53" s="37">
        <v>290</v>
      </c>
    </row>
    <row r="54" spans="1:5" s="11" customFormat="1" ht="15" thickBot="1" x14ac:dyDescent="0.35">
      <c r="A54" s="6" t="s">
        <v>669</v>
      </c>
      <c r="B54" s="7" t="s">
        <v>63</v>
      </c>
      <c r="C54" s="7">
        <v>48</v>
      </c>
      <c r="D54" s="39">
        <v>0</v>
      </c>
      <c r="E54" s="37">
        <v>48</v>
      </c>
    </row>
    <row r="55" spans="1:5" s="11" customFormat="1" ht="15" thickBot="1" x14ac:dyDescent="0.35">
      <c r="A55" s="6" t="s">
        <v>670</v>
      </c>
      <c r="B55" s="7" t="s">
        <v>103</v>
      </c>
      <c r="C55" s="7">
        <v>2933</v>
      </c>
      <c r="D55" s="39">
        <v>68</v>
      </c>
      <c r="E55" s="37">
        <v>3001</v>
      </c>
    </row>
    <row r="56" spans="1:5" s="11" customFormat="1" ht="15" thickBot="1" x14ac:dyDescent="0.35">
      <c r="A56" s="6" t="s">
        <v>671</v>
      </c>
      <c r="B56" s="7" t="s">
        <v>123</v>
      </c>
      <c r="C56" s="7">
        <v>6956</v>
      </c>
      <c r="D56" s="39">
        <v>40</v>
      </c>
      <c r="E56" s="37">
        <v>6996</v>
      </c>
    </row>
    <row r="57" spans="1:5" s="11" customFormat="1" ht="15" thickBot="1" x14ac:dyDescent="0.35">
      <c r="A57" s="6" t="s">
        <v>672</v>
      </c>
      <c r="B57" s="7" t="s">
        <v>159</v>
      </c>
      <c r="C57" s="7">
        <v>545</v>
      </c>
      <c r="D57" s="39">
        <v>46</v>
      </c>
      <c r="E57" s="37">
        <v>591</v>
      </c>
    </row>
    <row r="58" spans="1:5" s="11" customFormat="1" ht="15" thickBot="1" x14ac:dyDescent="0.35">
      <c r="A58" s="6" t="s">
        <v>673</v>
      </c>
      <c r="B58" s="7" t="s">
        <v>167</v>
      </c>
      <c r="C58" s="7">
        <v>8</v>
      </c>
      <c r="D58" s="39">
        <v>26</v>
      </c>
      <c r="E58" s="37">
        <v>34</v>
      </c>
    </row>
    <row r="59" spans="1:5" s="11" customFormat="1" ht="15" thickBot="1" x14ac:dyDescent="0.35">
      <c r="A59" s="6" t="s">
        <v>674</v>
      </c>
      <c r="B59" s="7" t="s">
        <v>105</v>
      </c>
      <c r="C59" s="7">
        <v>0</v>
      </c>
      <c r="D59" s="39">
        <v>56</v>
      </c>
      <c r="E59" s="37">
        <v>56</v>
      </c>
    </row>
    <row r="60" spans="1:5" s="11" customFormat="1" ht="15" thickBot="1" x14ac:dyDescent="0.35">
      <c r="A60" s="6" t="s">
        <v>675</v>
      </c>
      <c r="B60" s="7" t="s">
        <v>75</v>
      </c>
      <c r="C60" s="7">
        <v>550</v>
      </c>
      <c r="D60" s="39">
        <v>3</v>
      </c>
      <c r="E60" s="37">
        <v>553</v>
      </c>
    </row>
    <row r="61" spans="1:5" s="11" customFormat="1" ht="15" thickBot="1" x14ac:dyDescent="0.35">
      <c r="A61" s="6" t="s">
        <v>676</v>
      </c>
      <c r="B61" s="7" t="s">
        <v>77</v>
      </c>
      <c r="C61" s="7">
        <v>552</v>
      </c>
      <c r="D61" s="39">
        <v>0</v>
      </c>
      <c r="E61" s="37">
        <v>552</v>
      </c>
    </row>
    <row r="62" spans="1:5" s="11" customFormat="1" ht="15" thickBot="1" x14ac:dyDescent="0.35">
      <c r="A62" s="6" t="s">
        <v>677</v>
      </c>
      <c r="B62" s="7" t="s">
        <v>193</v>
      </c>
      <c r="C62" s="7">
        <v>0</v>
      </c>
      <c r="D62" s="39">
        <v>66</v>
      </c>
      <c r="E62" s="37">
        <v>66</v>
      </c>
    </row>
    <row r="63" spans="1:5" s="11" customFormat="1" ht="15" thickBot="1" x14ac:dyDescent="0.35">
      <c r="A63" s="6" t="s">
        <v>678</v>
      </c>
      <c r="B63" s="7" t="s">
        <v>93</v>
      </c>
      <c r="C63" s="7">
        <v>-18</v>
      </c>
      <c r="D63" s="39">
        <v>154</v>
      </c>
      <c r="E63" s="37">
        <v>136</v>
      </c>
    </row>
    <row r="64" spans="1:5" s="11" customFormat="1" ht="15" thickBot="1" x14ac:dyDescent="0.35">
      <c r="A64" s="6" t="s">
        <v>679</v>
      </c>
      <c r="B64" s="7" t="s">
        <v>57</v>
      </c>
      <c r="C64" s="7">
        <v>52</v>
      </c>
      <c r="D64" s="39">
        <v>0</v>
      </c>
      <c r="E64" s="37">
        <v>52</v>
      </c>
    </row>
    <row r="65" spans="1:5" s="11" customFormat="1" ht="15" thickBot="1" x14ac:dyDescent="0.35">
      <c r="A65" s="6" t="s">
        <v>680</v>
      </c>
      <c r="B65" s="7" t="s">
        <v>59</v>
      </c>
      <c r="C65" s="7">
        <v>60</v>
      </c>
      <c r="D65" s="39">
        <v>0</v>
      </c>
      <c r="E65" s="37">
        <v>60</v>
      </c>
    </row>
    <row r="66" spans="1:5" s="11" customFormat="1" ht="15" thickBot="1" x14ac:dyDescent="0.35">
      <c r="A66" s="6" t="s">
        <v>681</v>
      </c>
      <c r="B66" s="7" t="s">
        <v>85</v>
      </c>
      <c r="C66" s="7">
        <v>25</v>
      </c>
      <c r="D66" s="39">
        <v>0</v>
      </c>
      <c r="E66" s="37">
        <v>25</v>
      </c>
    </row>
    <row r="67" spans="1:5" s="11" customFormat="1" ht="15" thickBot="1" x14ac:dyDescent="0.35">
      <c r="A67" s="6" t="s">
        <v>682</v>
      </c>
      <c r="B67" s="7" t="s">
        <v>195</v>
      </c>
      <c r="C67" s="7">
        <v>960</v>
      </c>
      <c r="D67" s="39">
        <v>0</v>
      </c>
      <c r="E67" s="37">
        <v>960</v>
      </c>
    </row>
    <row r="68" spans="1:5" s="11" customFormat="1" ht="15" thickBot="1" x14ac:dyDescent="0.35">
      <c r="A68" s="6" t="s">
        <v>683</v>
      </c>
      <c r="B68" s="7" t="s">
        <v>61</v>
      </c>
      <c r="C68" s="7">
        <v>156</v>
      </c>
      <c r="D68" s="39">
        <v>0</v>
      </c>
      <c r="E68" s="37">
        <v>156</v>
      </c>
    </row>
    <row r="69" spans="1:5" s="11" customFormat="1" ht="15" thickBot="1" x14ac:dyDescent="0.35">
      <c r="A69" s="6" t="s">
        <v>684</v>
      </c>
      <c r="B69" s="7" t="s">
        <v>107</v>
      </c>
      <c r="C69" s="7">
        <v>149</v>
      </c>
      <c r="D69" s="39">
        <v>3</v>
      </c>
      <c r="E69" s="37">
        <v>152</v>
      </c>
    </row>
    <row r="70" spans="1:5" s="11" customFormat="1" ht="15" thickBot="1" x14ac:dyDescent="0.35">
      <c r="A70" s="6" t="s">
        <v>685</v>
      </c>
      <c r="B70" s="7" t="s">
        <v>91</v>
      </c>
      <c r="C70" s="7">
        <v>0</v>
      </c>
      <c r="D70" s="39">
        <v>19</v>
      </c>
      <c r="E70" s="37">
        <v>19</v>
      </c>
    </row>
    <row r="71" spans="1:5" s="11" customFormat="1" ht="15" thickBot="1" x14ac:dyDescent="0.35">
      <c r="A71" s="6" t="s">
        <v>686</v>
      </c>
      <c r="B71" s="7" t="s">
        <v>97</v>
      </c>
      <c r="C71" s="7">
        <v>36037</v>
      </c>
      <c r="D71" s="39">
        <v>57</v>
      </c>
      <c r="E71" s="37">
        <v>36094</v>
      </c>
    </row>
    <row r="72" spans="1:5" s="11" customFormat="1" ht="15" thickBot="1" x14ac:dyDescent="0.35">
      <c r="A72" s="6" t="s">
        <v>687</v>
      </c>
      <c r="B72" s="7" t="s">
        <v>171</v>
      </c>
      <c r="C72" s="7">
        <v>18</v>
      </c>
      <c r="D72" s="39">
        <v>0</v>
      </c>
      <c r="E72" s="37">
        <v>18</v>
      </c>
    </row>
    <row r="73" spans="1:5" s="11" customFormat="1" ht="15" thickBot="1" x14ac:dyDescent="0.35">
      <c r="A73" s="6" t="s">
        <v>688</v>
      </c>
      <c r="B73" s="7" t="s">
        <v>173</v>
      </c>
      <c r="C73" s="7">
        <v>0</v>
      </c>
      <c r="D73" s="39">
        <v>0</v>
      </c>
      <c r="E73" s="37">
        <v>0</v>
      </c>
    </row>
    <row r="74" spans="1:5" s="11" customFormat="1" ht="15" thickBot="1" x14ac:dyDescent="0.35">
      <c r="A74" s="6" t="s">
        <v>689</v>
      </c>
      <c r="B74" s="7" t="s">
        <v>197</v>
      </c>
      <c r="C74" s="7">
        <v>0</v>
      </c>
      <c r="D74" s="39">
        <v>24</v>
      </c>
      <c r="E74" s="37">
        <v>24</v>
      </c>
    </row>
    <row r="75" spans="1:5" s="11" customFormat="1" ht="15" thickBot="1" x14ac:dyDescent="0.35">
      <c r="A75" s="6" t="s">
        <v>690</v>
      </c>
      <c r="B75" s="7" t="s">
        <v>200</v>
      </c>
      <c r="C75" s="7">
        <v>0</v>
      </c>
      <c r="D75" s="39">
        <v>24</v>
      </c>
      <c r="E75" s="37">
        <v>24</v>
      </c>
    </row>
    <row r="76" spans="1:5" s="11" customFormat="1" ht="15" thickBot="1" x14ac:dyDescent="0.35">
      <c r="A76" s="6" t="s">
        <v>691</v>
      </c>
      <c r="B76" s="7" t="s">
        <v>202</v>
      </c>
      <c r="C76" s="7">
        <v>120</v>
      </c>
      <c r="D76" s="39">
        <v>24</v>
      </c>
      <c r="E76" s="37">
        <v>144</v>
      </c>
    </row>
    <row r="77" spans="1:5" s="11" customFormat="1" ht="15" thickBot="1" x14ac:dyDescent="0.35">
      <c r="A77" s="6" t="s">
        <v>692</v>
      </c>
      <c r="B77" s="7" t="s">
        <v>204</v>
      </c>
      <c r="C77" s="7">
        <v>0</v>
      </c>
      <c r="D77" s="39">
        <v>24</v>
      </c>
      <c r="E77" s="37">
        <v>24</v>
      </c>
    </row>
    <row r="78" spans="1:5" s="11" customFormat="1" ht="15" thickBot="1" x14ac:dyDescent="0.35">
      <c r="A78" s="6" t="s">
        <v>693</v>
      </c>
      <c r="B78" s="7" t="s">
        <v>206</v>
      </c>
      <c r="C78" s="7">
        <v>0</v>
      </c>
      <c r="D78" s="39">
        <v>24</v>
      </c>
      <c r="E78" s="37">
        <v>24</v>
      </c>
    </row>
    <row r="79" spans="1:5" s="11" customFormat="1" ht="15" thickBot="1" x14ac:dyDescent="0.35">
      <c r="A79" s="6" t="s">
        <v>694</v>
      </c>
      <c r="B79" s="7" t="s">
        <v>208</v>
      </c>
      <c r="C79" s="7">
        <v>48</v>
      </c>
      <c r="D79" s="39">
        <v>24</v>
      </c>
      <c r="E79" s="37">
        <v>72</v>
      </c>
    </row>
    <row r="80" spans="1:5" s="11" customFormat="1" ht="15" thickBot="1" x14ac:dyDescent="0.35">
      <c r="A80" s="6" t="s">
        <v>695</v>
      </c>
      <c r="B80" s="7" t="s">
        <v>210</v>
      </c>
      <c r="C80" s="7">
        <v>0</v>
      </c>
      <c r="D80" s="39">
        <v>552</v>
      </c>
      <c r="E80" s="37">
        <v>552</v>
      </c>
    </row>
    <row r="81" spans="1:5" s="11" customFormat="1" ht="15" thickBot="1" x14ac:dyDescent="0.35">
      <c r="A81" s="6" t="s">
        <v>696</v>
      </c>
      <c r="B81" s="7" t="s">
        <v>212</v>
      </c>
      <c r="C81" s="7">
        <v>0</v>
      </c>
      <c r="D81" s="39">
        <v>24</v>
      </c>
      <c r="E81" s="37">
        <v>24</v>
      </c>
    </row>
    <row r="82" spans="1:5" s="11" customFormat="1" ht="15" thickBot="1" x14ac:dyDescent="0.35">
      <c r="A82" s="6" t="s">
        <v>697</v>
      </c>
      <c r="B82" s="7" t="s">
        <v>214</v>
      </c>
      <c r="C82" s="7">
        <v>1704</v>
      </c>
      <c r="D82" s="39">
        <v>24</v>
      </c>
      <c r="E82" s="37">
        <v>1728</v>
      </c>
    </row>
    <row r="83" spans="1:5" s="11" customFormat="1" ht="15" thickBot="1" x14ac:dyDescent="0.35">
      <c r="A83" s="6" t="s">
        <v>698</v>
      </c>
      <c r="B83" s="7" t="s">
        <v>216</v>
      </c>
      <c r="C83" s="7">
        <v>480</v>
      </c>
      <c r="D83" s="39">
        <v>24</v>
      </c>
      <c r="E83" s="37">
        <v>504</v>
      </c>
    </row>
    <row r="84" spans="1:5" s="11" customFormat="1" ht="15" thickBot="1" x14ac:dyDescent="0.35">
      <c r="A84" s="6" t="s">
        <v>699</v>
      </c>
      <c r="B84" s="7" t="s">
        <v>218</v>
      </c>
      <c r="C84" s="7">
        <v>576</v>
      </c>
      <c r="D84" s="39">
        <v>24</v>
      </c>
      <c r="E84" s="37">
        <v>600</v>
      </c>
    </row>
    <row r="85" spans="1:5" s="11" customFormat="1" ht="15" thickBot="1" x14ac:dyDescent="0.35">
      <c r="A85" s="6" t="s">
        <v>700</v>
      </c>
      <c r="B85" s="7" t="s">
        <v>220</v>
      </c>
      <c r="C85" s="7">
        <v>624</v>
      </c>
      <c r="D85" s="39">
        <v>24</v>
      </c>
      <c r="E85" s="37">
        <v>648</v>
      </c>
    </row>
    <row r="86" spans="1:5" s="11" customFormat="1" ht="15" thickBot="1" x14ac:dyDescent="0.35">
      <c r="A86" s="6" t="s">
        <v>701</v>
      </c>
      <c r="B86" s="7" t="s">
        <v>222</v>
      </c>
      <c r="C86" s="7">
        <v>0</v>
      </c>
      <c r="D86" s="39">
        <v>12</v>
      </c>
      <c r="E86" s="37">
        <v>12</v>
      </c>
    </row>
    <row r="87" spans="1:5" s="11" customFormat="1" ht="15" thickBot="1" x14ac:dyDescent="0.35">
      <c r="A87" s="6" t="s">
        <v>702</v>
      </c>
      <c r="B87" s="7" t="s">
        <v>224</v>
      </c>
      <c r="C87" s="7">
        <v>600</v>
      </c>
      <c r="D87" s="39">
        <v>24</v>
      </c>
      <c r="E87" s="37">
        <v>624</v>
      </c>
    </row>
    <row r="88" spans="1:5" s="11" customFormat="1" ht="15" thickBot="1" x14ac:dyDescent="0.35">
      <c r="A88" s="6" t="s">
        <v>703</v>
      </c>
      <c r="B88" s="7" t="s">
        <v>226</v>
      </c>
      <c r="C88" s="7">
        <v>0</v>
      </c>
      <c r="D88" s="39">
        <v>24</v>
      </c>
      <c r="E88" s="37">
        <v>24</v>
      </c>
    </row>
    <row r="89" spans="1:5" s="11" customFormat="1" ht="15" thickBot="1" x14ac:dyDescent="0.35">
      <c r="A89" s="6" t="s">
        <v>704</v>
      </c>
      <c r="B89" s="7" t="s">
        <v>228</v>
      </c>
      <c r="C89" s="7">
        <v>0</v>
      </c>
      <c r="D89" s="39">
        <v>24</v>
      </c>
      <c r="E89" s="37">
        <v>24</v>
      </c>
    </row>
    <row r="90" spans="1:5" s="11" customFormat="1" ht="15" thickBot="1" x14ac:dyDescent="0.35">
      <c r="A90" s="6" t="s">
        <v>705</v>
      </c>
      <c r="B90" s="7" t="s">
        <v>230</v>
      </c>
      <c r="C90" s="7">
        <v>0</v>
      </c>
      <c r="D90" s="39">
        <v>2</v>
      </c>
      <c r="E90" s="37">
        <v>2</v>
      </c>
    </row>
    <row r="91" spans="1:5" s="11" customFormat="1" ht="15" thickBot="1" x14ac:dyDescent="0.35">
      <c r="A91" s="6" t="s">
        <v>706</v>
      </c>
      <c r="B91" s="7" t="s">
        <v>232</v>
      </c>
      <c r="C91" s="7">
        <v>0</v>
      </c>
      <c r="D91" s="39">
        <v>2</v>
      </c>
      <c r="E91" s="37">
        <v>2</v>
      </c>
    </row>
    <row r="92" spans="1:5" s="11" customFormat="1" ht="15" thickBot="1" x14ac:dyDescent="0.35">
      <c r="A92" s="6" t="s">
        <v>707</v>
      </c>
      <c r="B92" s="7" t="s">
        <v>234</v>
      </c>
      <c r="C92" s="7">
        <v>0</v>
      </c>
      <c r="D92" s="39">
        <v>24</v>
      </c>
      <c r="E92" s="37">
        <v>24</v>
      </c>
    </row>
    <row r="93" spans="1:5" s="11" customFormat="1" ht="15" thickBot="1" x14ac:dyDescent="0.35">
      <c r="A93" s="6" t="s">
        <v>708</v>
      </c>
      <c r="B93" s="7" t="s">
        <v>236</v>
      </c>
      <c r="C93" s="7">
        <v>1872</v>
      </c>
      <c r="D93" s="39">
        <v>24</v>
      </c>
      <c r="E93" s="37">
        <v>1896</v>
      </c>
    </row>
    <row r="94" spans="1:5" s="11" customFormat="1" ht="15" thickBot="1" x14ac:dyDescent="0.35">
      <c r="A94" s="6" t="s">
        <v>709</v>
      </c>
      <c r="B94" s="7" t="s">
        <v>238</v>
      </c>
      <c r="C94" s="7">
        <v>0</v>
      </c>
      <c r="D94" s="39">
        <v>0</v>
      </c>
      <c r="E94" s="37">
        <v>0</v>
      </c>
    </row>
    <row r="95" spans="1:5" s="11" customFormat="1" ht="15" thickBot="1" x14ac:dyDescent="0.35">
      <c r="A95" s="6" t="s">
        <v>710</v>
      </c>
      <c r="B95" s="7" t="s">
        <v>240</v>
      </c>
      <c r="C95" s="7">
        <v>1050</v>
      </c>
      <c r="D95" s="39">
        <v>50</v>
      </c>
      <c r="E95" s="37">
        <v>1100</v>
      </c>
    </row>
    <row r="96" spans="1:5" s="11" customFormat="1" ht="15" thickBot="1" x14ac:dyDescent="0.35">
      <c r="A96" s="6" t="s">
        <v>711</v>
      </c>
      <c r="B96" s="7" t="s">
        <v>242</v>
      </c>
      <c r="C96" s="7">
        <v>250</v>
      </c>
      <c r="D96" s="39">
        <v>50</v>
      </c>
      <c r="E96" s="37">
        <v>300</v>
      </c>
    </row>
    <row r="97" spans="1:5" s="11" customFormat="1" ht="15" thickBot="1" x14ac:dyDescent="0.35">
      <c r="A97" s="6" t="s">
        <v>712</v>
      </c>
      <c r="B97" s="7" t="s">
        <v>244</v>
      </c>
      <c r="C97" s="7">
        <v>3150</v>
      </c>
      <c r="D97" s="39">
        <v>50</v>
      </c>
      <c r="E97" s="37">
        <v>3200</v>
      </c>
    </row>
    <row r="98" spans="1:5" s="11" customFormat="1" ht="15" thickBot="1" x14ac:dyDescent="0.35">
      <c r="A98" s="6" t="s">
        <v>713</v>
      </c>
      <c r="B98" s="7" t="s">
        <v>246</v>
      </c>
      <c r="C98" s="7">
        <v>0</v>
      </c>
      <c r="D98" s="39">
        <v>50</v>
      </c>
      <c r="E98" s="37">
        <v>50</v>
      </c>
    </row>
    <row r="99" spans="1:5" s="11" customFormat="1" ht="15" thickBot="1" x14ac:dyDescent="0.35">
      <c r="A99" s="6" t="s">
        <v>714</v>
      </c>
      <c r="B99" s="7" t="s">
        <v>248</v>
      </c>
      <c r="C99" s="7">
        <v>850</v>
      </c>
      <c r="D99" s="39">
        <v>50</v>
      </c>
      <c r="E99" s="37">
        <v>900</v>
      </c>
    </row>
    <row r="100" spans="1:5" s="11" customFormat="1" ht="15" thickBot="1" x14ac:dyDescent="0.35">
      <c r="A100" s="6" t="s">
        <v>715</v>
      </c>
      <c r="B100" s="7" t="s">
        <v>250</v>
      </c>
      <c r="C100" s="7">
        <v>1300</v>
      </c>
      <c r="D100" s="39">
        <v>100</v>
      </c>
      <c r="E100" s="37">
        <v>1400</v>
      </c>
    </row>
    <row r="101" spans="1:5" s="11" customFormat="1" ht="15" thickBot="1" x14ac:dyDescent="0.35">
      <c r="A101" s="6" t="s">
        <v>716</v>
      </c>
      <c r="B101" s="7" t="s">
        <v>252</v>
      </c>
      <c r="C101" s="7">
        <v>1850</v>
      </c>
      <c r="D101" s="39">
        <v>50</v>
      </c>
      <c r="E101" s="37">
        <v>1900</v>
      </c>
    </row>
    <row r="102" spans="1:5" s="11" customFormat="1" ht="15" thickBot="1" x14ac:dyDescent="0.35">
      <c r="A102" s="6" t="s">
        <v>717</v>
      </c>
      <c r="B102" s="7" t="s">
        <v>254</v>
      </c>
      <c r="C102" s="7">
        <v>0</v>
      </c>
      <c r="D102" s="39">
        <v>0</v>
      </c>
      <c r="E102" s="37">
        <v>0</v>
      </c>
    </row>
    <row r="103" spans="1:5" s="11" customFormat="1" ht="15" thickBot="1" x14ac:dyDescent="0.35">
      <c r="A103" s="6" t="s">
        <v>718</v>
      </c>
      <c r="B103" s="7" t="s">
        <v>256</v>
      </c>
      <c r="C103" s="7">
        <v>450</v>
      </c>
      <c r="D103" s="39">
        <v>50</v>
      </c>
      <c r="E103" s="37">
        <v>500</v>
      </c>
    </row>
    <row r="104" spans="1:5" s="11" customFormat="1" ht="15" thickBot="1" x14ac:dyDescent="0.35">
      <c r="A104" s="6" t="s">
        <v>719</v>
      </c>
      <c r="B104" s="7" t="s">
        <v>258</v>
      </c>
      <c r="C104" s="7">
        <v>850</v>
      </c>
      <c r="D104" s="39">
        <v>50</v>
      </c>
      <c r="E104" s="37">
        <v>900</v>
      </c>
    </row>
    <row r="105" spans="1:5" s="11" customFormat="1" ht="15" thickBot="1" x14ac:dyDescent="0.35">
      <c r="A105" s="6" t="s">
        <v>720</v>
      </c>
      <c r="B105" s="7" t="s">
        <v>260</v>
      </c>
      <c r="C105" s="7">
        <v>950</v>
      </c>
      <c r="D105" s="39">
        <v>50</v>
      </c>
      <c r="E105" s="37">
        <v>1000</v>
      </c>
    </row>
    <row r="106" spans="1:5" s="11" customFormat="1" ht="15" thickBot="1" x14ac:dyDescent="0.35">
      <c r="A106" s="6" t="s">
        <v>721</v>
      </c>
      <c r="B106" s="7" t="s">
        <v>262</v>
      </c>
      <c r="C106" s="7">
        <v>600</v>
      </c>
      <c r="D106" s="39">
        <v>100</v>
      </c>
      <c r="E106" s="37">
        <v>700</v>
      </c>
    </row>
    <row r="107" spans="1:5" s="11" customFormat="1" ht="15" thickBot="1" x14ac:dyDescent="0.35">
      <c r="A107" s="6" t="s">
        <v>722</v>
      </c>
      <c r="B107" s="7" t="s">
        <v>264</v>
      </c>
      <c r="C107" s="7">
        <v>500</v>
      </c>
      <c r="D107" s="39">
        <v>50</v>
      </c>
      <c r="E107" s="37">
        <v>550</v>
      </c>
    </row>
    <row r="108" spans="1:5" s="11" customFormat="1" ht="15" thickBot="1" x14ac:dyDescent="0.35">
      <c r="A108" s="6" t="s">
        <v>723</v>
      </c>
      <c r="B108" s="7" t="s">
        <v>266</v>
      </c>
      <c r="C108" s="7">
        <v>0</v>
      </c>
      <c r="D108" s="39">
        <v>0</v>
      </c>
      <c r="E108" s="37">
        <v>0</v>
      </c>
    </row>
    <row r="109" spans="1:5" s="11" customFormat="1" ht="15" thickBot="1" x14ac:dyDescent="0.35">
      <c r="A109" s="6" t="s">
        <v>724</v>
      </c>
      <c r="B109" s="7" t="s">
        <v>268</v>
      </c>
      <c r="C109" s="7">
        <v>400</v>
      </c>
      <c r="D109" s="39">
        <v>50</v>
      </c>
      <c r="E109" s="37">
        <v>450</v>
      </c>
    </row>
    <row r="110" spans="1:5" s="11" customFormat="1" ht="15" thickBot="1" x14ac:dyDescent="0.35">
      <c r="A110" s="6" t="s">
        <v>725</v>
      </c>
      <c r="B110" s="7" t="s">
        <v>270</v>
      </c>
      <c r="C110" s="7">
        <v>8050</v>
      </c>
      <c r="D110" s="39">
        <v>50</v>
      </c>
      <c r="E110" s="37">
        <v>8100</v>
      </c>
    </row>
    <row r="111" spans="1:5" s="11" customFormat="1" ht="15" thickBot="1" x14ac:dyDescent="0.35">
      <c r="A111" s="6" t="s">
        <v>726</v>
      </c>
      <c r="B111" s="7" t="s">
        <v>272</v>
      </c>
      <c r="C111" s="7">
        <v>6550</v>
      </c>
      <c r="D111" s="39">
        <v>50</v>
      </c>
      <c r="E111" s="37">
        <v>6600</v>
      </c>
    </row>
    <row r="112" spans="1:5" s="11" customFormat="1" ht="15" thickBot="1" x14ac:dyDescent="0.35">
      <c r="A112" s="6" t="s">
        <v>727</v>
      </c>
      <c r="B112" s="7" t="s">
        <v>274</v>
      </c>
      <c r="C112" s="7">
        <v>450</v>
      </c>
      <c r="D112" s="39">
        <v>50</v>
      </c>
      <c r="E112" s="37">
        <v>500</v>
      </c>
    </row>
    <row r="113" spans="1:5" s="11" customFormat="1" ht="15" thickBot="1" x14ac:dyDescent="0.35">
      <c r="A113" s="6" t="s">
        <v>728</v>
      </c>
      <c r="B113" s="7" t="s">
        <v>276</v>
      </c>
      <c r="C113" s="7">
        <v>300</v>
      </c>
      <c r="D113" s="39">
        <v>200</v>
      </c>
      <c r="E113" s="37">
        <v>500</v>
      </c>
    </row>
    <row r="114" spans="1:5" s="11" customFormat="1" ht="15" thickBot="1" x14ac:dyDescent="0.35">
      <c r="A114" s="6" t="s">
        <v>729</v>
      </c>
      <c r="B114" s="7" t="s">
        <v>278</v>
      </c>
      <c r="C114" s="7">
        <v>3200</v>
      </c>
      <c r="D114" s="39">
        <v>50</v>
      </c>
      <c r="E114" s="37">
        <v>3250</v>
      </c>
    </row>
    <row r="115" spans="1:5" s="11" customFormat="1" ht="15" thickBot="1" x14ac:dyDescent="0.35">
      <c r="A115" s="6" t="s">
        <v>730</v>
      </c>
      <c r="B115" s="7" t="s">
        <v>280</v>
      </c>
      <c r="C115" s="7">
        <v>0</v>
      </c>
      <c r="D115" s="39">
        <v>50</v>
      </c>
      <c r="E115" s="37">
        <v>50</v>
      </c>
    </row>
    <row r="116" spans="1:5" s="11" customFormat="1" ht="15" thickBot="1" x14ac:dyDescent="0.35">
      <c r="A116" s="6" t="s">
        <v>731</v>
      </c>
      <c r="B116" s="7" t="s">
        <v>282</v>
      </c>
      <c r="C116" s="7">
        <v>1000</v>
      </c>
      <c r="D116" s="39">
        <v>50</v>
      </c>
      <c r="E116" s="37">
        <v>1050</v>
      </c>
    </row>
    <row r="117" spans="1:5" s="11" customFormat="1" ht="15" thickBot="1" x14ac:dyDescent="0.35">
      <c r="A117" s="6" t="s">
        <v>732</v>
      </c>
      <c r="B117" s="7" t="s">
        <v>284</v>
      </c>
      <c r="C117" s="7">
        <v>0</v>
      </c>
      <c r="D117" s="39">
        <v>50</v>
      </c>
      <c r="E117" s="37">
        <v>50</v>
      </c>
    </row>
    <row r="118" spans="1:5" s="11" customFormat="1" ht="15" thickBot="1" x14ac:dyDescent="0.35">
      <c r="A118" s="6" t="s">
        <v>733</v>
      </c>
      <c r="B118" s="7" t="s">
        <v>286</v>
      </c>
      <c r="C118" s="7">
        <v>2100</v>
      </c>
      <c r="D118" s="39">
        <v>50</v>
      </c>
      <c r="E118" s="37">
        <v>2150</v>
      </c>
    </row>
    <row r="119" spans="1:5" s="11" customFormat="1" ht="15" thickBot="1" x14ac:dyDescent="0.35">
      <c r="A119" s="6" t="s">
        <v>734</v>
      </c>
      <c r="B119" s="7" t="s">
        <v>288</v>
      </c>
      <c r="C119" s="7">
        <v>0</v>
      </c>
      <c r="D119" s="39">
        <v>0</v>
      </c>
      <c r="E119" s="37">
        <v>0</v>
      </c>
    </row>
    <row r="120" spans="1:5" s="11" customFormat="1" ht="15" thickBot="1" x14ac:dyDescent="0.35">
      <c r="A120" s="6" t="s">
        <v>735</v>
      </c>
      <c r="B120" s="7" t="s">
        <v>290</v>
      </c>
      <c r="C120" s="7">
        <v>0</v>
      </c>
      <c r="D120" s="39">
        <v>0</v>
      </c>
      <c r="E120" s="37">
        <v>0</v>
      </c>
    </row>
    <row r="121" spans="1:5" s="11" customFormat="1" ht="15" thickBot="1" x14ac:dyDescent="0.35">
      <c r="A121" s="6" t="s">
        <v>736</v>
      </c>
      <c r="B121" s="7" t="s">
        <v>292</v>
      </c>
      <c r="C121" s="7">
        <v>3816</v>
      </c>
      <c r="D121" s="39">
        <v>24</v>
      </c>
      <c r="E121" s="37">
        <v>3840</v>
      </c>
    </row>
    <row r="122" spans="1:5" s="11" customFormat="1" ht="15" thickBot="1" x14ac:dyDescent="0.35">
      <c r="A122" s="6" t="s">
        <v>737</v>
      </c>
      <c r="B122" s="7" t="s">
        <v>294</v>
      </c>
      <c r="C122" s="7">
        <v>3816</v>
      </c>
      <c r="D122" s="39">
        <v>24</v>
      </c>
      <c r="E122" s="37">
        <v>3840</v>
      </c>
    </row>
    <row r="123" spans="1:5" s="11" customFormat="1" ht="15" thickBot="1" x14ac:dyDescent="0.35">
      <c r="A123" s="6" t="s">
        <v>738</v>
      </c>
      <c r="B123" s="7" t="s">
        <v>296</v>
      </c>
      <c r="C123" s="7">
        <v>0</v>
      </c>
      <c r="D123" s="39">
        <v>0</v>
      </c>
      <c r="E123" s="37">
        <v>0</v>
      </c>
    </row>
    <row r="124" spans="1:5" s="11" customFormat="1" ht="15" thickBot="1" x14ac:dyDescent="0.35">
      <c r="A124" s="6" t="s">
        <v>739</v>
      </c>
      <c r="B124" s="7" t="s">
        <v>298</v>
      </c>
      <c r="C124" s="7">
        <v>0</v>
      </c>
      <c r="D124" s="39">
        <v>0</v>
      </c>
      <c r="E124" s="37">
        <v>0</v>
      </c>
    </row>
    <row r="125" spans="1:5" s="11" customFormat="1" ht="15" thickBot="1" x14ac:dyDescent="0.35">
      <c r="A125" s="6" t="s">
        <v>740</v>
      </c>
      <c r="B125" s="7" t="s">
        <v>300</v>
      </c>
      <c r="C125" s="7">
        <v>0</v>
      </c>
      <c r="D125" s="39">
        <v>0</v>
      </c>
      <c r="E125" s="37">
        <v>0</v>
      </c>
    </row>
    <row r="126" spans="1:5" s="11" customFormat="1" ht="15" thickBot="1" x14ac:dyDescent="0.35">
      <c r="A126" s="6" t="s">
        <v>741</v>
      </c>
      <c r="B126" s="7" t="s">
        <v>302</v>
      </c>
      <c r="C126" s="7">
        <v>0</v>
      </c>
      <c r="D126" s="39">
        <v>0</v>
      </c>
      <c r="E126" s="37">
        <v>0</v>
      </c>
    </row>
    <row r="127" spans="1:5" s="11" customFormat="1" ht="15" thickBot="1" x14ac:dyDescent="0.35">
      <c r="A127" s="6" t="s">
        <v>742</v>
      </c>
      <c r="B127" s="7" t="s">
        <v>304</v>
      </c>
      <c r="C127" s="7">
        <v>0</v>
      </c>
      <c r="D127" s="39">
        <v>0</v>
      </c>
      <c r="E127" s="37">
        <v>0</v>
      </c>
    </row>
    <row r="128" spans="1:5" s="11" customFormat="1" ht="15" thickBot="1" x14ac:dyDescent="0.35">
      <c r="A128" s="6" t="s">
        <v>743</v>
      </c>
      <c r="B128" s="7" t="s">
        <v>306</v>
      </c>
      <c r="C128" s="7">
        <v>0</v>
      </c>
      <c r="D128" s="39">
        <v>0</v>
      </c>
      <c r="E128" s="37">
        <v>0</v>
      </c>
    </row>
    <row r="129" spans="1:5" s="11" customFormat="1" ht="15" thickBot="1" x14ac:dyDescent="0.35">
      <c r="A129" s="6" t="s">
        <v>744</v>
      </c>
      <c r="B129" s="7" t="s">
        <v>308</v>
      </c>
      <c r="C129" s="7">
        <v>0</v>
      </c>
      <c r="D129" s="39">
        <v>0</v>
      </c>
      <c r="E129" s="37">
        <v>0</v>
      </c>
    </row>
    <row r="130" spans="1:5" s="11" customFormat="1" ht="15" thickBot="1" x14ac:dyDescent="0.35">
      <c r="A130" s="6" t="s">
        <v>745</v>
      </c>
      <c r="B130" s="7" t="s">
        <v>310</v>
      </c>
      <c r="C130" s="7">
        <v>0</v>
      </c>
      <c r="D130" s="39">
        <v>0</v>
      </c>
      <c r="E130" s="37">
        <v>0</v>
      </c>
    </row>
    <row r="131" spans="1:5" s="11" customFormat="1" ht="15" thickBot="1" x14ac:dyDescent="0.35">
      <c r="A131" s="6" t="s">
        <v>746</v>
      </c>
      <c r="B131" s="7" t="s">
        <v>312</v>
      </c>
      <c r="C131" s="7">
        <v>0</v>
      </c>
      <c r="D131" s="39">
        <v>0</v>
      </c>
      <c r="E131" s="37">
        <v>0</v>
      </c>
    </row>
    <row r="132" spans="1:5" s="11" customFormat="1" ht="15" thickBot="1" x14ac:dyDescent="0.35">
      <c r="A132" s="6" t="s">
        <v>747</v>
      </c>
      <c r="B132" s="7" t="s">
        <v>314</v>
      </c>
      <c r="C132" s="7">
        <v>0</v>
      </c>
      <c r="D132" s="39">
        <v>0</v>
      </c>
      <c r="E132" s="37">
        <v>0</v>
      </c>
    </row>
    <row r="133" spans="1:5" s="11" customFormat="1" ht="15" thickBot="1" x14ac:dyDescent="0.35">
      <c r="A133" s="6" t="s">
        <v>748</v>
      </c>
      <c r="B133" s="7" t="s">
        <v>316</v>
      </c>
      <c r="C133" s="7">
        <v>0</v>
      </c>
      <c r="D133" s="39">
        <v>0</v>
      </c>
      <c r="E133" s="37">
        <v>0</v>
      </c>
    </row>
    <row r="134" spans="1:5" s="11" customFormat="1" ht="15" thickBot="1" x14ac:dyDescent="0.35">
      <c r="A134" s="6" t="s">
        <v>749</v>
      </c>
      <c r="B134" s="7" t="s">
        <v>318</v>
      </c>
      <c r="C134" s="7">
        <v>3120</v>
      </c>
      <c r="D134" s="39">
        <v>24</v>
      </c>
      <c r="E134" s="37">
        <v>3144</v>
      </c>
    </row>
    <row r="135" spans="1:5" s="11" customFormat="1" ht="15" thickBot="1" x14ac:dyDescent="0.35">
      <c r="A135" s="6" t="s">
        <v>750</v>
      </c>
      <c r="B135" s="7" t="s">
        <v>320</v>
      </c>
      <c r="C135" s="7">
        <v>2268</v>
      </c>
      <c r="D135" s="39">
        <v>48</v>
      </c>
      <c r="E135" s="37">
        <v>2316</v>
      </c>
    </row>
    <row r="136" spans="1:5" s="11" customFormat="1" ht="15" thickBot="1" x14ac:dyDescent="0.35">
      <c r="A136" s="6" t="s">
        <v>751</v>
      </c>
      <c r="B136" s="7" t="s">
        <v>322</v>
      </c>
      <c r="C136" s="7">
        <v>1260</v>
      </c>
      <c r="D136" s="39">
        <v>48</v>
      </c>
      <c r="E136" s="37">
        <v>1308</v>
      </c>
    </row>
    <row r="137" spans="1:5" s="11" customFormat="1" ht="15" thickBot="1" x14ac:dyDescent="0.35">
      <c r="A137" s="6" t="s">
        <v>752</v>
      </c>
      <c r="B137" s="7" t="s">
        <v>324</v>
      </c>
      <c r="C137" s="7">
        <v>2460</v>
      </c>
      <c r="D137" s="39">
        <v>48</v>
      </c>
      <c r="E137" s="37">
        <v>2508</v>
      </c>
    </row>
    <row r="138" spans="1:5" s="11" customFormat="1" ht="15" thickBot="1" x14ac:dyDescent="0.35">
      <c r="A138" s="6" t="s">
        <v>753</v>
      </c>
      <c r="B138" s="7" t="s">
        <v>326</v>
      </c>
      <c r="C138" s="7">
        <v>0</v>
      </c>
      <c r="D138" s="39">
        <v>24</v>
      </c>
      <c r="E138" s="37">
        <v>24</v>
      </c>
    </row>
    <row r="139" spans="1:5" s="11" customFormat="1" ht="15" thickBot="1" x14ac:dyDescent="0.35">
      <c r="A139" s="6" t="s">
        <v>754</v>
      </c>
      <c r="B139" s="7" t="s">
        <v>328</v>
      </c>
      <c r="C139" s="7">
        <v>2616</v>
      </c>
      <c r="D139" s="39">
        <v>24</v>
      </c>
      <c r="E139" s="37">
        <v>2640</v>
      </c>
    </row>
    <row r="140" spans="1:5" s="11" customFormat="1" ht="15" thickBot="1" x14ac:dyDescent="0.35">
      <c r="A140" s="6" t="s">
        <v>755</v>
      </c>
      <c r="B140" s="7" t="s">
        <v>330</v>
      </c>
      <c r="C140" s="7">
        <v>2328</v>
      </c>
      <c r="D140" s="39">
        <v>24</v>
      </c>
      <c r="E140" s="37">
        <v>2352</v>
      </c>
    </row>
    <row r="141" spans="1:5" s="11" customFormat="1" ht="15" thickBot="1" x14ac:dyDescent="0.35">
      <c r="A141" s="6" t="s">
        <v>756</v>
      </c>
      <c r="B141" s="7" t="s">
        <v>332</v>
      </c>
      <c r="C141" s="7">
        <v>4296</v>
      </c>
      <c r="D141" s="39">
        <v>24</v>
      </c>
      <c r="E141" s="37">
        <v>4320</v>
      </c>
    </row>
    <row r="142" spans="1:5" s="11" customFormat="1" ht="15" thickBot="1" x14ac:dyDescent="0.35">
      <c r="A142" s="6" t="s">
        <v>757</v>
      </c>
      <c r="B142" s="7" t="s">
        <v>334</v>
      </c>
      <c r="C142" s="7">
        <v>6192</v>
      </c>
      <c r="D142" s="39">
        <v>24</v>
      </c>
      <c r="E142" s="37">
        <v>6216</v>
      </c>
    </row>
    <row r="143" spans="1:5" s="11" customFormat="1" ht="15" thickBot="1" x14ac:dyDescent="0.35">
      <c r="A143" s="6" t="s">
        <v>758</v>
      </c>
      <c r="B143" s="7" t="s">
        <v>336</v>
      </c>
      <c r="C143" s="7">
        <v>0</v>
      </c>
      <c r="D143" s="39">
        <v>6</v>
      </c>
      <c r="E143" s="37">
        <v>6</v>
      </c>
    </row>
    <row r="144" spans="1:5" s="11" customFormat="1" ht="15" thickBot="1" x14ac:dyDescent="0.35">
      <c r="A144" s="6" t="s">
        <v>759</v>
      </c>
      <c r="B144" s="7" t="s">
        <v>338</v>
      </c>
      <c r="C144" s="7">
        <v>1920</v>
      </c>
      <c r="D144" s="39">
        <v>24</v>
      </c>
      <c r="E144" s="37">
        <v>1944</v>
      </c>
    </row>
    <row r="145" spans="1:5" s="11" customFormat="1" ht="15" thickBot="1" x14ac:dyDescent="0.35">
      <c r="A145" s="6" t="s">
        <v>760</v>
      </c>
      <c r="B145" s="7" t="s">
        <v>340</v>
      </c>
      <c r="C145" s="7">
        <v>1128</v>
      </c>
      <c r="D145" s="39">
        <v>24</v>
      </c>
      <c r="E145" s="37">
        <v>1152</v>
      </c>
    </row>
    <row r="146" spans="1:5" s="11" customFormat="1" ht="15" thickBot="1" x14ac:dyDescent="0.35">
      <c r="A146" s="6" t="s">
        <v>761</v>
      </c>
      <c r="B146" s="7" t="s">
        <v>342</v>
      </c>
      <c r="C146" s="7">
        <v>2568</v>
      </c>
      <c r="D146" s="39">
        <v>12</v>
      </c>
      <c r="E146" s="37">
        <v>2580</v>
      </c>
    </row>
    <row r="147" spans="1:5" s="11" customFormat="1" ht="15" thickBot="1" x14ac:dyDescent="0.35">
      <c r="A147" s="6" t="s">
        <v>762</v>
      </c>
      <c r="B147" s="7" t="s">
        <v>344</v>
      </c>
      <c r="C147" s="7">
        <v>0</v>
      </c>
      <c r="D147" s="39">
        <v>24</v>
      </c>
      <c r="E147" s="37">
        <v>24</v>
      </c>
    </row>
    <row r="148" spans="1:5" s="11" customFormat="1" ht="15" thickBot="1" x14ac:dyDescent="0.35">
      <c r="A148" s="6" t="s">
        <v>763</v>
      </c>
      <c r="B148" s="7" t="s">
        <v>346</v>
      </c>
      <c r="C148" s="7">
        <v>1512</v>
      </c>
      <c r="D148" s="39">
        <v>24</v>
      </c>
      <c r="E148" s="37">
        <v>1536</v>
      </c>
    </row>
    <row r="149" spans="1:5" s="11" customFormat="1" ht="15" thickBot="1" x14ac:dyDescent="0.35">
      <c r="A149" s="6" t="s">
        <v>764</v>
      </c>
      <c r="B149" s="7" t="s">
        <v>348</v>
      </c>
      <c r="C149" s="7">
        <v>1176</v>
      </c>
      <c r="D149" s="39">
        <v>24</v>
      </c>
      <c r="E149" s="37">
        <v>1200</v>
      </c>
    </row>
    <row r="150" spans="1:5" s="11" customFormat="1" ht="15" thickBot="1" x14ac:dyDescent="0.35">
      <c r="A150" s="6" t="s">
        <v>765</v>
      </c>
      <c r="B150" s="7" t="s">
        <v>350</v>
      </c>
      <c r="C150" s="7">
        <v>288</v>
      </c>
      <c r="D150" s="39">
        <v>6</v>
      </c>
      <c r="E150" s="37">
        <v>294</v>
      </c>
    </row>
    <row r="151" spans="1:5" s="11" customFormat="1" ht="15" thickBot="1" x14ac:dyDescent="0.35">
      <c r="A151" s="6" t="s">
        <v>766</v>
      </c>
      <c r="B151" s="7" t="s">
        <v>352</v>
      </c>
      <c r="C151" s="7">
        <v>0</v>
      </c>
      <c r="D151" s="39">
        <v>24</v>
      </c>
      <c r="E151" s="37">
        <v>24</v>
      </c>
    </row>
    <row r="152" spans="1:5" s="11" customFormat="1" ht="15" thickBot="1" x14ac:dyDescent="0.35">
      <c r="A152" s="6" t="s">
        <v>767</v>
      </c>
      <c r="B152" s="7" t="s">
        <v>354</v>
      </c>
      <c r="C152" s="7">
        <v>0</v>
      </c>
      <c r="D152" s="39">
        <v>24</v>
      </c>
      <c r="E152" s="37">
        <v>24</v>
      </c>
    </row>
    <row r="153" spans="1:5" s="11" customFormat="1" ht="15" thickBot="1" x14ac:dyDescent="0.35">
      <c r="A153" s="6" t="s">
        <v>768</v>
      </c>
      <c r="B153" s="7" t="s">
        <v>356</v>
      </c>
      <c r="C153" s="7">
        <v>0</v>
      </c>
      <c r="D153" s="39">
        <v>24</v>
      </c>
      <c r="E153" s="37">
        <v>24</v>
      </c>
    </row>
    <row r="154" spans="1:5" s="11" customFormat="1" ht="15" thickBot="1" x14ac:dyDescent="0.35">
      <c r="A154" s="6" t="s">
        <v>769</v>
      </c>
      <c r="B154" s="7" t="s">
        <v>358</v>
      </c>
      <c r="C154" s="7">
        <v>0</v>
      </c>
      <c r="D154" s="39">
        <v>24</v>
      </c>
      <c r="E154" s="37">
        <v>24</v>
      </c>
    </row>
    <row r="155" spans="1:5" s="11" customFormat="1" ht="15" thickBot="1" x14ac:dyDescent="0.35">
      <c r="A155" s="6" t="s">
        <v>770</v>
      </c>
      <c r="B155" s="7" t="s">
        <v>360</v>
      </c>
      <c r="C155" s="7">
        <v>0</v>
      </c>
      <c r="D155" s="39">
        <v>6</v>
      </c>
      <c r="E155" s="37">
        <v>6</v>
      </c>
    </row>
    <row r="156" spans="1:5" s="11" customFormat="1" ht="15" thickBot="1" x14ac:dyDescent="0.35">
      <c r="A156" s="6" t="s">
        <v>771</v>
      </c>
      <c r="B156" s="7" t="s">
        <v>362</v>
      </c>
      <c r="C156" s="7">
        <v>0</v>
      </c>
      <c r="D156" s="39">
        <v>24</v>
      </c>
      <c r="E156" s="37">
        <v>24</v>
      </c>
    </row>
    <row r="157" spans="1:5" s="11" customFormat="1" ht="15" thickBot="1" x14ac:dyDescent="0.35">
      <c r="A157" s="6" t="s">
        <v>772</v>
      </c>
      <c r="B157" s="7" t="s">
        <v>364</v>
      </c>
      <c r="C157" s="7">
        <v>1192</v>
      </c>
      <c r="D157" s="39">
        <v>48</v>
      </c>
      <c r="E157" s="37">
        <v>1240</v>
      </c>
    </row>
    <row r="158" spans="1:5" s="11" customFormat="1" ht="15" thickBot="1" x14ac:dyDescent="0.35">
      <c r="A158" s="6" t="s">
        <v>773</v>
      </c>
      <c r="B158" s="7" t="s">
        <v>366</v>
      </c>
      <c r="C158" s="7">
        <v>8</v>
      </c>
      <c r="D158" s="39">
        <v>0</v>
      </c>
      <c r="E158" s="37">
        <v>8</v>
      </c>
    </row>
    <row r="159" spans="1:5" s="11" customFormat="1" ht="15" thickBot="1" x14ac:dyDescent="0.35">
      <c r="A159" s="6" t="s">
        <v>774</v>
      </c>
      <c r="B159" s="7" t="s">
        <v>368</v>
      </c>
      <c r="C159" s="7">
        <v>0</v>
      </c>
      <c r="D159" s="39">
        <v>0</v>
      </c>
      <c r="E159" s="37">
        <v>0</v>
      </c>
    </row>
    <row r="160" spans="1:5" s="11" customFormat="1" ht="15" thickBot="1" x14ac:dyDescent="0.35">
      <c r="A160" s="6" t="s">
        <v>775</v>
      </c>
      <c r="B160" s="7" t="s">
        <v>370</v>
      </c>
      <c r="C160" s="7">
        <v>6</v>
      </c>
      <c r="D160" s="39">
        <v>0</v>
      </c>
      <c r="E160" s="37">
        <v>6</v>
      </c>
    </row>
    <row r="161" spans="1:5" s="11" customFormat="1" ht="15" thickBot="1" x14ac:dyDescent="0.35">
      <c r="A161" s="6" t="s">
        <v>776</v>
      </c>
      <c r="B161" s="7" t="s">
        <v>372</v>
      </c>
      <c r="C161" s="7">
        <v>0</v>
      </c>
      <c r="D161" s="39">
        <v>0</v>
      </c>
      <c r="E161" s="37">
        <v>0</v>
      </c>
    </row>
    <row r="162" spans="1:5" s="11" customFormat="1" ht="15" thickBot="1" x14ac:dyDescent="0.35">
      <c r="A162" s="6" t="s">
        <v>777</v>
      </c>
      <c r="B162" s="7" t="s">
        <v>374</v>
      </c>
      <c r="C162" s="7">
        <v>0</v>
      </c>
      <c r="D162" s="39">
        <v>0</v>
      </c>
      <c r="E162" s="37">
        <v>0</v>
      </c>
    </row>
    <row r="163" spans="1:5" s="11" customFormat="1" ht="15" thickBot="1" x14ac:dyDescent="0.35">
      <c r="A163" s="6" t="s">
        <v>778</v>
      </c>
      <c r="B163" s="7" t="s">
        <v>376</v>
      </c>
      <c r="C163" s="7">
        <v>176</v>
      </c>
      <c r="D163" s="39">
        <v>0</v>
      </c>
      <c r="E163" s="37">
        <v>176</v>
      </c>
    </row>
    <row r="164" spans="1:5" s="11" customFormat="1" ht="15" thickBot="1" x14ac:dyDescent="0.35">
      <c r="A164" s="6" t="s">
        <v>779</v>
      </c>
      <c r="B164" s="7" t="s">
        <v>378</v>
      </c>
      <c r="C164" s="7">
        <v>0</v>
      </c>
      <c r="D164" s="39">
        <v>0</v>
      </c>
      <c r="E164" s="37">
        <v>0</v>
      </c>
    </row>
    <row r="165" spans="1:5" s="11" customFormat="1" ht="15" thickBot="1" x14ac:dyDescent="0.35">
      <c r="A165" s="6" t="s">
        <v>780</v>
      </c>
      <c r="B165" s="7" t="s">
        <v>380</v>
      </c>
      <c r="C165" s="7">
        <v>0</v>
      </c>
      <c r="D165" s="39">
        <v>0</v>
      </c>
      <c r="E165" s="37">
        <v>0</v>
      </c>
    </row>
    <row r="166" spans="1:5" s="11" customFormat="1" ht="15" thickBot="1" x14ac:dyDescent="0.35">
      <c r="A166" s="6" t="s">
        <v>781</v>
      </c>
      <c r="B166" s="7" t="s">
        <v>382</v>
      </c>
      <c r="C166" s="7">
        <v>0</v>
      </c>
      <c r="D166" s="39">
        <v>0</v>
      </c>
      <c r="E166" s="37">
        <v>0</v>
      </c>
    </row>
    <row r="167" spans="1:5" s="11" customFormat="1" ht="15" thickBot="1" x14ac:dyDescent="0.35">
      <c r="A167" s="6" t="s">
        <v>782</v>
      </c>
      <c r="B167" s="7" t="s">
        <v>384</v>
      </c>
      <c r="C167" s="7">
        <v>0</v>
      </c>
      <c r="D167" s="39">
        <v>0</v>
      </c>
      <c r="E167" s="37">
        <v>0</v>
      </c>
    </row>
    <row r="168" spans="1:5" s="11" customFormat="1" ht="15" thickBot="1" x14ac:dyDescent="0.35">
      <c r="A168" s="6" t="s">
        <v>783</v>
      </c>
      <c r="B168" s="7" t="s">
        <v>386</v>
      </c>
      <c r="C168" s="7">
        <v>0</v>
      </c>
      <c r="D168" s="39">
        <v>0</v>
      </c>
      <c r="E168" s="37">
        <v>0</v>
      </c>
    </row>
    <row r="169" spans="1:5" s="11" customFormat="1" ht="15" thickBot="1" x14ac:dyDescent="0.35">
      <c r="A169" s="6" t="s">
        <v>784</v>
      </c>
      <c r="B169" s="7" t="s">
        <v>388</v>
      </c>
      <c r="C169" s="7">
        <v>0</v>
      </c>
      <c r="D169" s="39">
        <v>0</v>
      </c>
      <c r="E169" s="37">
        <v>0</v>
      </c>
    </row>
    <row r="170" spans="1:5" s="11" customFormat="1" ht="15" thickBot="1" x14ac:dyDescent="0.35">
      <c r="A170" s="6" t="s">
        <v>785</v>
      </c>
      <c r="B170" s="7" t="s">
        <v>390</v>
      </c>
      <c r="C170" s="7">
        <v>0</v>
      </c>
      <c r="D170" s="39">
        <v>0</v>
      </c>
      <c r="E170" s="37">
        <v>0</v>
      </c>
    </row>
    <row r="171" spans="1:5" s="11" customFormat="1" ht="15" thickBot="1" x14ac:dyDescent="0.35">
      <c r="A171" s="6" t="s">
        <v>786</v>
      </c>
      <c r="B171" s="7" t="s">
        <v>392</v>
      </c>
      <c r="C171" s="7">
        <v>0</v>
      </c>
      <c r="D171" s="39">
        <v>0</v>
      </c>
      <c r="E171" s="37">
        <v>0</v>
      </c>
    </row>
    <row r="172" spans="1:5" s="11" customFormat="1" ht="15" thickBot="1" x14ac:dyDescent="0.35">
      <c r="A172" s="6" t="s">
        <v>787</v>
      </c>
      <c r="B172" s="7" t="s">
        <v>394</v>
      </c>
      <c r="C172" s="7">
        <v>0</v>
      </c>
      <c r="D172" s="39">
        <v>0</v>
      </c>
      <c r="E172" s="37">
        <v>0</v>
      </c>
    </row>
    <row r="173" spans="1:5" s="11" customFormat="1" ht="15" thickBot="1" x14ac:dyDescent="0.35">
      <c r="A173" s="6" t="s">
        <v>788</v>
      </c>
      <c r="B173" s="7" t="s">
        <v>396</v>
      </c>
      <c r="C173" s="7">
        <v>0</v>
      </c>
      <c r="D173" s="39">
        <v>0</v>
      </c>
      <c r="E173" s="37">
        <v>0</v>
      </c>
    </row>
    <row r="174" spans="1:5" s="11" customFormat="1" ht="15" thickBot="1" x14ac:dyDescent="0.35">
      <c r="A174" s="6" t="s">
        <v>789</v>
      </c>
      <c r="B174" s="7" t="s">
        <v>398</v>
      </c>
      <c r="C174" s="7">
        <v>0</v>
      </c>
      <c r="D174" s="39">
        <v>0</v>
      </c>
      <c r="E174" s="37">
        <v>0</v>
      </c>
    </row>
    <row r="175" spans="1:5" s="11" customFormat="1" ht="15" thickBot="1" x14ac:dyDescent="0.35">
      <c r="A175" s="6" t="s">
        <v>790</v>
      </c>
      <c r="B175" s="7" t="s">
        <v>400</v>
      </c>
      <c r="C175" s="7">
        <v>0</v>
      </c>
      <c r="D175" s="39">
        <v>0</v>
      </c>
      <c r="E175" s="37">
        <v>0</v>
      </c>
    </row>
    <row r="176" spans="1:5" s="11" customFormat="1" ht="15" thickBot="1" x14ac:dyDescent="0.35">
      <c r="A176" s="6" t="s">
        <v>791</v>
      </c>
      <c r="B176" s="7" t="s">
        <v>402</v>
      </c>
      <c r="C176" s="7">
        <v>0</v>
      </c>
      <c r="D176" s="39">
        <v>0</v>
      </c>
      <c r="E176" s="37">
        <v>0</v>
      </c>
    </row>
    <row r="177" spans="1:5" s="11" customFormat="1" ht="15" thickBot="1" x14ac:dyDescent="0.35">
      <c r="A177" s="6" t="s">
        <v>792</v>
      </c>
      <c r="B177" s="7" t="s">
        <v>404</v>
      </c>
      <c r="C177" s="7">
        <v>0</v>
      </c>
      <c r="D177" s="39">
        <v>0</v>
      </c>
      <c r="E177" s="37">
        <v>0</v>
      </c>
    </row>
    <row r="178" spans="1:5" s="11" customFormat="1" ht="15" thickBot="1" x14ac:dyDescent="0.35">
      <c r="A178" s="6" t="s">
        <v>793</v>
      </c>
      <c r="B178" s="7" t="s">
        <v>406</v>
      </c>
      <c r="C178" s="7">
        <v>0</v>
      </c>
      <c r="D178" s="39">
        <v>0</v>
      </c>
      <c r="E178" s="37">
        <v>0</v>
      </c>
    </row>
    <row r="179" spans="1:5" s="11" customFormat="1" ht="15" thickBot="1" x14ac:dyDescent="0.35">
      <c r="A179" s="6" t="s">
        <v>794</v>
      </c>
      <c r="B179" s="7" t="s">
        <v>408</v>
      </c>
      <c r="C179" s="7">
        <v>0</v>
      </c>
      <c r="D179" s="39">
        <v>0</v>
      </c>
      <c r="E179" s="37">
        <v>0</v>
      </c>
    </row>
    <row r="180" spans="1:5" s="11" customFormat="1" ht="15" thickBot="1" x14ac:dyDescent="0.35">
      <c r="A180" s="6" t="s">
        <v>795</v>
      </c>
      <c r="B180" s="7" t="s">
        <v>410</v>
      </c>
      <c r="C180" s="7">
        <v>0</v>
      </c>
      <c r="D180" s="39">
        <v>0</v>
      </c>
      <c r="E180" s="37">
        <v>0</v>
      </c>
    </row>
    <row r="181" spans="1:5" s="11" customFormat="1" ht="15" thickBot="1" x14ac:dyDescent="0.35">
      <c r="A181" s="6" t="s">
        <v>796</v>
      </c>
      <c r="B181" s="7" t="s">
        <v>412</v>
      </c>
      <c r="C181" s="7">
        <v>0</v>
      </c>
      <c r="D181" s="39">
        <v>0</v>
      </c>
      <c r="E181" s="37">
        <v>0</v>
      </c>
    </row>
    <row r="182" spans="1:5" s="11" customFormat="1" ht="15" thickBot="1" x14ac:dyDescent="0.35">
      <c r="A182" s="6" t="s">
        <v>797</v>
      </c>
      <c r="B182" s="7" t="s">
        <v>414</v>
      </c>
      <c r="C182" s="7">
        <v>0</v>
      </c>
      <c r="D182" s="39">
        <v>0</v>
      </c>
      <c r="E182" s="37">
        <v>0</v>
      </c>
    </row>
    <row r="183" spans="1:5" s="11" customFormat="1" ht="15" thickBot="1" x14ac:dyDescent="0.35">
      <c r="A183" s="6" t="s">
        <v>798</v>
      </c>
      <c r="B183" s="7" t="s">
        <v>416</v>
      </c>
      <c r="C183" s="7">
        <v>0</v>
      </c>
      <c r="D183" s="39">
        <v>0</v>
      </c>
      <c r="E183" s="37">
        <v>0</v>
      </c>
    </row>
    <row r="184" spans="1:5" s="11" customFormat="1" ht="15" thickBot="1" x14ac:dyDescent="0.35">
      <c r="A184" s="6" t="s">
        <v>799</v>
      </c>
      <c r="B184" s="7" t="s">
        <v>418</v>
      </c>
      <c r="C184" s="7">
        <v>0</v>
      </c>
      <c r="D184" s="39">
        <v>0</v>
      </c>
      <c r="E184" s="37">
        <v>0</v>
      </c>
    </row>
    <row r="185" spans="1:5" s="11" customFormat="1" ht="15" thickBot="1" x14ac:dyDescent="0.35">
      <c r="A185" s="6" t="s">
        <v>800</v>
      </c>
      <c r="B185" s="7" t="s">
        <v>420</v>
      </c>
      <c r="C185" s="7">
        <v>0</v>
      </c>
      <c r="D185" s="39">
        <v>0</v>
      </c>
      <c r="E185" s="37">
        <v>0</v>
      </c>
    </row>
    <row r="186" spans="1:5" s="11" customFormat="1" ht="15" thickBot="1" x14ac:dyDescent="0.35">
      <c r="A186" s="6" t="s">
        <v>801</v>
      </c>
      <c r="B186" s="7" t="s">
        <v>422</v>
      </c>
      <c r="C186" s="7">
        <v>0</v>
      </c>
      <c r="D186" s="39">
        <v>0</v>
      </c>
      <c r="E186" s="37">
        <v>0</v>
      </c>
    </row>
    <row r="187" spans="1:5" s="11" customFormat="1" ht="15" thickBot="1" x14ac:dyDescent="0.35">
      <c r="A187" s="6" t="s">
        <v>802</v>
      </c>
      <c r="B187" s="7" t="s">
        <v>424</v>
      </c>
      <c r="C187" s="7">
        <v>0</v>
      </c>
      <c r="D187" s="39">
        <v>0</v>
      </c>
      <c r="E187" s="37">
        <v>0</v>
      </c>
    </row>
    <row r="188" spans="1:5" s="11" customFormat="1" ht="15" thickBot="1" x14ac:dyDescent="0.35">
      <c r="A188" s="6" t="s">
        <v>803</v>
      </c>
      <c r="B188" s="7" t="s">
        <v>426</v>
      </c>
      <c r="C188" s="7">
        <v>0</v>
      </c>
      <c r="D188" s="39">
        <v>0</v>
      </c>
      <c r="E188" s="37">
        <v>0</v>
      </c>
    </row>
    <row r="189" spans="1:5" s="11" customFormat="1" ht="15" thickBot="1" x14ac:dyDescent="0.35">
      <c r="A189" s="6" t="s">
        <v>804</v>
      </c>
      <c r="B189" s="7" t="s">
        <v>428</v>
      </c>
      <c r="C189" s="7">
        <v>0</v>
      </c>
      <c r="D189" s="39">
        <v>0</v>
      </c>
      <c r="E189" s="37">
        <v>0</v>
      </c>
    </row>
    <row r="190" spans="1:5" s="11" customFormat="1" ht="15" thickBot="1" x14ac:dyDescent="0.35">
      <c r="A190" s="6" t="s">
        <v>805</v>
      </c>
      <c r="B190" s="7" t="s">
        <v>430</v>
      </c>
      <c r="C190" s="7">
        <v>0</v>
      </c>
      <c r="D190" s="39">
        <v>0</v>
      </c>
      <c r="E190" s="37">
        <v>0</v>
      </c>
    </row>
    <row r="191" spans="1:5" s="11" customFormat="1" ht="15" thickBot="1" x14ac:dyDescent="0.35">
      <c r="A191" s="6" t="s">
        <v>806</v>
      </c>
      <c r="B191" s="7" t="s">
        <v>432</v>
      </c>
      <c r="C191" s="7">
        <v>0</v>
      </c>
      <c r="D191" s="39">
        <v>0</v>
      </c>
      <c r="E191" s="37">
        <v>0</v>
      </c>
    </row>
    <row r="192" spans="1:5" s="11" customFormat="1" ht="15" thickBot="1" x14ac:dyDescent="0.35">
      <c r="A192" s="6" t="s">
        <v>807</v>
      </c>
      <c r="B192" s="7" t="s">
        <v>434</v>
      </c>
      <c r="C192" s="7">
        <v>0</v>
      </c>
      <c r="D192" s="39">
        <v>0</v>
      </c>
      <c r="E192" s="37">
        <v>0</v>
      </c>
    </row>
    <row r="193" spans="1:5" s="11" customFormat="1" ht="15" thickBot="1" x14ac:dyDescent="0.35">
      <c r="A193" s="6" t="s">
        <v>808</v>
      </c>
      <c r="B193" s="7" t="s">
        <v>436</v>
      </c>
      <c r="C193" s="7">
        <v>0</v>
      </c>
      <c r="D193" s="39">
        <v>0</v>
      </c>
      <c r="E193" s="37">
        <v>0</v>
      </c>
    </row>
    <row r="194" spans="1:5" s="11" customFormat="1" ht="15" thickBot="1" x14ac:dyDescent="0.35">
      <c r="A194" s="6" t="s">
        <v>809</v>
      </c>
      <c r="B194" s="7" t="s">
        <v>438</v>
      </c>
      <c r="C194" s="7">
        <v>0</v>
      </c>
      <c r="D194" s="39">
        <v>0</v>
      </c>
      <c r="E194" s="37">
        <v>0</v>
      </c>
    </row>
    <row r="195" spans="1:5" s="11" customFormat="1" ht="15" thickBot="1" x14ac:dyDescent="0.35">
      <c r="A195" s="6" t="s">
        <v>810</v>
      </c>
      <c r="B195" s="7" t="s">
        <v>440</v>
      </c>
      <c r="C195" s="7">
        <v>0</v>
      </c>
      <c r="D195" s="39">
        <v>0</v>
      </c>
      <c r="E195" s="37">
        <v>0</v>
      </c>
    </row>
    <row r="196" spans="1:5" s="11" customFormat="1" ht="15" thickBot="1" x14ac:dyDescent="0.35">
      <c r="A196" s="6" t="s">
        <v>811</v>
      </c>
      <c r="B196" s="7" t="s">
        <v>442</v>
      </c>
      <c r="C196" s="7">
        <v>0</v>
      </c>
      <c r="D196" s="39">
        <v>0</v>
      </c>
      <c r="E196" s="37">
        <v>0</v>
      </c>
    </row>
    <row r="197" spans="1:5" s="11" customFormat="1" ht="15" thickBot="1" x14ac:dyDescent="0.35">
      <c r="A197" s="6" t="s">
        <v>812</v>
      </c>
      <c r="B197" s="7" t="s">
        <v>444</v>
      </c>
      <c r="C197" s="7">
        <v>0</v>
      </c>
      <c r="D197" s="39">
        <v>0</v>
      </c>
      <c r="E197" s="37">
        <v>0</v>
      </c>
    </row>
    <row r="198" spans="1:5" s="11" customFormat="1" ht="15" thickBot="1" x14ac:dyDescent="0.35">
      <c r="A198" s="6" t="s">
        <v>813</v>
      </c>
      <c r="B198" s="7" t="s">
        <v>446</v>
      </c>
      <c r="C198" s="7">
        <v>0</v>
      </c>
      <c r="D198" s="39">
        <v>0</v>
      </c>
      <c r="E198" s="37">
        <v>0</v>
      </c>
    </row>
    <row r="199" spans="1:5" s="11" customFormat="1" ht="15" thickBot="1" x14ac:dyDescent="0.35">
      <c r="A199" s="6" t="s">
        <v>814</v>
      </c>
      <c r="B199" s="7" t="s">
        <v>448</v>
      </c>
      <c r="C199" s="7">
        <v>0</v>
      </c>
      <c r="D199" s="39">
        <v>0</v>
      </c>
      <c r="E199" s="37">
        <v>0</v>
      </c>
    </row>
    <row r="200" spans="1:5" s="11" customFormat="1" ht="15" thickBot="1" x14ac:dyDescent="0.35">
      <c r="A200" s="6" t="s">
        <v>815</v>
      </c>
      <c r="B200" s="7" t="s">
        <v>450</v>
      </c>
      <c r="C200" s="7">
        <v>0</v>
      </c>
      <c r="D200" s="39">
        <v>0</v>
      </c>
      <c r="E200" s="37">
        <v>0</v>
      </c>
    </row>
    <row r="201" spans="1:5" s="11" customFormat="1" ht="15" thickBot="1" x14ac:dyDescent="0.35">
      <c r="A201" s="6" t="s">
        <v>816</v>
      </c>
      <c r="B201" s="7" t="s">
        <v>452</v>
      </c>
      <c r="C201" s="7">
        <v>0</v>
      </c>
      <c r="D201" s="39">
        <v>0</v>
      </c>
      <c r="E201" s="37">
        <v>0</v>
      </c>
    </row>
    <row r="202" spans="1:5" s="11" customFormat="1" ht="15" thickBot="1" x14ac:dyDescent="0.35">
      <c r="A202" s="6" t="s">
        <v>817</v>
      </c>
      <c r="B202" s="7" t="s">
        <v>454</v>
      </c>
      <c r="C202" s="7">
        <v>0</v>
      </c>
      <c r="D202" s="39">
        <v>0</v>
      </c>
      <c r="E202" s="37">
        <v>0</v>
      </c>
    </row>
    <row r="203" spans="1:5" s="11" customFormat="1" ht="15" thickBot="1" x14ac:dyDescent="0.35">
      <c r="A203" s="6" t="s">
        <v>818</v>
      </c>
      <c r="B203" s="7" t="s">
        <v>456</v>
      </c>
      <c r="C203" s="7">
        <v>0</v>
      </c>
      <c r="D203" s="39">
        <v>0</v>
      </c>
      <c r="E203" s="37">
        <v>0</v>
      </c>
    </row>
    <row r="204" spans="1:5" s="11" customFormat="1" ht="15" thickBot="1" x14ac:dyDescent="0.35">
      <c r="A204" s="6" t="s">
        <v>819</v>
      </c>
      <c r="B204" s="7" t="s">
        <v>458</v>
      </c>
      <c r="C204" s="7">
        <v>0</v>
      </c>
      <c r="D204" s="39">
        <v>0</v>
      </c>
      <c r="E204" s="37">
        <v>0</v>
      </c>
    </row>
    <row r="205" spans="1:5" s="11" customFormat="1" ht="15" thickBot="1" x14ac:dyDescent="0.35">
      <c r="A205" s="6" t="s">
        <v>820</v>
      </c>
      <c r="B205" s="7" t="s">
        <v>460</v>
      </c>
      <c r="C205" s="7">
        <v>0</v>
      </c>
      <c r="D205" s="39">
        <v>0</v>
      </c>
      <c r="E205" s="37">
        <v>0</v>
      </c>
    </row>
    <row r="206" spans="1:5" s="11" customFormat="1" ht="15" thickBot="1" x14ac:dyDescent="0.35">
      <c r="A206" s="6" t="s">
        <v>821</v>
      </c>
      <c r="B206" s="7" t="s">
        <v>462</v>
      </c>
      <c r="C206" s="7">
        <v>0</v>
      </c>
      <c r="D206" s="39">
        <v>0</v>
      </c>
      <c r="E206" s="37">
        <v>0</v>
      </c>
    </row>
    <row r="207" spans="1:5" s="11" customFormat="1" ht="15" thickBot="1" x14ac:dyDescent="0.35">
      <c r="A207" s="6" t="s">
        <v>822</v>
      </c>
      <c r="B207" s="7" t="s">
        <v>464</v>
      </c>
      <c r="C207" s="7">
        <v>0</v>
      </c>
      <c r="D207" s="39">
        <v>0</v>
      </c>
      <c r="E207" s="37">
        <v>0</v>
      </c>
    </row>
    <row r="208" spans="1:5" s="11" customFormat="1" ht="15" thickBot="1" x14ac:dyDescent="0.35">
      <c r="A208" s="6" t="s">
        <v>823</v>
      </c>
      <c r="B208" s="7" t="s">
        <v>466</v>
      </c>
      <c r="C208" s="7">
        <v>0</v>
      </c>
      <c r="D208" s="39">
        <v>0</v>
      </c>
      <c r="E208" s="37">
        <v>0</v>
      </c>
    </row>
    <row r="209" spans="1:5" s="11" customFormat="1" ht="15" thickBot="1" x14ac:dyDescent="0.35">
      <c r="A209" s="6" t="s">
        <v>824</v>
      </c>
      <c r="B209" s="7" t="s">
        <v>468</v>
      </c>
      <c r="C209" s="7">
        <v>0</v>
      </c>
      <c r="D209" s="39">
        <v>0</v>
      </c>
      <c r="E209" s="37">
        <v>0</v>
      </c>
    </row>
    <row r="210" spans="1:5" s="11" customFormat="1" ht="15" thickBot="1" x14ac:dyDescent="0.35">
      <c r="A210" s="6" t="s">
        <v>825</v>
      </c>
      <c r="B210" s="7" t="s">
        <v>470</v>
      </c>
      <c r="C210" s="7">
        <v>0</v>
      </c>
      <c r="D210" s="39">
        <v>0</v>
      </c>
      <c r="E210" s="37">
        <v>0</v>
      </c>
    </row>
    <row r="211" spans="1:5" s="11" customFormat="1" ht="15" thickBot="1" x14ac:dyDescent="0.35">
      <c r="A211" s="6" t="s">
        <v>826</v>
      </c>
      <c r="B211" s="7" t="s">
        <v>472</v>
      </c>
      <c r="C211" s="7">
        <v>0</v>
      </c>
      <c r="D211" s="39">
        <v>0</v>
      </c>
      <c r="E211" s="37">
        <v>0</v>
      </c>
    </row>
    <row r="212" spans="1:5" s="11" customFormat="1" ht="15" thickBot="1" x14ac:dyDescent="0.35">
      <c r="A212" s="6" t="s">
        <v>827</v>
      </c>
      <c r="B212" s="7" t="s">
        <v>474</v>
      </c>
      <c r="C212" s="7">
        <v>0</v>
      </c>
      <c r="D212" s="39">
        <v>0</v>
      </c>
      <c r="E212" s="37">
        <v>0</v>
      </c>
    </row>
    <row r="213" spans="1:5" s="11" customFormat="1" ht="15" thickBot="1" x14ac:dyDescent="0.35">
      <c r="A213" s="6" t="s">
        <v>828</v>
      </c>
      <c r="B213" s="7" t="s">
        <v>476</v>
      </c>
      <c r="C213" s="7">
        <v>0</v>
      </c>
      <c r="D213" s="39">
        <v>0</v>
      </c>
      <c r="E213" s="37">
        <v>0</v>
      </c>
    </row>
    <row r="214" spans="1:5" s="11" customFormat="1" ht="15" thickBot="1" x14ac:dyDescent="0.35">
      <c r="A214" s="6" t="s">
        <v>829</v>
      </c>
      <c r="B214" s="7" t="s">
        <v>478</v>
      </c>
      <c r="C214" s="7">
        <v>0</v>
      </c>
      <c r="D214" s="39">
        <v>0</v>
      </c>
      <c r="E214" s="37">
        <v>0</v>
      </c>
    </row>
    <row r="215" spans="1:5" s="11" customFormat="1" ht="15" thickBot="1" x14ac:dyDescent="0.35">
      <c r="A215" s="6" t="s">
        <v>830</v>
      </c>
      <c r="B215" s="7" t="s">
        <v>480</v>
      </c>
      <c r="C215" s="7">
        <v>0</v>
      </c>
      <c r="D215" s="39">
        <v>0</v>
      </c>
      <c r="E215" s="37">
        <v>0</v>
      </c>
    </row>
    <row r="216" spans="1:5" s="11" customFormat="1" ht="15" thickBot="1" x14ac:dyDescent="0.35">
      <c r="A216" s="6" t="s">
        <v>831</v>
      </c>
      <c r="B216" s="7" t="s">
        <v>482</v>
      </c>
      <c r="C216" s="7">
        <v>0</v>
      </c>
      <c r="D216" s="39">
        <v>0</v>
      </c>
      <c r="E216" s="37">
        <v>0</v>
      </c>
    </row>
    <row r="217" spans="1:5" s="11" customFormat="1" ht="15" thickBot="1" x14ac:dyDescent="0.35">
      <c r="A217" s="6" t="s">
        <v>832</v>
      </c>
      <c r="B217" s="7" t="s">
        <v>484</v>
      </c>
      <c r="C217" s="7">
        <v>0</v>
      </c>
      <c r="D217" s="39">
        <v>0</v>
      </c>
      <c r="E217" s="37">
        <v>0</v>
      </c>
    </row>
    <row r="218" spans="1:5" s="11" customFormat="1" ht="15" thickBot="1" x14ac:dyDescent="0.35">
      <c r="A218" s="6" t="s">
        <v>833</v>
      </c>
      <c r="B218" s="7" t="s">
        <v>486</v>
      </c>
      <c r="C218" s="7">
        <v>0</v>
      </c>
      <c r="D218" s="39">
        <v>0</v>
      </c>
      <c r="E218" s="37">
        <v>0</v>
      </c>
    </row>
    <row r="219" spans="1:5" s="11" customFormat="1" ht="15" thickBot="1" x14ac:dyDescent="0.35">
      <c r="A219" s="6" t="s">
        <v>834</v>
      </c>
      <c r="B219" s="7" t="s">
        <v>488</v>
      </c>
      <c r="C219" s="7">
        <v>0</v>
      </c>
      <c r="D219" s="39">
        <v>0</v>
      </c>
      <c r="E219" s="37">
        <v>0</v>
      </c>
    </row>
    <row r="220" spans="1:5" s="11" customFormat="1" ht="15" thickBot="1" x14ac:dyDescent="0.35">
      <c r="A220" s="6" t="s">
        <v>835</v>
      </c>
      <c r="B220" s="7" t="s">
        <v>490</v>
      </c>
      <c r="C220" s="7">
        <v>0</v>
      </c>
      <c r="D220" s="39">
        <v>0</v>
      </c>
      <c r="E220" s="37">
        <v>0</v>
      </c>
    </row>
    <row r="221" spans="1:5" s="11" customFormat="1" ht="15" thickBot="1" x14ac:dyDescent="0.35">
      <c r="A221" s="6" t="s">
        <v>836</v>
      </c>
      <c r="B221" s="7" t="s">
        <v>492</v>
      </c>
      <c r="C221" s="7">
        <v>0</v>
      </c>
      <c r="D221" s="39">
        <v>0</v>
      </c>
      <c r="E221" s="37">
        <v>0</v>
      </c>
    </row>
    <row r="222" spans="1:5" s="11" customFormat="1" ht="15" thickBot="1" x14ac:dyDescent="0.35">
      <c r="A222" s="6" t="s">
        <v>837</v>
      </c>
      <c r="B222" s="7" t="s">
        <v>494</v>
      </c>
      <c r="C222" s="7">
        <v>0</v>
      </c>
      <c r="D222" s="39">
        <v>0</v>
      </c>
      <c r="E222" s="37">
        <v>0</v>
      </c>
    </row>
    <row r="223" spans="1:5" s="11" customFormat="1" ht="15" thickBot="1" x14ac:dyDescent="0.35">
      <c r="A223" s="6" t="s">
        <v>838</v>
      </c>
      <c r="B223" s="7" t="s">
        <v>496</v>
      </c>
      <c r="C223" s="7">
        <v>0</v>
      </c>
      <c r="D223" s="39">
        <v>0</v>
      </c>
      <c r="E223" s="37">
        <v>0</v>
      </c>
    </row>
    <row r="224" spans="1:5" s="11" customFormat="1" ht="15" thickBot="1" x14ac:dyDescent="0.35">
      <c r="A224" s="6" t="s">
        <v>839</v>
      </c>
      <c r="B224" s="7" t="s">
        <v>498</v>
      </c>
      <c r="C224" s="7">
        <v>0</v>
      </c>
      <c r="D224" s="39">
        <v>0</v>
      </c>
      <c r="E224" s="37">
        <v>0</v>
      </c>
    </row>
    <row r="225" spans="1:5" s="11" customFormat="1" ht="15" thickBot="1" x14ac:dyDescent="0.35">
      <c r="A225" s="6" t="s">
        <v>840</v>
      </c>
      <c r="B225" s="7" t="s">
        <v>500</v>
      </c>
      <c r="C225" s="7">
        <v>0</v>
      </c>
      <c r="D225" s="39">
        <v>0</v>
      </c>
      <c r="E225" s="37">
        <v>0</v>
      </c>
    </row>
    <row r="226" spans="1:5" s="11" customFormat="1" ht="15" thickBot="1" x14ac:dyDescent="0.35">
      <c r="A226" s="6" t="s">
        <v>841</v>
      </c>
      <c r="B226" s="7" t="s">
        <v>502</v>
      </c>
      <c r="C226" s="7">
        <v>0</v>
      </c>
      <c r="D226" s="39">
        <v>0</v>
      </c>
      <c r="E226" s="37">
        <v>0</v>
      </c>
    </row>
    <row r="227" spans="1:5" s="11" customFormat="1" ht="15" thickBot="1" x14ac:dyDescent="0.35">
      <c r="A227" s="6" t="s">
        <v>842</v>
      </c>
      <c r="B227" s="7" t="s">
        <v>504</v>
      </c>
      <c r="C227" s="7">
        <v>0</v>
      </c>
      <c r="D227" s="39">
        <v>0</v>
      </c>
      <c r="E227" s="37">
        <v>0</v>
      </c>
    </row>
    <row r="228" spans="1:5" s="11" customFormat="1" ht="15" thickBot="1" x14ac:dyDescent="0.35">
      <c r="A228" s="6" t="s">
        <v>843</v>
      </c>
      <c r="B228" s="7" t="s">
        <v>506</v>
      </c>
      <c r="C228" s="7">
        <v>0</v>
      </c>
      <c r="D228" s="39">
        <v>0</v>
      </c>
      <c r="E228" s="37">
        <v>0</v>
      </c>
    </row>
    <row r="229" spans="1:5" s="11" customFormat="1" ht="15" thickBot="1" x14ac:dyDescent="0.35">
      <c r="A229" s="6" t="s">
        <v>844</v>
      </c>
      <c r="B229" s="7" t="s">
        <v>508</v>
      </c>
      <c r="C229" s="7">
        <v>0</v>
      </c>
      <c r="D229" s="39">
        <v>0</v>
      </c>
      <c r="E229" s="37">
        <v>0</v>
      </c>
    </row>
    <row r="230" spans="1:5" s="11" customFormat="1" ht="15" thickBot="1" x14ac:dyDescent="0.35">
      <c r="A230" s="6" t="s">
        <v>845</v>
      </c>
      <c r="B230" s="7" t="s">
        <v>510</v>
      </c>
      <c r="C230" s="7">
        <v>0</v>
      </c>
      <c r="D230" s="39">
        <v>0</v>
      </c>
      <c r="E230" s="37">
        <v>0</v>
      </c>
    </row>
    <row r="231" spans="1:5" s="11" customFormat="1" ht="15" thickBot="1" x14ac:dyDescent="0.35">
      <c r="A231" s="6" t="s">
        <v>846</v>
      </c>
      <c r="B231" s="7" t="s">
        <v>512</v>
      </c>
      <c r="C231" s="7">
        <v>0</v>
      </c>
      <c r="D231" s="39">
        <v>0</v>
      </c>
      <c r="E231" s="37">
        <v>0</v>
      </c>
    </row>
    <row r="232" spans="1:5" s="11" customFormat="1" ht="15" thickBot="1" x14ac:dyDescent="0.35">
      <c r="A232" s="6" t="s">
        <v>847</v>
      </c>
      <c r="B232" s="7" t="s">
        <v>514</v>
      </c>
      <c r="C232" s="7">
        <v>0</v>
      </c>
      <c r="D232" s="39">
        <v>0</v>
      </c>
      <c r="E232" s="37">
        <v>0</v>
      </c>
    </row>
    <row r="233" spans="1:5" s="11" customFormat="1" ht="15" thickBot="1" x14ac:dyDescent="0.35">
      <c r="A233" s="6" t="s">
        <v>848</v>
      </c>
      <c r="B233" s="7" t="s">
        <v>516</v>
      </c>
      <c r="C233" s="7">
        <v>0</v>
      </c>
      <c r="D233" s="39">
        <v>0</v>
      </c>
      <c r="E233" s="37">
        <v>0</v>
      </c>
    </row>
    <row r="234" spans="1:5" s="11" customFormat="1" ht="15" thickBot="1" x14ac:dyDescent="0.35">
      <c r="A234" s="6" t="s">
        <v>849</v>
      </c>
      <c r="B234" s="7" t="s">
        <v>518</v>
      </c>
      <c r="C234" s="7">
        <v>0</v>
      </c>
      <c r="D234" s="39">
        <v>0</v>
      </c>
      <c r="E234" s="37">
        <v>0</v>
      </c>
    </row>
    <row r="235" spans="1:5" s="11" customFormat="1" ht="15" thickBot="1" x14ac:dyDescent="0.35">
      <c r="A235" s="6" t="s">
        <v>850</v>
      </c>
      <c r="B235" s="7" t="s">
        <v>520</v>
      </c>
      <c r="C235" s="7">
        <v>0</v>
      </c>
      <c r="D235" s="39">
        <v>0</v>
      </c>
      <c r="E235" s="37">
        <v>0</v>
      </c>
    </row>
    <row r="236" spans="1:5" s="11" customFormat="1" ht="15" thickBot="1" x14ac:dyDescent="0.35">
      <c r="A236" s="6" t="s">
        <v>851</v>
      </c>
      <c r="B236" s="7" t="s">
        <v>522</v>
      </c>
      <c r="C236" s="7">
        <v>0</v>
      </c>
      <c r="D236" s="39">
        <v>0</v>
      </c>
      <c r="E236" s="37">
        <v>0</v>
      </c>
    </row>
    <row r="237" spans="1:5" s="11" customFormat="1" ht="15" thickBot="1" x14ac:dyDescent="0.35">
      <c r="A237" s="6" t="s">
        <v>852</v>
      </c>
      <c r="B237" s="7" t="s">
        <v>524</v>
      </c>
      <c r="C237" s="7">
        <v>0</v>
      </c>
      <c r="D237" s="39">
        <v>0</v>
      </c>
      <c r="E237" s="37">
        <v>0</v>
      </c>
    </row>
    <row r="238" spans="1:5" s="11" customFormat="1" ht="15" thickBot="1" x14ac:dyDescent="0.35">
      <c r="A238" s="6" t="s">
        <v>853</v>
      </c>
      <c r="B238" s="7" t="s">
        <v>526</v>
      </c>
      <c r="C238" s="7">
        <v>0</v>
      </c>
      <c r="D238" s="39">
        <v>0</v>
      </c>
      <c r="E238" s="37">
        <v>0</v>
      </c>
    </row>
    <row r="239" spans="1:5" s="11" customFormat="1" ht="15" thickBot="1" x14ac:dyDescent="0.35">
      <c r="A239" s="6" t="s">
        <v>854</v>
      </c>
      <c r="B239" s="7" t="s">
        <v>528</v>
      </c>
      <c r="C239" s="7">
        <v>0</v>
      </c>
      <c r="D239" s="39">
        <v>0</v>
      </c>
      <c r="E239" s="37">
        <v>0</v>
      </c>
    </row>
    <row r="240" spans="1:5" s="11" customFormat="1" ht="15" thickBot="1" x14ac:dyDescent="0.35">
      <c r="A240" s="6" t="s">
        <v>855</v>
      </c>
      <c r="B240" s="7" t="s">
        <v>530</v>
      </c>
      <c r="C240" s="7">
        <v>0</v>
      </c>
      <c r="D240" s="39">
        <v>0</v>
      </c>
      <c r="E240" s="37">
        <v>0</v>
      </c>
    </row>
    <row r="241" spans="1:5" s="11" customFormat="1" ht="15" thickBot="1" x14ac:dyDescent="0.35">
      <c r="A241" s="6" t="s">
        <v>856</v>
      </c>
      <c r="B241" s="7" t="s">
        <v>532</v>
      </c>
      <c r="C241" s="7">
        <v>0</v>
      </c>
      <c r="D241" s="39">
        <v>0</v>
      </c>
      <c r="E241" s="37">
        <v>0</v>
      </c>
    </row>
    <row r="242" spans="1:5" s="11" customFormat="1" ht="15" thickBot="1" x14ac:dyDescent="0.35">
      <c r="A242" s="6" t="s">
        <v>857</v>
      </c>
      <c r="B242" s="7" t="s">
        <v>534</v>
      </c>
      <c r="C242" s="7">
        <v>0</v>
      </c>
      <c r="D242" s="39">
        <v>0</v>
      </c>
      <c r="E242" s="37">
        <v>0</v>
      </c>
    </row>
    <row r="243" spans="1:5" s="11" customFormat="1" ht="15" thickBot="1" x14ac:dyDescent="0.35">
      <c r="A243" s="6" t="s">
        <v>858</v>
      </c>
      <c r="B243" s="7" t="s">
        <v>536</v>
      </c>
      <c r="C243" s="7">
        <v>0</v>
      </c>
      <c r="D243" s="39">
        <v>0</v>
      </c>
      <c r="E243" s="37">
        <v>0</v>
      </c>
    </row>
    <row r="244" spans="1:5" s="11" customFormat="1" ht="15" thickBot="1" x14ac:dyDescent="0.35">
      <c r="A244" s="6" t="s">
        <v>859</v>
      </c>
      <c r="B244" s="7" t="s">
        <v>538</v>
      </c>
      <c r="C244" s="7">
        <v>0</v>
      </c>
      <c r="D244" s="39">
        <v>0</v>
      </c>
      <c r="E244" s="37">
        <v>0</v>
      </c>
    </row>
    <row r="245" spans="1:5" s="11" customFormat="1" ht="15" thickBot="1" x14ac:dyDescent="0.35">
      <c r="A245" s="6" t="s">
        <v>860</v>
      </c>
      <c r="B245" s="7" t="s">
        <v>540</v>
      </c>
      <c r="C245" s="7">
        <v>0</v>
      </c>
      <c r="D245" s="39">
        <v>0</v>
      </c>
      <c r="E245" s="37">
        <v>0</v>
      </c>
    </row>
    <row r="246" spans="1:5" s="11" customFormat="1" ht="15" thickBot="1" x14ac:dyDescent="0.35">
      <c r="A246" s="6" t="s">
        <v>861</v>
      </c>
      <c r="B246" s="7" t="s">
        <v>542</v>
      </c>
      <c r="C246" s="7">
        <v>0</v>
      </c>
      <c r="D246" s="39">
        <v>0</v>
      </c>
      <c r="E246" s="37">
        <v>0</v>
      </c>
    </row>
    <row r="247" spans="1:5" s="11" customFormat="1" ht="15" thickBot="1" x14ac:dyDescent="0.35">
      <c r="A247" s="6" t="s">
        <v>862</v>
      </c>
      <c r="B247" s="7" t="s">
        <v>544</v>
      </c>
      <c r="C247" s="7">
        <v>0</v>
      </c>
      <c r="D247" s="39">
        <v>0</v>
      </c>
      <c r="E247" s="37">
        <v>0</v>
      </c>
    </row>
    <row r="248" spans="1:5" s="11" customFormat="1" ht="15" thickBot="1" x14ac:dyDescent="0.35">
      <c r="A248" s="6" t="s">
        <v>863</v>
      </c>
      <c r="B248" s="7" t="s">
        <v>546</v>
      </c>
      <c r="C248" s="7">
        <v>0</v>
      </c>
      <c r="D248" s="39">
        <v>0</v>
      </c>
      <c r="E248" s="37">
        <v>0</v>
      </c>
    </row>
    <row r="249" spans="1:5" s="11" customFormat="1" ht="15" thickBot="1" x14ac:dyDescent="0.35">
      <c r="A249" s="6" t="s">
        <v>864</v>
      </c>
      <c r="B249" s="7" t="s">
        <v>548</v>
      </c>
      <c r="C249" s="7">
        <v>0</v>
      </c>
      <c r="D249" s="39">
        <v>0</v>
      </c>
      <c r="E249" s="37">
        <v>0</v>
      </c>
    </row>
    <row r="250" spans="1:5" s="11" customFormat="1" ht="15" thickBot="1" x14ac:dyDescent="0.35">
      <c r="A250" s="6" t="s">
        <v>865</v>
      </c>
      <c r="B250" s="7" t="s">
        <v>550</v>
      </c>
      <c r="C250" s="7">
        <v>0</v>
      </c>
      <c r="D250" s="39">
        <v>0</v>
      </c>
      <c r="E250" s="37">
        <v>0</v>
      </c>
    </row>
    <row r="251" spans="1:5" s="11" customFormat="1" ht="15" thickBot="1" x14ac:dyDescent="0.35">
      <c r="A251" s="6" t="s">
        <v>866</v>
      </c>
      <c r="B251" s="7" t="s">
        <v>552</v>
      </c>
      <c r="C251" s="7">
        <v>0</v>
      </c>
      <c r="D251" s="39">
        <v>0</v>
      </c>
      <c r="E251" s="37">
        <v>0</v>
      </c>
    </row>
    <row r="252" spans="1:5" s="11" customFormat="1" ht="15" thickBot="1" x14ac:dyDescent="0.35">
      <c r="A252" s="6" t="s">
        <v>867</v>
      </c>
      <c r="B252" s="7" t="s">
        <v>554</v>
      </c>
      <c r="C252" s="7">
        <v>0</v>
      </c>
      <c r="D252" s="39">
        <v>0</v>
      </c>
      <c r="E252" s="37">
        <v>0</v>
      </c>
    </row>
    <row r="253" spans="1:5" s="11" customFormat="1" ht="15" thickBot="1" x14ac:dyDescent="0.35">
      <c r="A253" s="6" t="s">
        <v>868</v>
      </c>
      <c r="B253" s="7" t="s">
        <v>556</v>
      </c>
      <c r="C253" s="7">
        <v>0</v>
      </c>
      <c r="D253" s="39">
        <v>0</v>
      </c>
      <c r="E253" s="37">
        <v>0</v>
      </c>
    </row>
    <row r="254" spans="1:5" s="11" customFormat="1" ht="15" thickBot="1" x14ac:dyDescent="0.35">
      <c r="A254" s="6" t="s">
        <v>869</v>
      </c>
      <c r="B254" s="7" t="s">
        <v>558</v>
      </c>
      <c r="C254" s="7">
        <v>0</v>
      </c>
      <c r="D254" s="39">
        <v>0</v>
      </c>
      <c r="E254" s="37">
        <v>0</v>
      </c>
    </row>
    <row r="255" spans="1:5" s="11" customFormat="1" ht="15" thickBot="1" x14ac:dyDescent="0.35">
      <c r="A255" s="6" t="s">
        <v>870</v>
      </c>
      <c r="B255" s="7" t="s">
        <v>560</v>
      </c>
      <c r="C255" s="7">
        <v>0</v>
      </c>
      <c r="D255" s="39">
        <v>0</v>
      </c>
      <c r="E255" s="37">
        <v>0</v>
      </c>
    </row>
    <row r="256" spans="1:5" s="11" customFormat="1" ht="15" thickBot="1" x14ac:dyDescent="0.35">
      <c r="A256" s="6" t="s">
        <v>871</v>
      </c>
      <c r="B256" s="7" t="s">
        <v>562</v>
      </c>
      <c r="C256" s="7">
        <v>0</v>
      </c>
      <c r="D256" s="39">
        <v>0</v>
      </c>
      <c r="E256" s="37">
        <v>0</v>
      </c>
    </row>
    <row r="257" spans="1:5" s="11" customFormat="1" ht="15" thickBot="1" x14ac:dyDescent="0.35">
      <c r="A257" s="6" t="s">
        <v>872</v>
      </c>
      <c r="B257" s="7" t="s">
        <v>564</v>
      </c>
      <c r="C257" s="7">
        <v>0</v>
      </c>
      <c r="D257" s="39">
        <v>0</v>
      </c>
      <c r="E257" s="37">
        <v>0</v>
      </c>
    </row>
    <row r="258" spans="1:5" s="11" customFormat="1" ht="15" thickBot="1" x14ac:dyDescent="0.35">
      <c r="A258" s="6" t="s">
        <v>873</v>
      </c>
      <c r="B258" s="7" t="s">
        <v>566</v>
      </c>
      <c r="C258" s="7">
        <v>0</v>
      </c>
      <c r="D258" s="39">
        <v>0</v>
      </c>
      <c r="E258" s="37">
        <v>0</v>
      </c>
    </row>
    <row r="259" spans="1:5" s="11" customFormat="1" ht="15" thickBot="1" x14ac:dyDescent="0.35">
      <c r="A259" s="6" t="s">
        <v>874</v>
      </c>
      <c r="B259" s="7" t="s">
        <v>568</v>
      </c>
      <c r="C259" s="7">
        <v>0</v>
      </c>
      <c r="D259" s="39">
        <v>0</v>
      </c>
      <c r="E259" s="37">
        <v>0</v>
      </c>
    </row>
    <row r="260" spans="1:5" s="11" customFormat="1" ht="15" thickBot="1" x14ac:dyDescent="0.35">
      <c r="A260" s="6" t="s">
        <v>875</v>
      </c>
      <c r="B260" s="7" t="s">
        <v>570</v>
      </c>
      <c r="C260" s="7">
        <v>0</v>
      </c>
      <c r="D260" s="39">
        <v>0</v>
      </c>
      <c r="E260" s="37">
        <v>0</v>
      </c>
    </row>
    <row r="261" spans="1:5" s="11" customFormat="1" ht="15" thickBot="1" x14ac:dyDescent="0.35">
      <c r="A261" s="6" t="s">
        <v>876</v>
      </c>
      <c r="B261" s="7" t="s">
        <v>572</v>
      </c>
      <c r="C261" s="7">
        <v>0</v>
      </c>
      <c r="D261" s="39">
        <v>0</v>
      </c>
      <c r="E261" s="37">
        <v>0</v>
      </c>
    </row>
    <row r="262" spans="1:5" s="11" customFormat="1" ht="15" thickBot="1" x14ac:dyDescent="0.35">
      <c r="A262" s="6" t="s">
        <v>877</v>
      </c>
      <c r="B262" s="7" t="s">
        <v>574</v>
      </c>
      <c r="C262" s="7">
        <v>0</v>
      </c>
      <c r="D262" s="39">
        <v>0</v>
      </c>
      <c r="E262" s="37">
        <v>0</v>
      </c>
    </row>
    <row r="263" spans="1:5" s="11" customFormat="1" ht="15" thickBot="1" x14ac:dyDescent="0.35">
      <c r="A263" s="6" t="s">
        <v>878</v>
      </c>
      <c r="B263" s="7" t="s">
        <v>576</v>
      </c>
      <c r="C263" s="7">
        <v>0</v>
      </c>
      <c r="D263" s="39">
        <v>0</v>
      </c>
      <c r="E263" s="37">
        <v>0</v>
      </c>
    </row>
    <row r="264" spans="1:5" s="11" customFormat="1" ht="15" thickBot="1" x14ac:dyDescent="0.35">
      <c r="A264" s="6" t="s">
        <v>879</v>
      </c>
      <c r="B264" s="7" t="s">
        <v>578</v>
      </c>
      <c r="C264" s="7">
        <v>0</v>
      </c>
      <c r="D264" s="39">
        <v>0</v>
      </c>
      <c r="E264" s="37">
        <v>0</v>
      </c>
    </row>
    <row r="265" spans="1:5" s="11" customFormat="1" ht="15" thickBot="1" x14ac:dyDescent="0.35">
      <c r="A265" s="6" t="s">
        <v>880</v>
      </c>
      <c r="B265" s="7" t="s">
        <v>580</v>
      </c>
      <c r="C265" s="7">
        <v>0</v>
      </c>
      <c r="D265" s="39">
        <v>0</v>
      </c>
      <c r="E265" s="37">
        <v>0</v>
      </c>
    </row>
    <row r="266" spans="1:5" s="11" customFormat="1" ht="15" thickBot="1" x14ac:dyDescent="0.35">
      <c r="A266" s="6" t="s">
        <v>881</v>
      </c>
      <c r="B266" s="7" t="s">
        <v>582</v>
      </c>
      <c r="C266" s="7">
        <v>0</v>
      </c>
      <c r="D266" s="39">
        <v>0</v>
      </c>
      <c r="E266" s="37">
        <v>0</v>
      </c>
    </row>
    <row r="267" spans="1:5" s="11" customFormat="1" ht="15" thickBot="1" x14ac:dyDescent="0.35">
      <c r="A267" s="6" t="s">
        <v>882</v>
      </c>
      <c r="B267" s="7" t="s">
        <v>584</v>
      </c>
      <c r="C267" s="7">
        <v>0</v>
      </c>
      <c r="D267" s="39">
        <v>0</v>
      </c>
      <c r="E267" s="37">
        <v>0</v>
      </c>
    </row>
    <row r="268" spans="1:5" s="11" customFormat="1" ht="15" thickBot="1" x14ac:dyDescent="0.35">
      <c r="A268" s="6" t="s">
        <v>883</v>
      </c>
      <c r="B268" s="7" t="s">
        <v>586</v>
      </c>
      <c r="C268" s="7">
        <v>0</v>
      </c>
      <c r="D268" s="39">
        <v>0</v>
      </c>
      <c r="E268" s="37">
        <v>0</v>
      </c>
    </row>
    <row r="269" spans="1:5" s="11" customFormat="1" ht="15" thickBot="1" x14ac:dyDescent="0.35">
      <c r="A269" s="6" t="s">
        <v>884</v>
      </c>
      <c r="B269" s="7" t="s">
        <v>588</v>
      </c>
      <c r="C269" s="7">
        <v>0</v>
      </c>
      <c r="D269" s="39">
        <v>0</v>
      </c>
      <c r="E269" s="37">
        <v>0</v>
      </c>
    </row>
    <row r="270" spans="1:5" s="11" customFormat="1" ht="15" thickBot="1" x14ac:dyDescent="0.35">
      <c r="A270" s="6" t="s">
        <v>885</v>
      </c>
      <c r="B270" s="7" t="s">
        <v>590</v>
      </c>
      <c r="C270" s="7">
        <v>0</v>
      </c>
      <c r="D270" s="39">
        <v>0</v>
      </c>
      <c r="E270" s="37">
        <v>0</v>
      </c>
    </row>
    <row r="271" spans="1:5" s="11" customFormat="1" ht="15" thickBot="1" x14ac:dyDescent="0.35">
      <c r="A271" s="6" t="s">
        <v>886</v>
      </c>
      <c r="B271" s="7" t="s">
        <v>592</v>
      </c>
      <c r="C271" s="7">
        <v>0</v>
      </c>
      <c r="D271" s="39">
        <v>0</v>
      </c>
      <c r="E271" s="37">
        <v>0</v>
      </c>
    </row>
    <row r="272" spans="1:5" s="11" customFormat="1" ht="15" thickBot="1" x14ac:dyDescent="0.35">
      <c r="A272" s="6" t="s">
        <v>887</v>
      </c>
      <c r="B272" s="7" t="s">
        <v>594</v>
      </c>
      <c r="C272" s="7">
        <v>0</v>
      </c>
      <c r="D272" s="39">
        <v>0</v>
      </c>
      <c r="E272" s="37">
        <v>0</v>
      </c>
    </row>
    <row r="273" spans="1:5" s="11" customFormat="1" ht="15" thickBot="1" x14ac:dyDescent="0.35">
      <c r="A273" s="6" t="s">
        <v>888</v>
      </c>
      <c r="B273" s="7" t="s">
        <v>596</v>
      </c>
      <c r="C273" s="7">
        <v>0</v>
      </c>
      <c r="D273" s="39">
        <v>0</v>
      </c>
      <c r="E273" s="37">
        <v>0</v>
      </c>
    </row>
    <row r="274" spans="1:5" s="11" customFormat="1" ht="15" thickBot="1" x14ac:dyDescent="0.35">
      <c r="A274" s="6" t="s">
        <v>889</v>
      </c>
      <c r="B274" s="7" t="s">
        <v>598</v>
      </c>
      <c r="C274" s="7">
        <v>0</v>
      </c>
      <c r="D274" s="39">
        <v>0</v>
      </c>
      <c r="E274" s="37">
        <v>0</v>
      </c>
    </row>
    <row r="275" spans="1:5" s="11" customFormat="1" ht="15" thickBot="1" x14ac:dyDescent="0.35">
      <c r="A275" s="6" t="s">
        <v>890</v>
      </c>
      <c r="B275" s="7" t="s">
        <v>600</v>
      </c>
      <c r="C275" s="7">
        <v>0</v>
      </c>
      <c r="D275" s="39">
        <v>0</v>
      </c>
      <c r="E275" s="37">
        <v>0</v>
      </c>
    </row>
    <row r="276" spans="1:5" s="11" customFormat="1" ht="15" thickBot="1" x14ac:dyDescent="0.35">
      <c r="A276" s="6" t="s">
        <v>891</v>
      </c>
      <c r="B276" s="7" t="s">
        <v>602</v>
      </c>
      <c r="C276" s="7">
        <v>0</v>
      </c>
      <c r="D276" s="39">
        <v>0</v>
      </c>
      <c r="E276" s="37">
        <v>0</v>
      </c>
    </row>
    <row r="277" spans="1:5" s="11" customFormat="1" ht="15" thickBot="1" x14ac:dyDescent="0.35">
      <c r="A277" s="6" t="s">
        <v>892</v>
      </c>
      <c r="B277" s="7" t="s">
        <v>604</v>
      </c>
      <c r="C277" s="7">
        <v>0</v>
      </c>
      <c r="D277" s="39">
        <v>0</v>
      </c>
      <c r="E277" s="37">
        <v>0</v>
      </c>
    </row>
    <row r="278" spans="1:5" s="11" customFormat="1" ht="15" thickBot="1" x14ac:dyDescent="0.35">
      <c r="A278" s="6" t="s">
        <v>893</v>
      </c>
      <c r="B278" s="7" t="s">
        <v>606</v>
      </c>
      <c r="C278" s="7">
        <v>0</v>
      </c>
      <c r="D278" s="39">
        <v>0</v>
      </c>
      <c r="E278" s="37">
        <v>0</v>
      </c>
    </row>
    <row r="279" spans="1:5" s="11" customFormat="1" ht="15" thickBot="1" x14ac:dyDescent="0.35">
      <c r="A279" s="6" t="s">
        <v>894</v>
      </c>
      <c r="B279" s="7" t="s">
        <v>608</v>
      </c>
      <c r="C279" s="7">
        <v>0</v>
      </c>
      <c r="D279" s="39">
        <v>0</v>
      </c>
      <c r="E279" s="37">
        <v>0</v>
      </c>
    </row>
    <row r="280" spans="1:5" s="11" customFormat="1" ht="15" thickBot="1" x14ac:dyDescent="0.35">
      <c r="A280" s="6" t="s">
        <v>895</v>
      </c>
      <c r="B280" s="7" t="s">
        <v>610</v>
      </c>
      <c r="C280" s="7">
        <v>0</v>
      </c>
      <c r="D280" s="39">
        <v>0</v>
      </c>
      <c r="E280" s="37">
        <v>0</v>
      </c>
    </row>
    <row r="281" spans="1:5" s="11" customFormat="1" ht="15" thickBot="1" x14ac:dyDescent="0.35">
      <c r="A281" s="6" t="s">
        <v>896</v>
      </c>
      <c r="B281" s="7" t="s">
        <v>612</v>
      </c>
      <c r="C281" s="7">
        <v>0</v>
      </c>
      <c r="D281" s="39">
        <v>0</v>
      </c>
      <c r="E281" s="37">
        <v>0</v>
      </c>
    </row>
    <row r="282" spans="1:5" s="11" customFormat="1" ht="15" thickBot="1" x14ac:dyDescent="0.35">
      <c r="A282" s="6" t="s">
        <v>897</v>
      </c>
      <c r="B282" s="7" t="s">
        <v>614</v>
      </c>
      <c r="C282" s="7">
        <v>0</v>
      </c>
      <c r="D282" s="39">
        <v>0</v>
      </c>
      <c r="E282" s="37">
        <v>0</v>
      </c>
    </row>
    <row r="283" spans="1:5" s="11" customFormat="1" ht="15" thickBot="1" x14ac:dyDescent="0.35">
      <c r="A283" s="6" t="s">
        <v>898</v>
      </c>
      <c r="B283" s="7" t="s">
        <v>899</v>
      </c>
      <c r="C283" s="7">
        <v>0</v>
      </c>
      <c r="D283" s="39">
        <v>0</v>
      </c>
      <c r="E283" s="37">
        <v>0</v>
      </c>
    </row>
    <row r="284" spans="1:5" s="11" customFormat="1" ht="15" thickBot="1" x14ac:dyDescent="0.35">
      <c r="A284" s="6" t="s">
        <v>900</v>
      </c>
      <c r="B284" s="7" t="s">
        <v>901</v>
      </c>
      <c r="C284" s="7">
        <v>0</v>
      </c>
      <c r="D284" s="39">
        <v>0</v>
      </c>
      <c r="E284" s="37">
        <v>0</v>
      </c>
    </row>
    <row r="285" spans="1:5" s="11" customFormat="1" x14ac:dyDescent="0.3">
      <c r="A285" s="6" t="s">
        <v>902</v>
      </c>
      <c r="B285" s="7" t="s">
        <v>903</v>
      </c>
      <c r="C285" s="7">
        <v>0</v>
      </c>
      <c r="D285" s="39">
        <v>0</v>
      </c>
      <c r="E285" s="3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FA490-2CC8-4235-B745-FC12E230B5BB}">
  <sheetPr codeName="Hoja5"/>
  <dimension ref="A1:D1423"/>
  <sheetViews>
    <sheetView workbookViewId="0">
      <selection activeCell="A284" sqref="A284:XFD286"/>
    </sheetView>
  </sheetViews>
  <sheetFormatPr baseColWidth="10" defaultRowHeight="14.4" x14ac:dyDescent="0.3"/>
  <cols>
    <col min="1" max="1" width="11" bestFit="1" customWidth="1"/>
    <col min="2" max="2" width="66.88671875" bestFit="1" customWidth="1"/>
  </cols>
  <sheetData>
    <row r="1" spans="1:4" x14ac:dyDescent="0.3">
      <c r="A1" t="s">
        <v>180</v>
      </c>
      <c r="B1" t="s">
        <v>181</v>
      </c>
      <c r="C1" t="s">
        <v>182</v>
      </c>
      <c r="D1" t="s">
        <v>615</v>
      </c>
    </row>
    <row r="2" spans="1:4" x14ac:dyDescent="0.3">
      <c r="A2" t="s">
        <v>100</v>
      </c>
      <c r="B2" t="s">
        <v>101</v>
      </c>
      <c r="C2">
        <v>2705</v>
      </c>
      <c r="D2" t="s">
        <v>183</v>
      </c>
    </row>
    <row r="3" spans="1:4" x14ac:dyDescent="0.3">
      <c r="A3" t="s">
        <v>98</v>
      </c>
      <c r="B3" t="s">
        <v>99</v>
      </c>
      <c r="C3">
        <v>0</v>
      </c>
      <c r="D3" t="s">
        <v>183</v>
      </c>
    </row>
    <row r="4" spans="1:4" x14ac:dyDescent="0.3">
      <c r="A4" t="s">
        <v>184</v>
      </c>
      <c r="B4" t="s">
        <v>185</v>
      </c>
      <c r="C4">
        <v>0</v>
      </c>
      <c r="D4" t="s">
        <v>183</v>
      </c>
    </row>
    <row r="5" spans="1:4" x14ac:dyDescent="0.3">
      <c r="A5" t="s">
        <v>82</v>
      </c>
      <c r="B5" t="s">
        <v>83</v>
      </c>
      <c r="C5">
        <v>325</v>
      </c>
      <c r="D5" t="s">
        <v>186</v>
      </c>
    </row>
    <row r="6" spans="1:4" x14ac:dyDescent="0.3">
      <c r="A6" t="s">
        <v>187</v>
      </c>
      <c r="B6" t="s">
        <v>81</v>
      </c>
      <c r="C6">
        <v>0</v>
      </c>
      <c r="D6" t="s">
        <v>183</v>
      </c>
    </row>
    <row r="7" spans="1:4" x14ac:dyDescent="0.3">
      <c r="A7" t="s">
        <v>80</v>
      </c>
      <c r="B7" t="s">
        <v>81</v>
      </c>
      <c r="C7">
        <v>8835</v>
      </c>
      <c r="D7" t="s">
        <v>183</v>
      </c>
    </row>
    <row r="8" spans="1:4" x14ac:dyDescent="0.3">
      <c r="A8" t="s">
        <v>156</v>
      </c>
      <c r="B8" t="s">
        <v>157</v>
      </c>
      <c r="C8">
        <v>928</v>
      </c>
      <c r="D8" t="s">
        <v>188</v>
      </c>
    </row>
    <row r="9" spans="1:4" x14ac:dyDescent="0.3">
      <c r="A9" t="s">
        <v>138</v>
      </c>
      <c r="B9" t="s">
        <v>139</v>
      </c>
      <c r="C9">
        <v>588</v>
      </c>
      <c r="D9" t="s">
        <v>186</v>
      </c>
    </row>
    <row r="10" spans="1:4" x14ac:dyDescent="0.3">
      <c r="A10" t="s">
        <v>134</v>
      </c>
      <c r="B10" t="s">
        <v>135</v>
      </c>
      <c r="C10">
        <v>821</v>
      </c>
      <c r="D10" t="s">
        <v>188</v>
      </c>
    </row>
    <row r="11" spans="1:4" x14ac:dyDescent="0.3">
      <c r="A11" t="s">
        <v>130</v>
      </c>
      <c r="B11" t="s">
        <v>131</v>
      </c>
      <c r="C11">
        <v>377</v>
      </c>
      <c r="D11" t="s">
        <v>186</v>
      </c>
    </row>
    <row r="12" spans="1:4" x14ac:dyDescent="0.3">
      <c r="A12" t="s">
        <v>132</v>
      </c>
      <c r="B12" t="s">
        <v>133</v>
      </c>
      <c r="C12">
        <v>10805</v>
      </c>
      <c r="D12" t="s">
        <v>188</v>
      </c>
    </row>
    <row r="13" spans="1:4" x14ac:dyDescent="0.3">
      <c r="A13" t="s">
        <v>142</v>
      </c>
      <c r="B13" t="s">
        <v>143</v>
      </c>
      <c r="C13">
        <v>0</v>
      </c>
      <c r="D13" t="s">
        <v>188</v>
      </c>
    </row>
    <row r="14" spans="1:4" x14ac:dyDescent="0.3">
      <c r="A14" t="s">
        <v>54</v>
      </c>
      <c r="B14" t="s">
        <v>55</v>
      </c>
      <c r="C14">
        <v>0</v>
      </c>
      <c r="D14" t="s">
        <v>183</v>
      </c>
    </row>
    <row r="15" spans="1:4" x14ac:dyDescent="0.3">
      <c r="A15" t="s">
        <v>52</v>
      </c>
      <c r="B15" t="s">
        <v>53</v>
      </c>
      <c r="C15">
        <v>24103</v>
      </c>
      <c r="D15" t="s">
        <v>183</v>
      </c>
    </row>
    <row r="16" spans="1:4" x14ac:dyDescent="0.3">
      <c r="A16" t="s">
        <v>154</v>
      </c>
      <c r="B16" t="s">
        <v>155</v>
      </c>
      <c r="C16">
        <v>0</v>
      </c>
      <c r="D16" t="s">
        <v>186</v>
      </c>
    </row>
    <row r="17" spans="1:4" x14ac:dyDescent="0.3">
      <c r="A17" t="s">
        <v>152</v>
      </c>
      <c r="B17" t="s">
        <v>153</v>
      </c>
      <c r="C17">
        <v>575</v>
      </c>
      <c r="D17" t="s">
        <v>188</v>
      </c>
    </row>
    <row r="18" spans="1:4" x14ac:dyDescent="0.3">
      <c r="A18" t="s">
        <v>150</v>
      </c>
      <c r="B18" t="s">
        <v>151</v>
      </c>
      <c r="C18">
        <v>44</v>
      </c>
      <c r="D18" t="s">
        <v>183</v>
      </c>
    </row>
    <row r="19" spans="1:4" x14ac:dyDescent="0.3">
      <c r="A19" t="s">
        <v>146</v>
      </c>
      <c r="B19" t="s">
        <v>147</v>
      </c>
      <c r="C19">
        <v>89</v>
      </c>
      <c r="D19" t="s">
        <v>183</v>
      </c>
    </row>
    <row r="20" spans="1:4" x14ac:dyDescent="0.3">
      <c r="A20" t="s">
        <v>40</v>
      </c>
      <c r="B20" t="s">
        <v>41</v>
      </c>
      <c r="C20">
        <v>199</v>
      </c>
      <c r="D20" t="s">
        <v>188</v>
      </c>
    </row>
    <row r="21" spans="1:4" x14ac:dyDescent="0.3">
      <c r="A21" t="s">
        <v>42</v>
      </c>
      <c r="B21" t="s">
        <v>43</v>
      </c>
      <c r="C21">
        <v>408</v>
      </c>
      <c r="D21" t="s">
        <v>188</v>
      </c>
    </row>
    <row r="22" spans="1:4" x14ac:dyDescent="0.3">
      <c r="A22" t="s">
        <v>46</v>
      </c>
      <c r="B22" t="s">
        <v>47</v>
      </c>
      <c r="C22">
        <v>365</v>
      </c>
      <c r="D22" t="s">
        <v>188</v>
      </c>
    </row>
    <row r="23" spans="1:4" x14ac:dyDescent="0.3">
      <c r="A23" t="s">
        <v>44</v>
      </c>
      <c r="B23" t="s">
        <v>45</v>
      </c>
      <c r="C23">
        <v>14</v>
      </c>
      <c r="D23" t="s">
        <v>186</v>
      </c>
    </row>
    <row r="24" spans="1:4" x14ac:dyDescent="0.3">
      <c r="A24" t="s">
        <v>48</v>
      </c>
      <c r="B24" t="s">
        <v>49</v>
      </c>
      <c r="C24">
        <v>48</v>
      </c>
      <c r="D24" t="s">
        <v>186</v>
      </c>
    </row>
    <row r="25" spans="1:4" x14ac:dyDescent="0.3">
      <c r="A25" t="s">
        <v>50</v>
      </c>
      <c r="B25" t="s">
        <v>51</v>
      </c>
      <c r="C25">
        <v>40</v>
      </c>
      <c r="D25" t="s">
        <v>188</v>
      </c>
    </row>
    <row r="26" spans="1:4" x14ac:dyDescent="0.3">
      <c r="A26" t="s">
        <v>189</v>
      </c>
      <c r="B26" t="s">
        <v>190</v>
      </c>
      <c r="C26">
        <v>0</v>
      </c>
      <c r="D26" t="s">
        <v>191</v>
      </c>
    </row>
    <row r="27" spans="1:4" x14ac:dyDescent="0.3">
      <c r="A27" t="s">
        <v>64</v>
      </c>
      <c r="B27" t="s">
        <v>65</v>
      </c>
      <c r="C27">
        <v>0</v>
      </c>
      <c r="D27" t="s">
        <v>186</v>
      </c>
    </row>
    <row r="28" spans="1:4" x14ac:dyDescent="0.3">
      <c r="A28" t="s">
        <v>116</v>
      </c>
      <c r="B28" t="s">
        <v>117</v>
      </c>
      <c r="C28">
        <v>48</v>
      </c>
      <c r="D28" t="s">
        <v>186</v>
      </c>
    </row>
    <row r="29" spans="1:4" x14ac:dyDescent="0.3">
      <c r="A29" t="s">
        <v>124</v>
      </c>
      <c r="B29" t="s">
        <v>125</v>
      </c>
      <c r="C29">
        <v>1563</v>
      </c>
      <c r="D29" t="s">
        <v>188</v>
      </c>
    </row>
    <row r="30" spans="1:4" x14ac:dyDescent="0.3">
      <c r="A30" t="s">
        <v>128</v>
      </c>
      <c r="B30" t="s">
        <v>129</v>
      </c>
      <c r="C30">
        <v>963</v>
      </c>
      <c r="D30" t="s">
        <v>188</v>
      </c>
    </row>
    <row r="31" spans="1:4" x14ac:dyDescent="0.3">
      <c r="A31" t="s">
        <v>78</v>
      </c>
      <c r="B31" t="s">
        <v>79</v>
      </c>
      <c r="C31">
        <v>90</v>
      </c>
      <c r="D31" t="s">
        <v>186</v>
      </c>
    </row>
    <row r="32" spans="1:4" x14ac:dyDescent="0.3">
      <c r="A32" t="s">
        <v>68</v>
      </c>
      <c r="B32" t="s">
        <v>69</v>
      </c>
      <c r="C32">
        <v>1047</v>
      </c>
      <c r="D32" t="s">
        <v>188</v>
      </c>
    </row>
    <row r="33" spans="1:4" x14ac:dyDescent="0.3">
      <c r="A33" t="s">
        <v>114</v>
      </c>
      <c r="B33" t="s">
        <v>115</v>
      </c>
      <c r="C33">
        <v>5</v>
      </c>
      <c r="D33" t="s">
        <v>188</v>
      </c>
    </row>
    <row r="34" spans="1:4" x14ac:dyDescent="0.3">
      <c r="A34" t="s">
        <v>112</v>
      </c>
      <c r="B34" t="s">
        <v>113</v>
      </c>
      <c r="C34">
        <v>0</v>
      </c>
      <c r="D34" t="s">
        <v>186</v>
      </c>
    </row>
    <row r="35" spans="1:4" x14ac:dyDescent="0.3">
      <c r="A35" t="s">
        <v>110</v>
      </c>
      <c r="B35" t="s">
        <v>111</v>
      </c>
      <c r="C35">
        <v>152</v>
      </c>
      <c r="D35" t="s">
        <v>188</v>
      </c>
    </row>
    <row r="36" spans="1:4" x14ac:dyDescent="0.3">
      <c r="A36" t="s">
        <v>108</v>
      </c>
      <c r="B36" t="s">
        <v>109</v>
      </c>
      <c r="C36">
        <v>14</v>
      </c>
      <c r="D36" t="s">
        <v>186</v>
      </c>
    </row>
    <row r="37" spans="1:4" x14ac:dyDescent="0.3">
      <c r="A37" t="s">
        <v>126</v>
      </c>
      <c r="B37" t="s">
        <v>127</v>
      </c>
      <c r="C37">
        <v>94</v>
      </c>
      <c r="D37" t="s">
        <v>186</v>
      </c>
    </row>
    <row r="38" spans="1:4" x14ac:dyDescent="0.3">
      <c r="A38" t="s">
        <v>164</v>
      </c>
      <c r="B38" t="s">
        <v>165</v>
      </c>
      <c r="C38">
        <v>588</v>
      </c>
      <c r="D38" t="s">
        <v>188</v>
      </c>
    </row>
    <row r="39" spans="1:4" x14ac:dyDescent="0.3">
      <c r="A39" t="s">
        <v>160</v>
      </c>
      <c r="B39" t="s">
        <v>161</v>
      </c>
      <c r="C39">
        <v>0</v>
      </c>
      <c r="D39" t="s">
        <v>186</v>
      </c>
    </row>
    <row r="40" spans="1:4" x14ac:dyDescent="0.3">
      <c r="A40" t="s">
        <v>162</v>
      </c>
      <c r="B40" t="s">
        <v>163</v>
      </c>
      <c r="C40">
        <v>5</v>
      </c>
      <c r="D40" t="s">
        <v>186</v>
      </c>
    </row>
    <row r="41" spans="1:4" x14ac:dyDescent="0.3">
      <c r="A41" t="s">
        <v>66</v>
      </c>
      <c r="B41" t="s">
        <v>67</v>
      </c>
      <c r="C41">
        <v>417</v>
      </c>
      <c r="D41" t="s">
        <v>188</v>
      </c>
    </row>
    <row r="42" spans="1:4" x14ac:dyDescent="0.3">
      <c r="A42" t="s">
        <v>72</v>
      </c>
      <c r="B42" t="s">
        <v>73</v>
      </c>
      <c r="C42">
        <v>6208</v>
      </c>
      <c r="D42" t="s">
        <v>183</v>
      </c>
    </row>
    <row r="43" spans="1:4" x14ac:dyDescent="0.3">
      <c r="A43" t="s">
        <v>148</v>
      </c>
      <c r="B43" t="s">
        <v>149</v>
      </c>
      <c r="C43">
        <v>44</v>
      </c>
      <c r="D43" t="s">
        <v>186</v>
      </c>
    </row>
    <row r="44" spans="1:4" x14ac:dyDescent="0.3">
      <c r="A44" t="s">
        <v>144</v>
      </c>
      <c r="B44" t="s">
        <v>145</v>
      </c>
      <c r="C44">
        <v>40</v>
      </c>
      <c r="D44" t="s">
        <v>186</v>
      </c>
    </row>
    <row r="45" spans="1:4" x14ac:dyDescent="0.3">
      <c r="A45" t="s">
        <v>120</v>
      </c>
      <c r="B45" t="s">
        <v>121</v>
      </c>
      <c r="C45">
        <v>60</v>
      </c>
      <c r="D45" t="s">
        <v>186</v>
      </c>
    </row>
    <row r="46" spans="1:4" x14ac:dyDescent="0.3">
      <c r="A46" t="s">
        <v>118</v>
      </c>
      <c r="B46" t="s">
        <v>119</v>
      </c>
      <c r="C46">
        <v>84</v>
      </c>
      <c r="D46" t="s">
        <v>186</v>
      </c>
    </row>
    <row r="47" spans="1:4" x14ac:dyDescent="0.3">
      <c r="A47" t="s">
        <v>174</v>
      </c>
      <c r="B47" t="s">
        <v>175</v>
      </c>
      <c r="C47">
        <v>102</v>
      </c>
      <c r="D47" t="s">
        <v>186</v>
      </c>
    </row>
    <row r="48" spans="1:4" x14ac:dyDescent="0.3">
      <c r="A48" t="s">
        <v>168</v>
      </c>
      <c r="B48" t="s">
        <v>169</v>
      </c>
      <c r="C48">
        <v>397</v>
      </c>
      <c r="D48" t="s">
        <v>188</v>
      </c>
    </row>
    <row r="49" spans="1:4" x14ac:dyDescent="0.3">
      <c r="A49" t="s">
        <v>136</v>
      </c>
      <c r="B49" t="s">
        <v>137</v>
      </c>
      <c r="C49">
        <v>1147</v>
      </c>
      <c r="D49" t="s">
        <v>183</v>
      </c>
    </row>
    <row r="50" spans="1:4" x14ac:dyDescent="0.3">
      <c r="A50" t="s">
        <v>140</v>
      </c>
      <c r="B50" t="s">
        <v>141</v>
      </c>
      <c r="C50">
        <v>1567</v>
      </c>
      <c r="D50" t="s">
        <v>183</v>
      </c>
    </row>
    <row r="51" spans="1:4" x14ac:dyDescent="0.3">
      <c r="A51" t="s">
        <v>86</v>
      </c>
      <c r="B51" t="s">
        <v>87</v>
      </c>
      <c r="C51">
        <v>23</v>
      </c>
      <c r="D51" t="s">
        <v>183</v>
      </c>
    </row>
    <row r="52" spans="1:4" x14ac:dyDescent="0.3">
      <c r="A52" t="s">
        <v>88</v>
      </c>
      <c r="B52" t="s">
        <v>89</v>
      </c>
      <c r="C52">
        <v>55432</v>
      </c>
      <c r="D52" t="s">
        <v>183</v>
      </c>
    </row>
    <row r="53" spans="1:4" x14ac:dyDescent="0.3">
      <c r="A53" t="s">
        <v>94</v>
      </c>
      <c r="B53" t="s">
        <v>95</v>
      </c>
      <c r="C53">
        <v>0</v>
      </c>
      <c r="D53" t="s">
        <v>183</v>
      </c>
    </row>
    <row r="54" spans="1:4" x14ac:dyDescent="0.3">
      <c r="A54" t="s">
        <v>70</v>
      </c>
      <c r="B54" t="s">
        <v>71</v>
      </c>
      <c r="C54">
        <v>290</v>
      </c>
      <c r="D54" t="s">
        <v>186</v>
      </c>
    </row>
    <row r="55" spans="1:4" x14ac:dyDescent="0.3">
      <c r="A55" t="s">
        <v>62</v>
      </c>
      <c r="B55" t="s">
        <v>63</v>
      </c>
      <c r="C55">
        <v>48</v>
      </c>
      <c r="D55" t="s">
        <v>186</v>
      </c>
    </row>
    <row r="56" spans="1:4" x14ac:dyDescent="0.3">
      <c r="A56" t="s">
        <v>102</v>
      </c>
      <c r="B56" t="s">
        <v>103</v>
      </c>
      <c r="C56">
        <v>2933</v>
      </c>
      <c r="D56" t="s">
        <v>183</v>
      </c>
    </row>
    <row r="57" spans="1:4" x14ac:dyDescent="0.3">
      <c r="A57" t="s">
        <v>122</v>
      </c>
      <c r="B57" t="s">
        <v>123</v>
      </c>
      <c r="C57">
        <v>6956</v>
      </c>
      <c r="D57" t="s">
        <v>183</v>
      </c>
    </row>
    <row r="58" spans="1:4" x14ac:dyDescent="0.3">
      <c r="A58" t="s">
        <v>158</v>
      </c>
      <c r="B58" t="s">
        <v>159</v>
      </c>
      <c r="C58">
        <v>545</v>
      </c>
      <c r="D58" t="s">
        <v>183</v>
      </c>
    </row>
    <row r="59" spans="1:4" x14ac:dyDescent="0.3">
      <c r="A59" t="s">
        <v>166</v>
      </c>
      <c r="B59" t="s">
        <v>167</v>
      </c>
      <c r="C59">
        <v>8</v>
      </c>
      <c r="D59" t="s">
        <v>183</v>
      </c>
    </row>
    <row r="60" spans="1:4" x14ac:dyDescent="0.3">
      <c r="A60" t="s">
        <v>104</v>
      </c>
      <c r="B60" t="s">
        <v>105</v>
      </c>
      <c r="C60">
        <v>0</v>
      </c>
      <c r="D60" t="s">
        <v>183</v>
      </c>
    </row>
    <row r="61" spans="1:4" x14ac:dyDescent="0.3">
      <c r="A61" t="s">
        <v>74</v>
      </c>
      <c r="B61" t="s">
        <v>75</v>
      </c>
      <c r="C61">
        <v>550</v>
      </c>
      <c r="D61" t="s">
        <v>188</v>
      </c>
    </row>
    <row r="62" spans="1:4" x14ac:dyDescent="0.3">
      <c r="A62" t="s">
        <v>76</v>
      </c>
      <c r="B62" t="s">
        <v>77</v>
      </c>
      <c r="C62">
        <v>552</v>
      </c>
      <c r="D62" t="s">
        <v>188</v>
      </c>
    </row>
    <row r="63" spans="1:4" x14ac:dyDescent="0.3">
      <c r="A63" t="s">
        <v>192</v>
      </c>
      <c r="B63" t="s">
        <v>193</v>
      </c>
      <c r="C63">
        <v>0</v>
      </c>
      <c r="D63" t="s">
        <v>183</v>
      </c>
    </row>
    <row r="64" spans="1:4" x14ac:dyDescent="0.3">
      <c r="A64" t="s">
        <v>92</v>
      </c>
      <c r="B64" t="s">
        <v>93</v>
      </c>
      <c r="C64">
        <v>-18</v>
      </c>
      <c r="D64" t="s">
        <v>183</v>
      </c>
    </row>
    <row r="65" spans="1:4" x14ac:dyDescent="0.3">
      <c r="A65" t="s">
        <v>56</v>
      </c>
      <c r="B65" t="s">
        <v>57</v>
      </c>
      <c r="C65">
        <v>52</v>
      </c>
      <c r="D65" t="s">
        <v>186</v>
      </c>
    </row>
    <row r="66" spans="1:4" x14ac:dyDescent="0.3">
      <c r="A66" t="s">
        <v>58</v>
      </c>
      <c r="B66" t="s">
        <v>59</v>
      </c>
      <c r="C66">
        <v>60</v>
      </c>
      <c r="D66" t="s">
        <v>186</v>
      </c>
    </row>
    <row r="67" spans="1:4" x14ac:dyDescent="0.3">
      <c r="A67" t="s">
        <v>84</v>
      </c>
      <c r="B67" t="s">
        <v>85</v>
      </c>
      <c r="C67">
        <v>25</v>
      </c>
      <c r="D67" t="s">
        <v>186</v>
      </c>
    </row>
    <row r="68" spans="1:4" x14ac:dyDescent="0.3">
      <c r="A68" t="s">
        <v>194</v>
      </c>
      <c r="B68" t="s">
        <v>195</v>
      </c>
      <c r="C68">
        <v>960</v>
      </c>
      <c r="D68" t="s">
        <v>188</v>
      </c>
    </row>
    <row r="69" spans="1:4" x14ac:dyDescent="0.3">
      <c r="A69" t="s">
        <v>60</v>
      </c>
      <c r="B69" t="s">
        <v>61</v>
      </c>
      <c r="C69">
        <v>156</v>
      </c>
      <c r="D69" t="s">
        <v>186</v>
      </c>
    </row>
    <row r="70" spans="1:4" x14ac:dyDescent="0.3">
      <c r="A70" t="s">
        <v>106</v>
      </c>
      <c r="B70" t="s">
        <v>107</v>
      </c>
      <c r="C70">
        <v>324</v>
      </c>
      <c r="D70" t="s">
        <v>183</v>
      </c>
    </row>
    <row r="71" spans="1:4" x14ac:dyDescent="0.3">
      <c r="A71" t="s">
        <v>90</v>
      </c>
      <c r="B71" t="s">
        <v>91</v>
      </c>
      <c r="C71">
        <v>0</v>
      </c>
      <c r="D71" t="s">
        <v>183</v>
      </c>
    </row>
    <row r="72" spans="1:4" x14ac:dyDescent="0.3">
      <c r="A72" t="s">
        <v>96</v>
      </c>
      <c r="B72" t="s">
        <v>97</v>
      </c>
      <c r="C72">
        <v>36037</v>
      </c>
      <c r="D72" t="s">
        <v>183</v>
      </c>
    </row>
    <row r="73" spans="1:4" x14ac:dyDescent="0.3">
      <c r="A73" t="s">
        <v>170</v>
      </c>
      <c r="B73" t="s">
        <v>171</v>
      </c>
      <c r="C73">
        <v>42</v>
      </c>
      <c r="D73" t="s">
        <v>186</v>
      </c>
    </row>
    <row r="74" spans="1:4" x14ac:dyDescent="0.3">
      <c r="A74" t="s">
        <v>172</v>
      </c>
      <c r="B74" t="s">
        <v>173</v>
      </c>
      <c r="C74">
        <v>0</v>
      </c>
      <c r="D74" t="s">
        <v>186</v>
      </c>
    </row>
    <row r="75" spans="1:4" x14ac:dyDescent="0.3">
      <c r="A75" t="s">
        <v>196</v>
      </c>
      <c r="B75" t="s">
        <v>197</v>
      </c>
      <c r="C75">
        <v>0</v>
      </c>
      <c r="D75" t="s">
        <v>198</v>
      </c>
    </row>
    <row r="76" spans="1:4" x14ac:dyDescent="0.3">
      <c r="A76" t="s">
        <v>199</v>
      </c>
      <c r="B76" t="s">
        <v>200</v>
      </c>
      <c r="C76">
        <v>0</v>
      </c>
      <c r="D76" t="s">
        <v>198</v>
      </c>
    </row>
    <row r="77" spans="1:4" x14ac:dyDescent="0.3">
      <c r="A77" t="s">
        <v>201</v>
      </c>
      <c r="B77" t="s">
        <v>202</v>
      </c>
      <c r="C77">
        <v>120</v>
      </c>
      <c r="D77" t="s">
        <v>198</v>
      </c>
    </row>
    <row r="78" spans="1:4" x14ac:dyDescent="0.3">
      <c r="A78" t="s">
        <v>203</v>
      </c>
      <c r="B78" t="s">
        <v>204</v>
      </c>
      <c r="C78">
        <v>0</v>
      </c>
      <c r="D78" t="s">
        <v>198</v>
      </c>
    </row>
    <row r="79" spans="1:4" x14ac:dyDescent="0.3">
      <c r="A79" t="s">
        <v>205</v>
      </c>
      <c r="B79" t="s">
        <v>206</v>
      </c>
      <c r="C79">
        <v>0</v>
      </c>
      <c r="D79" t="s">
        <v>198</v>
      </c>
    </row>
    <row r="80" spans="1:4" x14ac:dyDescent="0.3">
      <c r="A80" t="s">
        <v>207</v>
      </c>
      <c r="B80" t="s">
        <v>208</v>
      </c>
      <c r="C80">
        <v>48</v>
      </c>
      <c r="D80" t="s">
        <v>198</v>
      </c>
    </row>
    <row r="81" spans="1:4" x14ac:dyDescent="0.3">
      <c r="A81" t="s">
        <v>209</v>
      </c>
      <c r="B81" t="s">
        <v>210</v>
      </c>
      <c r="C81">
        <v>0</v>
      </c>
      <c r="D81" t="s">
        <v>198</v>
      </c>
    </row>
    <row r="82" spans="1:4" x14ac:dyDescent="0.3">
      <c r="A82" t="s">
        <v>211</v>
      </c>
      <c r="B82" t="s">
        <v>212</v>
      </c>
      <c r="C82">
        <v>0</v>
      </c>
      <c r="D82" t="s">
        <v>198</v>
      </c>
    </row>
    <row r="83" spans="1:4" x14ac:dyDescent="0.3">
      <c r="A83" t="s">
        <v>213</v>
      </c>
      <c r="B83" t="s">
        <v>214</v>
      </c>
      <c r="C83">
        <v>1704</v>
      </c>
      <c r="D83" t="s">
        <v>198</v>
      </c>
    </row>
    <row r="84" spans="1:4" x14ac:dyDescent="0.3">
      <c r="A84" t="s">
        <v>215</v>
      </c>
      <c r="B84" t="s">
        <v>216</v>
      </c>
      <c r="C84">
        <v>480</v>
      </c>
      <c r="D84" t="s">
        <v>198</v>
      </c>
    </row>
    <row r="85" spans="1:4" x14ac:dyDescent="0.3">
      <c r="A85" t="s">
        <v>217</v>
      </c>
      <c r="B85" t="s">
        <v>218</v>
      </c>
      <c r="C85">
        <v>576</v>
      </c>
      <c r="D85" t="s">
        <v>198</v>
      </c>
    </row>
    <row r="86" spans="1:4" x14ac:dyDescent="0.3">
      <c r="A86" t="s">
        <v>219</v>
      </c>
      <c r="B86" t="s">
        <v>220</v>
      </c>
      <c r="C86">
        <v>624</v>
      </c>
      <c r="D86" t="s">
        <v>198</v>
      </c>
    </row>
    <row r="87" spans="1:4" x14ac:dyDescent="0.3">
      <c r="A87" t="s">
        <v>221</v>
      </c>
      <c r="B87" t="s">
        <v>222</v>
      </c>
      <c r="C87">
        <v>0</v>
      </c>
      <c r="D87" t="s">
        <v>198</v>
      </c>
    </row>
    <row r="88" spans="1:4" x14ac:dyDescent="0.3">
      <c r="A88" t="s">
        <v>223</v>
      </c>
      <c r="B88" t="s">
        <v>224</v>
      </c>
      <c r="C88">
        <v>600</v>
      </c>
      <c r="D88" t="s">
        <v>198</v>
      </c>
    </row>
    <row r="89" spans="1:4" x14ac:dyDescent="0.3">
      <c r="A89" t="s">
        <v>225</v>
      </c>
      <c r="B89" t="s">
        <v>226</v>
      </c>
      <c r="C89">
        <v>0</v>
      </c>
      <c r="D89" t="s">
        <v>198</v>
      </c>
    </row>
    <row r="90" spans="1:4" x14ac:dyDescent="0.3">
      <c r="A90" t="s">
        <v>227</v>
      </c>
      <c r="B90" t="s">
        <v>228</v>
      </c>
      <c r="C90">
        <v>0</v>
      </c>
      <c r="D90" t="s">
        <v>198</v>
      </c>
    </row>
    <row r="91" spans="1:4" x14ac:dyDescent="0.3">
      <c r="A91" t="s">
        <v>229</v>
      </c>
      <c r="B91" t="s">
        <v>230</v>
      </c>
      <c r="C91">
        <v>0</v>
      </c>
      <c r="D91" t="s">
        <v>198</v>
      </c>
    </row>
    <row r="92" spans="1:4" x14ac:dyDescent="0.3">
      <c r="A92" t="s">
        <v>231</v>
      </c>
      <c r="B92" t="s">
        <v>232</v>
      </c>
      <c r="C92">
        <v>0</v>
      </c>
      <c r="D92" t="s">
        <v>198</v>
      </c>
    </row>
    <row r="93" spans="1:4" x14ac:dyDescent="0.3">
      <c r="A93" t="s">
        <v>233</v>
      </c>
      <c r="B93" t="s">
        <v>234</v>
      </c>
      <c r="C93">
        <v>0</v>
      </c>
      <c r="D93" t="s">
        <v>198</v>
      </c>
    </row>
    <row r="94" spans="1:4" x14ac:dyDescent="0.3">
      <c r="A94" t="s">
        <v>235</v>
      </c>
      <c r="B94" t="s">
        <v>236</v>
      </c>
      <c r="C94">
        <v>1872</v>
      </c>
      <c r="D94" t="s">
        <v>198</v>
      </c>
    </row>
    <row r="95" spans="1:4" x14ac:dyDescent="0.3">
      <c r="A95" t="s">
        <v>237</v>
      </c>
      <c r="B95" t="s">
        <v>238</v>
      </c>
      <c r="C95">
        <v>0</v>
      </c>
      <c r="D95" t="s">
        <v>183</v>
      </c>
    </row>
    <row r="96" spans="1:4" x14ac:dyDescent="0.3">
      <c r="A96" t="s">
        <v>239</v>
      </c>
      <c r="B96" t="s">
        <v>240</v>
      </c>
      <c r="C96">
        <v>1050</v>
      </c>
      <c r="D96" t="s">
        <v>198</v>
      </c>
    </row>
    <row r="97" spans="1:4" x14ac:dyDescent="0.3">
      <c r="A97" t="s">
        <v>241</v>
      </c>
      <c r="B97" t="s">
        <v>242</v>
      </c>
      <c r="C97">
        <v>250</v>
      </c>
      <c r="D97" t="s">
        <v>198</v>
      </c>
    </row>
    <row r="98" spans="1:4" x14ac:dyDescent="0.3">
      <c r="A98" t="s">
        <v>243</v>
      </c>
      <c r="B98" t="s">
        <v>244</v>
      </c>
      <c r="C98">
        <v>3150</v>
      </c>
      <c r="D98" t="s">
        <v>198</v>
      </c>
    </row>
    <row r="99" spans="1:4" x14ac:dyDescent="0.3">
      <c r="A99" t="s">
        <v>245</v>
      </c>
      <c r="B99" t="s">
        <v>246</v>
      </c>
      <c r="C99">
        <v>0</v>
      </c>
      <c r="D99" t="s">
        <v>198</v>
      </c>
    </row>
    <row r="100" spans="1:4" x14ac:dyDescent="0.3">
      <c r="A100" t="s">
        <v>247</v>
      </c>
      <c r="B100" t="s">
        <v>248</v>
      </c>
      <c r="C100">
        <v>850</v>
      </c>
      <c r="D100" t="s">
        <v>198</v>
      </c>
    </row>
    <row r="101" spans="1:4" x14ac:dyDescent="0.3">
      <c r="A101" t="s">
        <v>249</v>
      </c>
      <c r="B101" t="s">
        <v>250</v>
      </c>
      <c r="C101">
        <v>1300</v>
      </c>
      <c r="D101" t="s">
        <v>198</v>
      </c>
    </row>
    <row r="102" spans="1:4" x14ac:dyDescent="0.3">
      <c r="A102" t="s">
        <v>251</v>
      </c>
      <c r="B102" t="s">
        <v>252</v>
      </c>
      <c r="C102">
        <v>1850</v>
      </c>
      <c r="D102" t="s">
        <v>198</v>
      </c>
    </row>
    <row r="103" spans="1:4" x14ac:dyDescent="0.3">
      <c r="A103" t="s">
        <v>253</v>
      </c>
      <c r="B103" t="s">
        <v>254</v>
      </c>
      <c r="C103">
        <v>0</v>
      </c>
      <c r="D103" t="s">
        <v>198</v>
      </c>
    </row>
    <row r="104" spans="1:4" x14ac:dyDescent="0.3">
      <c r="A104" t="s">
        <v>255</v>
      </c>
      <c r="B104" t="s">
        <v>256</v>
      </c>
      <c r="C104">
        <v>450</v>
      </c>
      <c r="D104" t="s">
        <v>198</v>
      </c>
    </row>
    <row r="105" spans="1:4" x14ac:dyDescent="0.3">
      <c r="A105" t="s">
        <v>257</v>
      </c>
      <c r="B105" t="s">
        <v>258</v>
      </c>
      <c r="C105">
        <v>850</v>
      </c>
      <c r="D105" t="s">
        <v>198</v>
      </c>
    </row>
    <row r="106" spans="1:4" x14ac:dyDescent="0.3">
      <c r="A106" t="s">
        <v>259</v>
      </c>
      <c r="B106" t="s">
        <v>260</v>
      </c>
      <c r="C106">
        <v>950</v>
      </c>
      <c r="D106" t="s">
        <v>198</v>
      </c>
    </row>
    <row r="107" spans="1:4" x14ac:dyDescent="0.3">
      <c r="A107" t="s">
        <v>261</v>
      </c>
      <c r="B107" t="s">
        <v>262</v>
      </c>
      <c r="C107">
        <v>600</v>
      </c>
      <c r="D107" t="s">
        <v>198</v>
      </c>
    </row>
    <row r="108" spans="1:4" x14ac:dyDescent="0.3">
      <c r="A108" t="s">
        <v>263</v>
      </c>
      <c r="B108" t="s">
        <v>264</v>
      </c>
      <c r="C108">
        <v>500</v>
      </c>
      <c r="D108" t="s">
        <v>198</v>
      </c>
    </row>
    <row r="109" spans="1:4" x14ac:dyDescent="0.3">
      <c r="A109" t="s">
        <v>265</v>
      </c>
      <c r="B109" t="s">
        <v>266</v>
      </c>
      <c r="C109">
        <v>0</v>
      </c>
      <c r="D109" t="s">
        <v>198</v>
      </c>
    </row>
    <row r="110" spans="1:4" x14ac:dyDescent="0.3">
      <c r="A110" t="s">
        <v>267</v>
      </c>
      <c r="B110" t="s">
        <v>268</v>
      </c>
      <c r="C110">
        <v>400</v>
      </c>
      <c r="D110" t="s">
        <v>198</v>
      </c>
    </row>
    <row r="111" spans="1:4" x14ac:dyDescent="0.3">
      <c r="A111" t="s">
        <v>269</v>
      </c>
      <c r="B111" t="s">
        <v>270</v>
      </c>
      <c r="C111">
        <v>8050</v>
      </c>
      <c r="D111" t="s">
        <v>198</v>
      </c>
    </row>
    <row r="112" spans="1:4" x14ac:dyDescent="0.3">
      <c r="A112" t="s">
        <v>271</v>
      </c>
      <c r="B112" t="s">
        <v>272</v>
      </c>
      <c r="C112">
        <v>6550</v>
      </c>
      <c r="D112" t="s">
        <v>198</v>
      </c>
    </row>
    <row r="113" spans="1:4" x14ac:dyDescent="0.3">
      <c r="A113" t="s">
        <v>273</v>
      </c>
      <c r="B113" t="s">
        <v>274</v>
      </c>
      <c r="C113">
        <v>450</v>
      </c>
      <c r="D113" t="s">
        <v>198</v>
      </c>
    </row>
    <row r="114" spans="1:4" x14ac:dyDescent="0.3">
      <c r="A114" t="s">
        <v>275</v>
      </c>
      <c r="B114" t="s">
        <v>276</v>
      </c>
      <c r="C114">
        <v>300</v>
      </c>
      <c r="D114" t="s">
        <v>198</v>
      </c>
    </row>
    <row r="115" spans="1:4" x14ac:dyDescent="0.3">
      <c r="A115" t="s">
        <v>277</v>
      </c>
      <c r="B115" t="s">
        <v>278</v>
      </c>
      <c r="C115">
        <v>3200</v>
      </c>
      <c r="D115" t="s">
        <v>198</v>
      </c>
    </row>
    <row r="116" spans="1:4" x14ac:dyDescent="0.3">
      <c r="A116" t="s">
        <v>279</v>
      </c>
      <c r="B116" t="s">
        <v>280</v>
      </c>
      <c r="C116">
        <v>0</v>
      </c>
      <c r="D116" t="s">
        <v>198</v>
      </c>
    </row>
    <row r="117" spans="1:4" x14ac:dyDescent="0.3">
      <c r="A117" t="s">
        <v>281</v>
      </c>
      <c r="B117" t="s">
        <v>282</v>
      </c>
      <c r="C117">
        <v>1000</v>
      </c>
      <c r="D117" t="s">
        <v>198</v>
      </c>
    </row>
    <row r="118" spans="1:4" x14ac:dyDescent="0.3">
      <c r="A118" t="s">
        <v>283</v>
      </c>
      <c r="B118" t="s">
        <v>284</v>
      </c>
      <c r="C118">
        <v>0</v>
      </c>
      <c r="D118" t="s">
        <v>198</v>
      </c>
    </row>
    <row r="119" spans="1:4" x14ac:dyDescent="0.3">
      <c r="A119" t="s">
        <v>285</v>
      </c>
      <c r="B119" t="s">
        <v>286</v>
      </c>
      <c r="C119">
        <v>2100</v>
      </c>
      <c r="D119" t="s">
        <v>198</v>
      </c>
    </row>
    <row r="120" spans="1:4" x14ac:dyDescent="0.3">
      <c r="A120" t="s">
        <v>287</v>
      </c>
      <c r="B120" t="s">
        <v>288</v>
      </c>
      <c r="C120">
        <v>0</v>
      </c>
      <c r="D120" t="s">
        <v>198</v>
      </c>
    </row>
    <row r="121" spans="1:4" x14ac:dyDescent="0.3">
      <c r="A121" t="s">
        <v>289</v>
      </c>
      <c r="B121" t="s">
        <v>290</v>
      </c>
      <c r="C121">
        <v>0</v>
      </c>
      <c r="D121" t="s">
        <v>198</v>
      </c>
    </row>
    <row r="122" spans="1:4" x14ac:dyDescent="0.3">
      <c r="A122" t="s">
        <v>291</v>
      </c>
      <c r="B122" t="s">
        <v>292</v>
      </c>
      <c r="C122">
        <v>3816</v>
      </c>
      <c r="D122" t="s">
        <v>198</v>
      </c>
    </row>
    <row r="123" spans="1:4" x14ac:dyDescent="0.3">
      <c r="A123" t="s">
        <v>293</v>
      </c>
      <c r="B123" t="s">
        <v>294</v>
      </c>
      <c r="C123">
        <v>3816</v>
      </c>
      <c r="D123" t="s">
        <v>198</v>
      </c>
    </row>
    <row r="124" spans="1:4" x14ac:dyDescent="0.3">
      <c r="A124" t="s">
        <v>295</v>
      </c>
      <c r="B124" t="s">
        <v>296</v>
      </c>
      <c r="C124">
        <v>0</v>
      </c>
      <c r="D124" t="s">
        <v>186</v>
      </c>
    </row>
    <row r="125" spans="1:4" x14ac:dyDescent="0.3">
      <c r="A125" t="s">
        <v>297</v>
      </c>
      <c r="B125" t="s">
        <v>298</v>
      </c>
      <c r="C125">
        <v>0</v>
      </c>
      <c r="D125" t="s">
        <v>183</v>
      </c>
    </row>
    <row r="126" spans="1:4" x14ac:dyDescent="0.3">
      <c r="A126" t="s">
        <v>299</v>
      </c>
      <c r="B126" t="s">
        <v>300</v>
      </c>
      <c r="C126">
        <v>0</v>
      </c>
      <c r="D126" t="s">
        <v>183</v>
      </c>
    </row>
    <row r="127" spans="1:4" x14ac:dyDescent="0.3">
      <c r="A127" t="s">
        <v>301</v>
      </c>
      <c r="B127" t="s">
        <v>302</v>
      </c>
      <c r="C127">
        <v>0</v>
      </c>
      <c r="D127" t="s">
        <v>186</v>
      </c>
    </row>
    <row r="128" spans="1:4" x14ac:dyDescent="0.3">
      <c r="A128" t="s">
        <v>303</v>
      </c>
      <c r="B128" t="s">
        <v>304</v>
      </c>
      <c r="C128">
        <v>0</v>
      </c>
      <c r="D128" t="s">
        <v>183</v>
      </c>
    </row>
    <row r="129" spans="1:4" x14ac:dyDescent="0.3">
      <c r="A129" t="s">
        <v>305</v>
      </c>
      <c r="B129" t="s">
        <v>306</v>
      </c>
      <c r="C129">
        <v>0</v>
      </c>
      <c r="D129" t="s">
        <v>183</v>
      </c>
    </row>
    <row r="130" spans="1:4" x14ac:dyDescent="0.3">
      <c r="A130" t="s">
        <v>307</v>
      </c>
      <c r="B130" t="s">
        <v>308</v>
      </c>
      <c r="C130">
        <v>0</v>
      </c>
      <c r="D130" t="s">
        <v>183</v>
      </c>
    </row>
    <row r="131" spans="1:4" x14ac:dyDescent="0.3">
      <c r="A131" t="s">
        <v>309</v>
      </c>
      <c r="B131" t="s">
        <v>310</v>
      </c>
      <c r="C131">
        <v>0</v>
      </c>
      <c r="D131" t="s">
        <v>183</v>
      </c>
    </row>
    <row r="132" spans="1:4" x14ac:dyDescent="0.3">
      <c r="A132" t="s">
        <v>311</v>
      </c>
      <c r="B132" t="s">
        <v>312</v>
      </c>
      <c r="C132">
        <v>0</v>
      </c>
      <c r="D132" t="s">
        <v>183</v>
      </c>
    </row>
    <row r="133" spans="1:4" x14ac:dyDescent="0.3">
      <c r="A133" t="s">
        <v>313</v>
      </c>
      <c r="B133" t="s">
        <v>314</v>
      </c>
      <c r="C133">
        <v>0</v>
      </c>
      <c r="D133" t="s">
        <v>183</v>
      </c>
    </row>
    <row r="134" spans="1:4" x14ac:dyDescent="0.3">
      <c r="A134" t="s">
        <v>315</v>
      </c>
      <c r="B134" t="s">
        <v>316</v>
      </c>
      <c r="C134">
        <v>0</v>
      </c>
      <c r="D134" t="s">
        <v>183</v>
      </c>
    </row>
    <row r="135" spans="1:4" x14ac:dyDescent="0.3">
      <c r="A135" t="s">
        <v>317</v>
      </c>
      <c r="B135" t="s">
        <v>318</v>
      </c>
      <c r="C135">
        <v>3120</v>
      </c>
      <c r="D135" t="s">
        <v>198</v>
      </c>
    </row>
    <row r="136" spans="1:4" x14ac:dyDescent="0.3">
      <c r="A136" t="s">
        <v>319</v>
      </c>
      <c r="B136" t="s">
        <v>320</v>
      </c>
      <c r="C136">
        <v>2268</v>
      </c>
      <c r="D136" t="s">
        <v>198</v>
      </c>
    </row>
    <row r="137" spans="1:4" x14ac:dyDescent="0.3">
      <c r="A137" t="s">
        <v>321</v>
      </c>
      <c r="B137" t="s">
        <v>322</v>
      </c>
      <c r="C137">
        <v>1260</v>
      </c>
      <c r="D137" t="s">
        <v>198</v>
      </c>
    </row>
    <row r="138" spans="1:4" x14ac:dyDescent="0.3">
      <c r="A138" t="s">
        <v>323</v>
      </c>
      <c r="B138" t="s">
        <v>324</v>
      </c>
      <c r="C138">
        <v>2460</v>
      </c>
      <c r="D138" t="s">
        <v>198</v>
      </c>
    </row>
    <row r="139" spans="1:4" x14ac:dyDescent="0.3">
      <c r="A139" t="s">
        <v>325</v>
      </c>
      <c r="B139" t="s">
        <v>326</v>
      </c>
      <c r="C139">
        <v>0</v>
      </c>
      <c r="D139" t="s">
        <v>198</v>
      </c>
    </row>
    <row r="140" spans="1:4" x14ac:dyDescent="0.3">
      <c r="A140" t="s">
        <v>327</v>
      </c>
      <c r="B140" t="s">
        <v>328</v>
      </c>
      <c r="C140">
        <v>2616</v>
      </c>
      <c r="D140" t="s">
        <v>198</v>
      </c>
    </row>
    <row r="141" spans="1:4" x14ac:dyDescent="0.3">
      <c r="A141" t="s">
        <v>329</v>
      </c>
      <c r="B141" t="s">
        <v>330</v>
      </c>
      <c r="C141">
        <v>2328</v>
      </c>
      <c r="D141" t="s">
        <v>198</v>
      </c>
    </row>
    <row r="142" spans="1:4" x14ac:dyDescent="0.3">
      <c r="A142" t="s">
        <v>331</v>
      </c>
      <c r="B142" t="s">
        <v>332</v>
      </c>
      <c r="C142">
        <v>4296</v>
      </c>
      <c r="D142" t="s">
        <v>198</v>
      </c>
    </row>
    <row r="143" spans="1:4" x14ac:dyDescent="0.3">
      <c r="A143" t="s">
        <v>333</v>
      </c>
      <c r="B143" t="s">
        <v>334</v>
      </c>
      <c r="C143">
        <v>6192</v>
      </c>
      <c r="D143" t="s">
        <v>198</v>
      </c>
    </row>
    <row r="144" spans="1:4" x14ac:dyDescent="0.3">
      <c r="A144" t="s">
        <v>335</v>
      </c>
      <c r="B144" t="s">
        <v>336</v>
      </c>
      <c r="C144">
        <v>0</v>
      </c>
      <c r="D144" t="s">
        <v>198</v>
      </c>
    </row>
    <row r="145" spans="1:4" x14ac:dyDescent="0.3">
      <c r="A145" t="s">
        <v>337</v>
      </c>
      <c r="B145" t="s">
        <v>338</v>
      </c>
      <c r="C145">
        <v>1920</v>
      </c>
      <c r="D145" t="s">
        <v>198</v>
      </c>
    </row>
    <row r="146" spans="1:4" x14ac:dyDescent="0.3">
      <c r="A146" t="s">
        <v>339</v>
      </c>
      <c r="B146" t="s">
        <v>340</v>
      </c>
      <c r="C146">
        <v>1128</v>
      </c>
      <c r="D146" t="s">
        <v>198</v>
      </c>
    </row>
    <row r="147" spans="1:4" x14ac:dyDescent="0.3">
      <c r="A147" t="s">
        <v>341</v>
      </c>
      <c r="B147" t="s">
        <v>342</v>
      </c>
      <c r="C147">
        <v>2568</v>
      </c>
      <c r="D147" t="s">
        <v>198</v>
      </c>
    </row>
    <row r="148" spans="1:4" x14ac:dyDescent="0.3">
      <c r="A148" t="s">
        <v>343</v>
      </c>
      <c r="B148" t="s">
        <v>344</v>
      </c>
      <c r="C148">
        <v>0</v>
      </c>
      <c r="D148" t="s">
        <v>198</v>
      </c>
    </row>
    <row r="149" spans="1:4" x14ac:dyDescent="0.3">
      <c r="A149" t="s">
        <v>345</v>
      </c>
      <c r="B149" t="s">
        <v>346</v>
      </c>
      <c r="C149">
        <v>1512</v>
      </c>
      <c r="D149" t="s">
        <v>198</v>
      </c>
    </row>
    <row r="150" spans="1:4" x14ac:dyDescent="0.3">
      <c r="A150" t="s">
        <v>347</v>
      </c>
      <c r="B150" t="s">
        <v>348</v>
      </c>
      <c r="C150">
        <v>1176</v>
      </c>
      <c r="D150" t="s">
        <v>198</v>
      </c>
    </row>
    <row r="151" spans="1:4" x14ac:dyDescent="0.3">
      <c r="A151" t="s">
        <v>349</v>
      </c>
      <c r="B151" t="s">
        <v>350</v>
      </c>
      <c r="C151">
        <v>288</v>
      </c>
      <c r="D151" t="s">
        <v>198</v>
      </c>
    </row>
    <row r="152" spans="1:4" x14ac:dyDescent="0.3">
      <c r="A152" t="s">
        <v>351</v>
      </c>
      <c r="B152" t="s">
        <v>352</v>
      </c>
      <c r="C152">
        <v>0</v>
      </c>
      <c r="D152" t="s">
        <v>198</v>
      </c>
    </row>
    <row r="153" spans="1:4" x14ac:dyDescent="0.3">
      <c r="A153" t="s">
        <v>353</v>
      </c>
      <c r="B153" t="s">
        <v>354</v>
      </c>
      <c r="C153">
        <v>0</v>
      </c>
      <c r="D153" t="s">
        <v>198</v>
      </c>
    </row>
    <row r="154" spans="1:4" x14ac:dyDescent="0.3">
      <c r="A154" t="s">
        <v>355</v>
      </c>
      <c r="B154" t="s">
        <v>356</v>
      </c>
      <c r="C154">
        <v>0</v>
      </c>
      <c r="D154" t="s">
        <v>198</v>
      </c>
    </row>
    <row r="155" spans="1:4" x14ac:dyDescent="0.3">
      <c r="A155" t="s">
        <v>357</v>
      </c>
      <c r="B155" t="s">
        <v>358</v>
      </c>
      <c r="C155">
        <v>0</v>
      </c>
      <c r="D155" t="s">
        <v>198</v>
      </c>
    </row>
    <row r="156" spans="1:4" x14ac:dyDescent="0.3">
      <c r="A156" t="s">
        <v>359</v>
      </c>
      <c r="B156" t="s">
        <v>360</v>
      </c>
      <c r="C156">
        <v>0</v>
      </c>
      <c r="D156" t="s">
        <v>198</v>
      </c>
    </row>
    <row r="157" spans="1:4" x14ac:dyDescent="0.3">
      <c r="A157" t="s">
        <v>361</v>
      </c>
      <c r="B157" t="s">
        <v>362</v>
      </c>
      <c r="C157">
        <v>0</v>
      </c>
      <c r="D157" t="s">
        <v>198</v>
      </c>
    </row>
    <row r="158" spans="1:4" x14ac:dyDescent="0.3">
      <c r="A158" t="s">
        <v>363</v>
      </c>
      <c r="B158" t="s">
        <v>364</v>
      </c>
      <c r="C158">
        <v>1192</v>
      </c>
      <c r="D158" t="s">
        <v>198</v>
      </c>
    </row>
    <row r="159" spans="1:4" x14ac:dyDescent="0.3">
      <c r="A159" t="s">
        <v>365</v>
      </c>
      <c r="B159" t="s">
        <v>366</v>
      </c>
      <c r="C159">
        <v>8</v>
      </c>
      <c r="D159" t="s">
        <v>183</v>
      </c>
    </row>
    <row r="160" spans="1:4" x14ac:dyDescent="0.3">
      <c r="A160" t="s">
        <v>367</v>
      </c>
      <c r="B160" t="s">
        <v>368</v>
      </c>
      <c r="C160">
        <v>0</v>
      </c>
      <c r="D160" t="s">
        <v>186</v>
      </c>
    </row>
    <row r="161" spans="1:4" x14ac:dyDescent="0.3">
      <c r="A161" t="s">
        <v>369</v>
      </c>
      <c r="B161" t="s">
        <v>370</v>
      </c>
      <c r="C161">
        <v>6</v>
      </c>
      <c r="D161" t="s">
        <v>183</v>
      </c>
    </row>
    <row r="162" spans="1:4" x14ac:dyDescent="0.3">
      <c r="A162" t="s">
        <v>371</v>
      </c>
      <c r="B162" t="s">
        <v>372</v>
      </c>
      <c r="C162">
        <v>0</v>
      </c>
      <c r="D162" t="s">
        <v>186</v>
      </c>
    </row>
    <row r="163" spans="1:4" x14ac:dyDescent="0.3">
      <c r="A163" t="s">
        <v>373</v>
      </c>
      <c r="B163" t="s">
        <v>374</v>
      </c>
      <c r="C163">
        <v>0</v>
      </c>
      <c r="D163" t="s">
        <v>183</v>
      </c>
    </row>
    <row r="164" spans="1:4" x14ac:dyDescent="0.3">
      <c r="A164" t="s">
        <v>375</v>
      </c>
      <c r="B164" t="s">
        <v>376</v>
      </c>
      <c r="C164">
        <v>176</v>
      </c>
      <c r="D164" t="s">
        <v>186</v>
      </c>
    </row>
    <row r="165" spans="1:4" x14ac:dyDescent="0.3">
      <c r="A165" t="s">
        <v>377</v>
      </c>
      <c r="B165" t="s">
        <v>378</v>
      </c>
      <c r="C165">
        <v>0</v>
      </c>
      <c r="D165" t="s">
        <v>183</v>
      </c>
    </row>
    <row r="166" spans="1:4" x14ac:dyDescent="0.3">
      <c r="A166" t="s">
        <v>379</v>
      </c>
      <c r="B166" t="s">
        <v>380</v>
      </c>
      <c r="C166">
        <v>0</v>
      </c>
      <c r="D166" t="s">
        <v>183</v>
      </c>
    </row>
    <row r="167" spans="1:4" x14ac:dyDescent="0.3">
      <c r="A167" t="s">
        <v>381</v>
      </c>
      <c r="B167" t="s">
        <v>382</v>
      </c>
      <c r="C167">
        <v>0</v>
      </c>
      <c r="D167" t="s">
        <v>186</v>
      </c>
    </row>
    <row r="168" spans="1:4" x14ac:dyDescent="0.3">
      <c r="A168" t="s">
        <v>383</v>
      </c>
      <c r="B168" t="s">
        <v>384</v>
      </c>
      <c r="C168">
        <v>0</v>
      </c>
      <c r="D168" t="s">
        <v>198</v>
      </c>
    </row>
    <row r="169" spans="1:4" x14ac:dyDescent="0.3">
      <c r="A169" t="s">
        <v>385</v>
      </c>
      <c r="B169" t="s">
        <v>386</v>
      </c>
      <c r="C169">
        <v>0</v>
      </c>
      <c r="D169" t="s">
        <v>198</v>
      </c>
    </row>
    <row r="170" spans="1:4" x14ac:dyDescent="0.3">
      <c r="A170" t="s">
        <v>387</v>
      </c>
      <c r="B170" t="s">
        <v>388</v>
      </c>
      <c r="C170">
        <v>0</v>
      </c>
      <c r="D170" t="s">
        <v>198</v>
      </c>
    </row>
    <row r="171" spans="1:4" x14ac:dyDescent="0.3">
      <c r="A171" t="s">
        <v>389</v>
      </c>
      <c r="B171" t="s">
        <v>390</v>
      </c>
      <c r="C171">
        <v>0</v>
      </c>
      <c r="D171" t="s">
        <v>198</v>
      </c>
    </row>
    <row r="172" spans="1:4" x14ac:dyDescent="0.3">
      <c r="A172" t="s">
        <v>391</v>
      </c>
      <c r="B172" t="s">
        <v>392</v>
      </c>
      <c r="C172">
        <v>0</v>
      </c>
      <c r="D172" t="s">
        <v>198</v>
      </c>
    </row>
    <row r="173" spans="1:4" x14ac:dyDescent="0.3">
      <c r="A173" t="s">
        <v>393</v>
      </c>
      <c r="B173" t="s">
        <v>394</v>
      </c>
      <c r="C173">
        <v>0</v>
      </c>
      <c r="D173" t="s">
        <v>198</v>
      </c>
    </row>
    <row r="174" spans="1:4" x14ac:dyDescent="0.3">
      <c r="A174" t="s">
        <v>395</v>
      </c>
      <c r="B174" t="s">
        <v>396</v>
      </c>
      <c r="C174">
        <v>0</v>
      </c>
      <c r="D174" t="s">
        <v>198</v>
      </c>
    </row>
    <row r="175" spans="1:4" x14ac:dyDescent="0.3">
      <c r="A175" t="s">
        <v>397</v>
      </c>
      <c r="B175" t="s">
        <v>398</v>
      </c>
      <c r="C175">
        <v>0</v>
      </c>
      <c r="D175" t="s">
        <v>198</v>
      </c>
    </row>
    <row r="176" spans="1:4" x14ac:dyDescent="0.3">
      <c r="A176" t="s">
        <v>399</v>
      </c>
      <c r="B176" t="s">
        <v>400</v>
      </c>
      <c r="C176">
        <v>0</v>
      </c>
      <c r="D176" t="s">
        <v>198</v>
      </c>
    </row>
    <row r="177" spans="1:4" x14ac:dyDescent="0.3">
      <c r="A177" t="s">
        <v>401</v>
      </c>
      <c r="B177" t="s">
        <v>402</v>
      </c>
      <c r="C177">
        <v>0</v>
      </c>
      <c r="D177" t="s">
        <v>198</v>
      </c>
    </row>
    <row r="178" spans="1:4" x14ac:dyDescent="0.3">
      <c r="A178" t="s">
        <v>403</v>
      </c>
      <c r="B178" t="s">
        <v>404</v>
      </c>
      <c r="C178">
        <v>0</v>
      </c>
      <c r="D178" t="s">
        <v>198</v>
      </c>
    </row>
    <row r="179" spans="1:4" x14ac:dyDescent="0.3">
      <c r="A179" t="s">
        <v>405</v>
      </c>
      <c r="B179" t="s">
        <v>406</v>
      </c>
      <c r="C179">
        <v>0</v>
      </c>
      <c r="D179" t="s">
        <v>198</v>
      </c>
    </row>
    <row r="180" spans="1:4" x14ac:dyDescent="0.3">
      <c r="A180" t="s">
        <v>407</v>
      </c>
      <c r="B180" t="s">
        <v>408</v>
      </c>
      <c r="C180">
        <v>0</v>
      </c>
      <c r="D180" t="s">
        <v>198</v>
      </c>
    </row>
    <row r="181" spans="1:4" x14ac:dyDescent="0.3">
      <c r="A181" t="s">
        <v>409</v>
      </c>
      <c r="B181" t="s">
        <v>410</v>
      </c>
      <c r="C181">
        <v>0</v>
      </c>
      <c r="D181" t="s">
        <v>198</v>
      </c>
    </row>
    <row r="182" spans="1:4" x14ac:dyDescent="0.3">
      <c r="A182" t="s">
        <v>411</v>
      </c>
      <c r="B182" t="s">
        <v>412</v>
      </c>
      <c r="C182">
        <v>0</v>
      </c>
      <c r="D182" t="s">
        <v>198</v>
      </c>
    </row>
    <row r="183" spans="1:4" x14ac:dyDescent="0.3">
      <c r="A183" t="s">
        <v>413</v>
      </c>
      <c r="B183" t="s">
        <v>414</v>
      </c>
      <c r="C183">
        <v>0</v>
      </c>
      <c r="D183" t="s">
        <v>198</v>
      </c>
    </row>
    <row r="184" spans="1:4" x14ac:dyDescent="0.3">
      <c r="A184" t="s">
        <v>415</v>
      </c>
      <c r="B184" t="s">
        <v>416</v>
      </c>
      <c r="C184">
        <v>0</v>
      </c>
      <c r="D184" t="s">
        <v>198</v>
      </c>
    </row>
    <row r="185" spans="1:4" x14ac:dyDescent="0.3">
      <c r="A185" t="s">
        <v>417</v>
      </c>
      <c r="B185" t="s">
        <v>418</v>
      </c>
      <c r="C185">
        <v>0</v>
      </c>
      <c r="D185" t="s">
        <v>198</v>
      </c>
    </row>
    <row r="186" spans="1:4" x14ac:dyDescent="0.3">
      <c r="A186" t="s">
        <v>419</v>
      </c>
      <c r="B186" t="s">
        <v>420</v>
      </c>
      <c r="C186">
        <v>0</v>
      </c>
      <c r="D186" t="s">
        <v>198</v>
      </c>
    </row>
    <row r="187" spans="1:4" x14ac:dyDescent="0.3">
      <c r="A187" t="s">
        <v>421</v>
      </c>
      <c r="B187" t="s">
        <v>422</v>
      </c>
      <c r="C187">
        <v>0</v>
      </c>
      <c r="D187" t="s">
        <v>198</v>
      </c>
    </row>
    <row r="188" spans="1:4" x14ac:dyDescent="0.3">
      <c r="A188" t="s">
        <v>423</v>
      </c>
      <c r="B188" t="s">
        <v>424</v>
      </c>
      <c r="C188">
        <v>0</v>
      </c>
      <c r="D188" t="s">
        <v>198</v>
      </c>
    </row>
    <row r="189" spans="1:4" x14ac:dyDescent="0.3">
      <c r="A189" t="s">
        <v>425</v>
      </c>
      <c r="B189" t="s">
        <v>426</v>
      </c>
      <c r="C189">
        <v>0</v>
      </c>
      <c r="D189" t="s">
        <v>198</v>
      </c>
    </row>
    <row r="190" spans="1:4" x14ac:dyDescent="0.3">
      <c r="A190" t="s">
        <v>427</v>
      </c>
      <c r="B190" t="s">
        <v>428</v>
      </c>
      <c r="C190">
        <v>0</v>
      </c>
      <c r="D190" t="s">
        <v>198</v>
      </c>
    </row>
    <row r="191" spans="1:4" x14ac:dyDescent="0.3">
      <c r="A191" t="s">
        <v>429</v>
      </c>
      <c r="B191" t="s">
        <v>430</v>
      </c>
      <c r="C191">
        <v>0</v>
      </c>
      <c r="D191" t="s">
        <v>198</v>
      </c>
    </row>
    <row r="192" spans="1:4" x14ac:dyDescent="0.3">
      <c r="A192" t="s">
        <v>431</v>
      </c>
      <c r="B192" t="s">
        <v>432</v>
      </c>
      <c r="C192">
        <v>0</v>
      </c>
      <c r="D192" t="s">
        <v>198</v>
      </c>
    </row>
    <row r="193" spans="1:4" x14ac:dyDescent="0.3">
      <c r="A193" t="s">
        <v>433</v>
      </c>
      <c r="B193" t="s">
        <v>434</v>
      </c>
      <c r="C193">
        <v>0</v>
      </c>
      <c r="D193" t="s">
        <v>198</v>
      </c>
    </row>
    <row r="194" spans="1:4" x14ac:dyDescent="0.3">
      <c r="A194" t="s">
        <v>435</v>
      </c>
      <c r="B194" t="s">
        <v>436</v>
      </c>
      <c r="C194">
        <v>0</v>
      </c>
      <c r="D194" t="s">
        <v>198</v>
      </c>
    </row>
    <row r="195" spans="1:4" x14ac:dyDescent="0.3">
      <c r="A195" t="s">
        <v>437</v>
      </c>
      <c r="B195" t="s">
        <v>438</v>
      </c>
      <c r="C195">
        <v>0</v>
      </c>
      <c r="D195" t="s">
        <v>198</v>
      </c>
    </row>
    <row r="196" spans="1:4" x14ac:dyDescent="0.3">
      <c r="A196" t="s">
        <v>439</v>
      </c>
      <c r="B196" t="s">
        <v>440</v>
      </c>
      <c r="C196">
        <v>0</v>
      </c>
      <c r="D196" t="s">
        <v>198</v>
      </c>
    </row>
    <row r="197" spans="1:4" x14ac:dyDescent="0.3">
      <c r="A197" t="s">
        <v>441</v>
      </c>
      <c r="B197" t="s">
        <v>442</v>
      </c>
      <c r="C197">
        <v>0</v>
      </c>
      <c r="D197" t="s">
        <v>198</v>
      </c>
    </row>
    <row r="198" spans="1:4" x14ac:dyDescent="0.3">
      <c r="A198" t="s">
        <v>443</v>
      </c>
      <c r="B198" t="s">
        <v>444</v>
      </c>
      <c r="C198">
        <v>0</v>
      </c>
      <c r="D198" t="s">
        <v>198</v>
      </c>
    </row>
    <row r="199" spans="1:4" x14ac:dyDescent="0.3">
      <c r="A199" t="s">
        <v>445</v>
      </c>
      <c r="B199" t="s">
        <v>446</v>
      </c>
      <c r="C199">
        <v>0</v>
      </c>
      <c r="D199" t="s">
        <v>198</v>
      </c>
    </row>
    <row r="200" spans="1:4" x14ac:dyDescent="0.3">
      <c r="A200" t="s">
        <v>447</v>
      </c>
      <c r="B200" t="s">
        <v>448</v>
      </c>
      <c r="C200">
        <v>0</v>
      </c>
      <c r="D200" t="s">
        <v>198</v>
      </c>
    </row>
    <row r="201" spans="1:4" x14ac:dyDescent="0.3">
      <c r="A201" t="s">
        <v>449</v>
      </c>
      <c r="B201" t="s">
        <v>450</v>
      </c>
      <c r="C201">
        <v>0</v>
      </c>
      <c r="D201" t="s">
        <v>198</v>
      </c>
    </row>
    <row r="202" spans="1:4" x14ac:dyDescent="0.3">
      <c r="A202" t="s">
        <v>451</v>
      </c>
      <c r="B202" t="s">
        <v>452</v>
      </c>
      <c r="C202">
        <v>0</v>
      </c>
      <c r="D202" t="s">
        <v>198</v>
      </c>
    </row>
    <row r="203" spans="1:4" x14ac:dyDescent="0.3">
      <c r="A203" t="s">
        <v>453</v>
      </c>
      <c r="B203" t="s">
        <v>454</v>
      </c>
      <c r="C203">
        <v>0</v>
      </c>
      <c r="D203" t="s">
        <v>198</v>
      </c>
    </row>
    <row r="204" spans="1:4" x14ac:dyDescent="0.3">
      <c r="A204" t="s">
        <v>455</v>
      </c>
      <c r="B204" t="s">
        <v>456</v>
      </c>
      <c r="C204">
        <v>0</v>
      </c>
      <c r="D204" t="s">
        <v>198</v>
      </c>
    </row>
    <row r="205" spans="1:4" x14ac:dyDescent="0.3">
      <c r="A205" t="s">
        <v>457</v>
      </c>
      <c r="B205" t="s">
        <v>458</v>
      </c>
      <c r="C205">
        <v>0</v>
      </c>
      <c r="D205" t="s">
        <v>198</v>
      </c>
    </row>
    <row r="206" spans="1:4" x14ac:dyDescent="0.3">
      <c r="A206" t="s">
        <v>459</v>
      </c>
      <c r="B206" t="s">
        <v>460</v>
      </c>
      <c r="C206">
        <v>0</v>
      </c>
      <c r="D206" t="s">
        <v>198</v>
      </c>
    </row>
    <row r="207" spans="1:4" x14ac:dyDescent="0.3">
      <c r="A207" t="s">
        <v>461</v>
      </c>
      <c r="B207" t="s">
        <v>462</v>
      </c>
      <c r="C207">
        <v>0</v>
      </c>
      <c r="D207" t="s">
        <v>198</v>
      </c>
    </row>
    <row r="208" spans="1:4" x14ac:dyDescent="0.3">
      <c r="A208" t="s">
        <v>463</v>
      </c>
      <c r="B208" t="s">
        <v>464</v>
      </c>
      <c r="C208">
        <v>0</v>
      </c>
      <c r="D208" t="s">
        <v>198</v>
      </c>
    </row>
    <row r="209" spans="1:4" x14ac:dyDescent="0.3">
      <c r="A209" t="s">
        <v>465</v>
      </c>
      <c r="B209" t="s">
        <v>466</v>
      </c>
      <c r="C209">
        <v>0</v>
      </c>
      <c r="D209" t="s">
        <v>198</v>
      </c>
    </row>
    <row r="210" spans="1:4" x14ac:dyDescent="0.3">
      <c r="A210" t="s">
        <v>467</v>
      </c>
      <c r="B210" t="s">
        <v>468</v>
      </c>
      <c r="C210">
        <v>0</v>
      </c>
      <c r="D210" t="s">
        <v>198</v>
      </c>
    </row>
    <row r="211" spans="1:4" x14ac:dyDescent="0.3">
      <c r="A211" t="s">
        <v>469</v>
      </c>
      <c r="B211" t="s">
        <v>470</v>
      </c>
      <c r="C211">
        <v>0</v>
      </c>
      <c r="D211" t="s">
        <v>198</v>
      </c>
    </row>
    <row r="212" spans="1:4" x14ac:dyDescent="0.3">
      <c r="A212" t="s">
        <v>471</v>
      </c>
      <c r="B212" t="s">
        <v>472</v>
      </c>
      <c r="C212">
        <v>0</v>
      </c>
      <c r="D212" t="s">
        <v>198</v>
      </c>
    </row>
    <row r="213" spans="1:4" x14ac:dyDescent="0.3">
      <c r="A213" t="s">
        <v>473</v>
      </c>
      <c r="B213" t="s">
        <v>474</v>
      </c>
      <c r="C213">
        <v>0</v>
      </c>
      <c r="D213" t="s">
        <v>198</v>
      </c>
    </row>
    <row r="214" spans="1:4" x14ac:dyDescent="0.3">
      <c r="A214" t="s">
        <v>475</v>
      </c>
      <c r="B214" t="s">
        <v>476</v>
      </c>
      <c r="C214">
        <v>0</v>
      </c>
      <c r="D214" t="s">
        <v>198</v>
      </c>
    </row>
    <row r="215" spans="1:4" x14ac:dyDescent="0.3">
      <c r="A215" t="s">
        <v>477</v>
      </c>
      <c r="B215" t="s">
        <v>478</v>
      </c>
      <c r="C215">
        <v>0</v>
      </c>
      <c r="D215" t="s">
        <v>198</v>
      </c>
    </row>
    <row r="216" spans="1:4" x14ac:dyDescent="0.3">
      <c r="A216" t="s">
        <v>479</v>
      </c>
      <c r="B216" t="s">
        <v>480</v>
      </c>
      <c r="C216">
        <v>0</v>
      </c>
      <c r="D216" t="s">
        <v>198</v>
      </c>
    </row>
    <row r="217" spans="1:4" x14ac:dyDescent="0.3">
      <c r="A217" t="s">
        <v>481</v>
      </c>
      <c r="B217" t="s">
        <v>482</v>
      </c>
      <c r="C217">
        <v>0</v>
      </c>
      <c r="D217" t="s">
        <v>198</v>
      </c>
    </row>
    <row r="218" spans="1:4" x14ac:dyDescent="0.3">
      <c r="A218" t="s">
        <v>483</v>
      </c>
      <c r="B218" t="s">
        <v>484</v>
      </c>
      <c r="C218">
        <v>0</v>
      </c>
      <c r="D218" t="s">
        <v>198</v>
      </c>
    </row>
    <row r="219" spans="1:4" x14ac:dyDescent="0.3">
      <c r="A219" t="s">
        <v>485</v>
      </c>
      <c r="B219" t="s">
        <v>486</v>
      </c>
      <c r="C219">
        <v>0</v>
      </c>
      <c r="D219" t="s">
        <v>198</v>
      </c>
    </row>
    <row r="220" spans="1:4" x14ac:dyDescent="0.3">
      <c r="A220" t="s">
        <v>487</v>
      </c>
      <c r="B220" t="s">
        <v>488</v>
      </c>
      <c r="C220">
        <v>0</v>
      </c>
      <c r="D220" t="s">
        <v>198</v>
      </c>
    </row>
    <row r="221" spans="1:4" x14ac:dyDescent="0.3">
      <c r="A221" t="s">
        <v>489</v>
      </c>
      <c r="B221" t="s">
        <v>490</v>
      </c>
      <c r="C221">
        <v>0</v>
      </c>
      <c r="D221" t="s">
        <v>198</v>
      </c>
    </row>
    <row r="222" spans="1:4" x14ac:dyDescent="0.3">
      <c r="A222" t="s">
        <v>491</v>
      </c>
      <c r="B222" t="s">
        <v>492</v>
      </c>
      <c r="C222">
        <v>0</v>
      </c>
      <c r="D222" t="s">
        <v>198</v>
      </c>
    </row>
    <row r="223" spans="1:4" x14ac:dyDescent="0.3">
      <c r="A223" t="s">
        <v>493</v>
      </c>
      <c r="B223" t="s">
        <v>494</v>
      </c>
      <c r="C223">
        <v>0</v>
      </c>
      <c r="D223" t="s">
        <v>198</v>
      </c>
    </row>
    <row r="224" spans="1:4" x14ac:dyDescent="0.3">
      <c r="A224" t="s">
        <v>495</v>
      </c>
      <c r="B224" t="s">
        <v>496</v>
      </c>
      <c r="C224">
        <v>0</v>
      </c>
      <c r="D224" t="s">
        <v>198</v>
      </c>
    </row>
    <row r="225" spans="1:4" x14ac:dyDescent="0.3">
      <c r="A225" t="s">
        <v>497</v>
      </c>
      <c r="B225" t="s">
        <v>498</v>
      </c>
      <c r="C225">
        <v>0</v>
      </c>
      <c r="D225" t="s">
        <v>198</v>
      </c>
    </row>
    <row r="226" spans="1:4" x14ac:dyDescent="0.3">
      <c r="A226" t="s">
        <v>499</v>
      </c>
      <c r="B226" t="s">
        <v>500</v>
      </c>
      <c r="C226">
        <v>0</v>
      </c>
      <c r="D226" t="s">
        <v>198</v>
      </c>
    </row>
    <row r="227" spans="1:4" x14ac:dyDescent="0.3">
      <c r="A227" t="s">
        <v>501</v>
      </c>
      <c r="B227" t="s">
        <v>502</v>
      </c>
      <c r="C227">
        <v>0</v>
      </c>
      <c r="D227" t="s">
        <v>198</v>
      </c>
    </row>
    <row r="228" spans="1:4" x14ac:dyDescent="0.3">
      <c r="A228" t="s">
        <v>503</v>
      </c>
      <c r="B228" t="s">
        <v>504</v>
      </c>
      <c r="C228">
        <v>0</v>
      </c>
      <c r="D228" t="s">
        <v>198</v>
      </c>
    </row>
    <row r="229" spans="1:4" x14ac:dyDescent="0.3">
      <c r="A229" t="s">
        <v>505</v>
      </c>
      <c r="B229" t="s">
        <v>506</v>
      </c>
      <c r="C229">
        <v>0</v>
      </c>
      <c r="D229" t="s">
        <v>198</v>
      </c>
    </row>
    <row r="230" spans="1:4" x14ac:dyDescent="0.3">
      <c r="A230" t="s">
        <v>507</v>
      </c>
      <c r="B230" t="s">
        <v>508</v>
      </c>
      <c r="C230">
        <v>0</v>
      </c>
      <c r="D230" t="s">
        <v>198</v>
      </c>
    </row>
    <row r="231" spans="1:4" x14ac:dyDescent="0.3">
      <c r="A231" t="s">
        <v>509</v>
      </c>
      <c r="B231" t="s">
        <v>510</v>
      </c>
      <c r="C231">
        <v>0</v>
      </c>
      <c r="D231" t="s">
        <v>198</v>
      </c>
    </row>
    <row r="232" spans="1:4" x14ac:dyDescent="0.3">
      <c r="A232" t="s">
        <v>511</v>
      </c>
      <c r="B232" t="s">
        <v>512</v>
      </c>
      <c r="C232">
        <v>0</v>
      </c>
      <c r="D232" t="s">
        <v>198</v>
      </c>
    </row>
    <row r="233" spans="1:4" x14ac:dyDescent="0.3">
      <c r="A233" t="s">
        <v>513</v>
      </c>
      <c r="B233" t="s">
        <v>514</v>
      </c>
      <c r="C233">
        <v>0</v>
      </c>
      <c r="D233" t="s">
        <v>198</v>
      </c>
    </row>
    <row r="234" spans="1:4" x14ac:dyDescent="0.3">
      <c r="A234" t="s">
        <v>515</v>
      </c>
      <c r="B234" t="s">
        <v>516</v>
      </c>
      <c r="C234">
        <v>0</v>
      </c>
      <c r="D234" t="s">
        <v>198</v>
      </c>
    </row>
    <row r="235" spans="1:4" x14ac:dyDescent="0.3">
      <c r="A235" t="s">
        <v>517</v>
      </c>
      <c r="B235" t="s">
        <v>518</v>
      </c>
      <c r="C235">
        <v>0</v>
      </c>
      <c r="D235" t="s">
        <v>198</v>
      </c>
    </row>
    <row r="236" spans="1:4" x14ac:dyDescent="0.3">
      <c r="A236" t="s">
        <v>519</v>
      </c>
      <c r="B236" t="s">
        <v>520</v>
      </c>
      <c r="C236">
        <v>0</v>
      </c>
      <c r="D236" t="s">
        <v>198</v>
      </c>
    </row>
    <row r="237" spans="1:4" x14ac:dyDescent="0.3">
      <c r="A237" t="s">
        <v>521</v>
      </c>
      <c r="B237" t="s">
        <v>522</v>
      </c>
      <c r="C237">
        <v>0</v>
      </c>
      <c r="D237" t="s">
        <v>198</v>
      </c>
    </row>
    <row r="238" spans="1:4" x14ac:dyDescent="0.3">
      <c r="A238" t="s">
        <v>523</v>
      </c>
      <c r="B238" t="s">
        <v>524</v>
      </c>
      <c r="C238">
        <v>0</v>
      </c>
      <c r="D238" t="s">
        <v>198</v>
      </c>
    </row>
    <row r="239" spans="1:4" x14ac:dyDescent="0.3">
      <c r="A239" t="s">
        <v>525</v>
      </c>
      <c r="B239" t="s">
        <v>526</v>
      </c>
      <c r="C239">
        <v>0</v>
      </c>
      <c r="D239" t="s">
        <v>198</v>
      </c>
    </row>
    <row r="240" spans="1:4" x14ac:dyDescent="0.3">
      <c r="A240" t="s">
        <v>527</v>
      </c>
      <c r="B240" t="s">
        <v>528</v>
      </c>
      <c r="C240">
        <v>0</v>
      </c>
      <c r="D240" t="s">
        <v>198</v>
      </c>
    </row>
    <row r="241" spans="1:4" x14ac:dyDescent="0.3">
      <c r="A241" t="s">
        <v>529</v>
      </c>
      <c r="B241" t="s">
        <v>530</v>
      </c>
      <c r="C241">
        <v>0</v>
      </c>
      <c r="D241" t="s">
        <v>198</v>
      </c>
    </row>
    <row r="242" spans="1:4" x14ac:dyDescent="0.3">
      <c r="A242" t="s">
        <v>531</v>
      </c>
      <c r="B242" t="s">
        <v>532</v>
      </c>
      <c r="C242">
        <v>0</v>
      </c>
      <c r="D242" t="s">
        <v>198</v>
      </c>
    </row>
    <row r="243" spans="1:4" x14ac:dyDescent="0.3">
      <c r="A243" t="s">
        <v>533</v>
      </c>
      <c r="B243" t="s">
        <v>534</v>
      </c>
      <c r="C243">
        <v>0</v>
      </c>
      <c r="D243" t="s">
        <v>198</v>
      </c>
    </row>
    <row r="244" spans="1:4" x14ac:dyDescent="0.3">
      <c r="A244" t="s">
        <v>535</v>
      </c>
      <c r="B244" t="s">
        <v>536</v>
      </c>
      <c r="C244">
        <v>0</v>
      </c>
      <c r="D244" t="s">
        <v>198</v>
      </c>
    </row>
    <row r="245" spans="1:4" x14ac:dyDescent="0.3">
      <c r="A245" t="s">
        <v>537</v>
      </c>
      <c r="B245" t="s">
        <v>538</v>
      </c>
      <c r="C245">
        <v>0</v>
      </c>
      <c r="D245" t="s">
        <v>198</v>
      </c>
    </row>
    <row r="246" spans="1:4" x14ac:dyDescent="0.3">
      <c r="A246" t="s">
        <v>539</v>
      </c>
      <c r="B246" t="s">
        <v>540</v>
      </c>
      <c r="C246">
        <v>0</v>
      </c>
      <c r="D246" t="s">
        <v>198</v>
      </c>
    </row>
    <row r="247" spans="1:4" x14ac:dyDescent="0.3">
      <c r="A247" t="s">
        <v>541</v>
      </c>
      <c r="B247" t="s">
        <v>542</v>
      </c>
      <c r="C247">
        <v>0</v>
      </c>
      <c r="D247" t="s">
        <v>198</v>
      </c>
    </row>
    <row r="248" spans="1:4" x14ac:dyDescent="0.3">
      <c r="A248" t="s">
        <v>543</v>
      </c>
      <c r="B248" t="s">
        <v>544</v>
      </c>
      <c r="C248">
        <v>0</v>
      </c>
      <c r="D248" t="s">
        <v>198</v>
      </c>
    </row>
    <row r="249" spans="1:4" x14ac:dyDescent="0.3">
      <c r="A249" t="s">
        <v>545</v>
      </c>
      <c r="B249" t="s">
        <v>546</v>
      </c>
      <c r="C249">
        <v>0</v>
      </c>
      <c r="D249" t="s">
        <v>198</v>
      </c>
    </row>
    <row r="250" spans="1:4" x14ac:dyDescent="0.3">
      <c r="A250" t="s">
        <v>547</v>
      </c>
      <c r="B250" t="s">
        <v>548</v>
      </c>
      <c r="C250">
        <v>0</v>
      </c>
      <c r="D250" t="s">
        <v>198</v>
      </c>
    </row>
    <row r="251" spans="1:4" x14ac:dyDescent="0.3">
      <c r="A251" t="s">
        <v>549</v>
      </c>
      <c r="B251" t="s">
        <v>550</v>
      </c>
      <c r="C251">
        <v>0</v>
      </c>
      <c r="D251" t="s">
        <v>198</v>
      </c>
    </row>
    <row r="252" spans="1:4" x14ac:dyDescent="0.3">
      <c r="A252" t="s">
        <v>551</v>
      </c>
      <c r="B252" t="s">
        <v>552</v>
      </c>
      <c r="C252">
        <v>0</v>
      </c>
      <c r="D252" t="s">
        <v>198</v>
      </c>
    </row>
    <row r="253" spans="1:4" x14ac:dyDescent="0.3">
      <c r="A253" t="s">
        <v>553</v>
      </c>
      <c r="B253" t="s">
        <v>554</v>
      </c>
      <c r="C253">
        <v>0</v>
      </c>
      <c r="D253" t="s">
        <v>198</v>
      </c>
    </row>
    <row r="254" spans="1:4" x14ac:dyDescent="0.3">
      <c r="A254" t="s">
        <v>555</v>
      </c>
      <c r="B254" t="s">
        <v>556</v>
      </c>
      <c r="C254">
        <v>0</v>
      </c>
      <c r="D254" t="s">
        <v>198</v>
      </c>
    </row>
    <row r="255" spans="1:4" x14ac:dyDescent="0.3">
      <c r="A255" t="s">
        <v>557</v>
      </c>
      <c r="B255" t="s">
        <v>558</v>
      </c>
      <c r="C255">
        <v>0</v>
      </c>
      <c r="D255" t="s">
        <v>198</v>
      </c>
    </row>
    <row r="256" spans="1:4" x14ac:dyDescent="0.3">
      <c r="A256" t="s">
        <v>559</v>
      </c>
      <c r="B256" t="s">
        <v>560</v>
      </c>
      <c r="C256">
        <v>0</v>
      </c>
      <c r="D256" t="s">
        <v>198</v>
      </c>
    </row>
    <row r="257" spans="1:4" x14ac:dyDescent="0.3">
      <c r="A257" t="s">
        <v>561</v>
      </c>
      <c r="B257" t="s">
        <v>562</v>
      </c>
      <c r="C257">
        <v>0</v>
      </c>
      <c r="D257" t="s">
        <v>198</v>
      </c>
    </row>
    <row r="258" spans="1:4" x14ac:dyDescent="0.3">
      <c r="A258" t="s">
        <v>563</v>
      </c>
      <c r="B258" t="s">
        <v>564</v>
      </c>
      <c r="C258">
        <v>0</v>
      </c>
      <c r="D258" t="s">
        <v>198</v>
      </c>
    </row>
    <row r="259" spans="1:4" x14ac:dyDescent="0.3">
      <c r="A259" t="s">
        <v>565</v>
      </c>
      <c r="B259" t="s">
        <v>566</v>
      </c>
      <c r="C259">
        <v>0</v>
      </c>
      <c r="D259" t="s">
        <v>198</v>
      </c>
    </row>
    <row r="260" spans="1:4" x14ac:dyDescent="0.3">
      <c r="A260" t="s">
        <v>567</v>
      </c>
      <c r="B260" t="s">
        <v>568</v>
      </c>
      <c r="C260">
        <v>0</v>
      </c>
      <c r="D260" t="s">
        <v>198</v>
      </c>
    </row>
    <row r="261" spans="1:4" x14ac:dyDescent="0.3">
      <c r="A261" t="s">
        <v>569</v>
      </c>
      <c r="B261" t="s">
        <v>570</v>
      </c>
      <c r="C261">
        <v>0</v>
      </c>
      <c r="D261" t="s">
        <v>198</v>
      </c>
    </row>
    <row r="262" spans="1:4" x14ac:dyDescent="0.3">
      <c r="A262" t="s">
        <v>571</v>
      </c>
      <c r="B262" t="s">
        <v>572</v>
      </c>
      <c r="C262">
        <v>0</v>
      </c>
      <c r="D262" t="s">
        <v>198</v>
      </c>
    </row>
    <row r="263" spans="1:4" x14ac:dyDescent="0.3">
      <c r="A263" t="s">
        <v>573</v>
      </c>
      <c r="B263" t="s">
        <v>574</v>
      </c>
      <c r="C263">
        <v>0</v>
      </c>
      <c r="D263" t="s">
        <v>198</v>
      </c>
    </row>
    <row r="264" spans="1:4" x14ac:dyDescent="0.3">
      <c r="A264" t="s">
        <v>575</v>
      </c>
      <c r="B264" t="s">
        <v>576</v>
      </c>
      <c r="C264">
        <v>0</v>
      </c>
      <c r="D264" t="s">
        <v>198</v>
      </c>
    </row>
    <row r="265" spans="1:4" x14ac:dyDescent="0.3">
      <c r="A265" t="s">
        <v>577</v>
      </c>
      <c r="B265" t="s">
        <v>578</v>
      </c>
      <c r="C265">
        <v>0</v>
      </c>
      <c r="D265" t="s">
        <v>198</v>
      </c>
    </row>
    <row r="266" spans="1:4" x14ac:dyDescent="0.3">
      <c r="A266" t="s">
        <v>579</v>
      </c>
      <c r="B266" t="s">
        <v>580</v>
      </c>
      <c r="C266">
        <v>0</v>
      </c>
      <c r="D266" t="s">
        <v>198</v>
      </c>
    </row>
    <row r="267" spans="1:4" x14ac:dyDescent="0.3">
      <c r="A267" t="s">
        <v>581</v>
      </c>
      <c r="B267" t="s">
        <v>582</v>
      </c>
      <c r="C267">
        <v>0</v>
      </c>
      <c r="D267" t="s">
        <v>198</v>
      </c>
    </row>
    <row r="268" spans="1:4" x14ac:dyDescent="0.3">
      <c r="A268" t="s">
        <v>583</v>
      </c>
      <c r="B268" t="s">
        <v>584</v>
      </c>
      <c r="C268">
        <v>0</v>
      </c>
      <c r="D268" t="s">
        <v>198</v>
      </c>
    </row>
    <row r="269" spans="1:4" x14ac:dyDescent="0.3">
      <c r="A269" t="s">
        <v>585</v>
      </c>
      <c r="B269" t="s">
        <v>586</v>
      </c>
      <c r="C269">
        <v>0</v>
      </c>
      <c r="D269" t="s">
        <v>198</v>
      </c>
    </row>
    <row r="270" spans="1:4" x14ac:dyDescent="0.3">
      <c r="A270" t="s">
        <v>587</v>
      </c>
      <c r="B270" t="s">
        <v>588</v>
      </c>
      <c r="C270">
        <v>0</v>
      </c>
      <c r="D270" t="s">
        <v>198</v>
      </c>
    </row>
    <row r="271" spans="1:4" x14ac:dyDescent="0.3">
      <c r="A271" t="s">
        <v>589</v>
      </c>
      <c r="B271" t="s">
        <v>590</v>
      </c>
      <c r="C271">
        <v>0</v>
      </c>
      <c r="D271" t="s">
        <v>198</v>
      </c>
    </row>
    <row r="272" spans="1:4" x14ac:dyDescent="0.3">
      <c r="A272" t="s">
        <v>591</v>
      </c>
      <c r="B272" t="s">
        <v>592</v>
      </c>
      <c r="C272">
        <v>0</v>
      </c>
      <c r="D272" t="s">
        <v>198</v>
      </c>
    </row>
    <row r="273" spans="1:4" x14ac:dyDescent="0.3">
      <c r="A273" t="s">
        <v>593</v>
      </c>
      <c r="B273" t="s">
        <v>594</v>
      </c>
      <c r="C273">
        <v>0</v>
      </c>
      <c r="D273" t="s">
        <v>198</v>
      </c>
    </row>
    <row r="274" spans="1:4" x14ac:dyDescent="0.3">
      <c r="A274" t="s">
        <v>595</v>
      </c>
      <c r="B274" t="s">
        <v>596</v>
      </c>
      <c r="C274">
        <v>0</v>
      </c>
      <c r="D274" t="s">
        <v>198</v>
      </c>
    </row>
    <row r="275" spans="1:4" x14ac:dyDescent="0.3">
      <c r="A275" t="s">
        <v>597</v>
      </c>
      <c r="B275" t="s">
        <v>598</v>
      </c>
      <c r="C275">
        <v>0</v>
      </c>
      <c r="D275" t="s">
        <v>198</v>
      </c>
    </row>
    <row r="276" spans="1:4" x14ac:dyDescent="0.3">
      <c r="A276" t="s">
        <v>599</v>
      </c>
      <c r="B276" t="s">
        <v>600</v>
      </c>
      <c r="C276">
        <v>0</v>
      </c>
      <c r="D276" t="s">
        <v>198</v>
      </c>
    </row>
    <row r="277" spans="1:4" x14ac:dyDescent="0.3">
      <c r="A277" t="s">
        <v>601</v>
      </c>
      <c r="B277" t="s">
        <v>602</v>
      </c>
      <c r="C277">
        <v>0</v>
      </c>
      <c r="D277" t="s">
        <v>198</v>
      </c>
    </row>
    <row r="278" spans="1:4" x14ac:dyDescent="0.3">
      <c r="A278" t="s">
        <v>603</v>
      </c>
      <c r="B278" t="s">
        <v>604</v>
      </c>
      <c r="C278">
        <v>0</v>
      </c>
      <c r="D278" t="s">
        <v>198</v>
      </c>
    </row>
    <row r="279" spans="1:4" x14ac:dyDescent="0.3">
      <c r="A279" t="s">
        <v>605</v>
      </c>
      <c r="B279" t="s">
        <v>606</v>
      </c>
      <c r="C279">
        <v>0</v>
      </c>
      <c r="D279" t="s">
        <v>198</v>
      </c>
    </row>
    <row r="280" spans="1:4" x14ac:dyDescent="0.3">
      <c r="A280" t="s">
        <v>607</v>
      </c>
      <c r="B280" t="s">
        <v>608</v>
      </c>
      <c r="C280">
        <v>0</v>
      </c>
      <c r="D280" t="s">
        <v>198</v>
      </c>
    </row>
    <row r="281" spans="1:4" x14ac:dyDescent="0.3">
      <c r="A281" t="s">
        <v>609</v>
      </c>
      <c r="B281" t="s">
        <v>610</v>
      </c>
      <c r="C281">
        <v>0</v>
      </c>
      <c r="D281" t="s">
        <v>198</v>
      </c>
    </row>
    <row r="282" spans="1:4" x14ac:dyDescent="0.3">
      <c r="A282" t="s">
        <v>611</v>
      </c>
      <c r="B282" t="s">
        <v>612</v>
      </c>
      <c r="C282">
        <v>0</v>
      </c>
      <c r="D282" t="s">
        <v>198</v>
      </c>
    </row>
    <row r="283" spans="1:4" x14ac:dyDescent="0.3">
      <c r="A283" t="s">
        <v>613</v>
      </c>
      <c r="B283" t="s">
        <v>614</v>
      </c>
      <c r="C283">
        <v>0</v>
      </c>
      <c r="D283" t="s">
        <v>198</v>
      </c>
    </row>
    <row r="285" spans="1:4" x14ac:dyDescent="0.3">
      <c r="C285">
        <v>2705</v>
      </c>
    </row>
    <row r="289" spans="3:3" x14ac:dyDescent="0.3">
      <c r="C289">
        <v>0</v>
      </c>
    </row>
    <row r="293" spans="3:3" x14ac:dyDescent="0.3">
      <c r="C293">
        <v>0</v>
      </c>
    </row>
    <row r="297" spans="3:3" x14ac:dyDescent="0.3">
      <c r="C297">
        <v>325</v>
      </c>
    </row>
    <row r="301" spans="3:3" x14ac:dyDescent="0.3">
      <c r="C301">
        <v>0</v>
      </c>
    </row>
    <row r="305" spans="3:3" x14ac:dyDescent="0.3">
      <c r="C305">
        <v>8835</v>
      </c>
    </row>
    <row r="309" spans="3:3" x14ac:dyDescent="0.3">
      <c r="C309">
        <v>928</v>
      </c>
    </row>
    <row r="313" spans="3:3" x14ac:dyDescent="0.3">
      <c r="C313">
        <v>588</v>
      </c>
    </row>
    <row r="317" spans="3:3" x14ac:dyDescent="0.3">
      <c r="C317">
        <v>821</v>
      </c>
    </row>
    <row r="321" spans="3:3" x14ac:dyDescent="0.3">
      <c r="C321">
        <v>377</v>
      </c>
    </row>
    <row r="325" spans="3:3" x14ac:dyDescent="0.3">
      <c r="C325">
        <v>10805</v>
      </c>
    </row>
    <row r="329" spans="3:3" x14ac:dyDescent="0.3">
      <c r="C329">
        <v>0</v>
      </c>
    </row>
    <row r="333" spans="3:3" x14ac:dyDescent="0.3">
      <c r="C333">
        <v>0</v>
      </c>
    </row>
    <row r="337" spans="3:3" x14ac:dyDescent="0.3">
      <c r="C337">
        <v>24103</v>
      </c>
    </row>
    <row r="341" spans="3:3" x14ac:dyDescent="0.3">
      <c r="C341">
        <v>0</v>
      </c>
    </row>
    <row r="345" spans="3:3" x14ac:dyDescent="0.3">
      <c r="C345">
        <v>575</v>
      </c>
    </row>
    <row r="349" spans="3:3" x14ac:dyDescent="0.3">
      <c r="C349">
        <v>44</v>
      </c>
    </row>
    <row r="353" spans="3:3" x14ac:dyDescent="0.3">
      <c r="C353">
        <v>89</v>
      </c>
    </row>
    <row r="357" spans="3:3" x14ac:dyDescent="0.3">
      <c r="C357">
        <v>199</v>
      </c>
    </row>
    <row r="361" spans="3:3" x14ac:dyDescent="0.3">
      <c r="C361">
        <v>408</v>
      </c>
    </row>
    <row r="365" spans="3:3" x14ac:dyDescent="0.3">
      <c r="C365">
        <v>365</v>
      </c>
    </row>
    <row r="369" spans="3:3" x14ac:dyDescent="0.3">
      <c r="C369">
        <v>14</v>
      </c>
    </row>
    <row r="373" spans="3:3" x14ac:dyDescent="0.3">
      <c r="C373">
        <v>48</v>
      </c>
    </row>
    <row r="377" spans="3:3" x14ac:dyDescent="0.3">
      <c r="C377">
        <v>40</v>
      </c>
    </row>
    <row r="381" spans="3:3" x14ac:dyDescent="0.3">
      <c r="C381">
        <v>0</v>
      </c>
    </row>
    <row r="385" spans="3:3" x14ac:dyDescent="0.3">
      <c r="C385">
        <v>0</v>
      </c>
    </row>
    <row r="389" spans="3:3" x14ac:dyDescent="0.3">
      <c r="C389">
        <v>48</v>
      </c>
    </row>
    <row r="393" spans="3:3" x14ac:dyDescent="0.3">
      <c r="C393">
        <v>1563</v>
      </c>
    </row>
    <row r="397" spans="3:3" x14ac:dyDescent="0.3">
      <c r="C397">
        <v>963</v>
      </c>
    </row>
    <row r="401" spans="3:3" x14ac:dyDescent="0.3">
      <c r="C401">
        <v>90</v>
      </c>
    </row>
    <row r="405" spans="3:3" x14ac:dyDescent="0.3">
      <c r="C405">
        <v>1047</v>
      </c>
    </row>
    <row r="409" spans="3:3" x14ac:dyDescent="0.3">
      <c r="C409">
        <v>5</v>
      </c>
    </row>
    <row r="413" spans="3:3" x14ac:dyDescent="0.3">
      <c r="C413">
        <v>0</v>
      </c>
    </row>
    <row r="417" spans="3:3" x14ac:dyDescent="0.3">
      <c r="C417">
        <v>152</v>
      </c>
    </row>
    <row r="421" spans="3:3" x14ac:dyDescent="0.3">
      <c r="C421">
        <v>14</v>
      </c>
    </row>
    <row r="425" spans="3:3" x14ac:dyDescent="0.3">
      <c r="C425">
        <v>94</v>
      </c>
    </row>
    <row r="429" spans="3:3" x14ac:dyDescent="0.3">
      <c r="C429">
        <v>588</v>
      </c>
    </row>
    <row r="433" spans="3:3" x14ac:dyDescent="0.3">
      <c r="C433">
        <v>0</v>
      </c>
    </row>
    <row r="437" spans="3:3" x14ac:dyDescent="0.3">
      <c r="C437">
        <v>5</v>
      </c>
    </row>
    <row r="441" spans="3:3" x14ac:dyDescent="0.3">
      <c r="C441">
        <v>417</v>
      </c>
    </row>
    <row r="445" spans="3:3" x14ac:dyDescent="0.3">
      <c r="C445">
        <v>6208</v>
      </c>
    </row>
    <row r="449" spans="3:3" x14ac:dyDescent="0.3">
      <c r="C449">
        <v>44</v>
      </c>
    </row>
    <row r="453" spans="3:3" x14ac:dyDescent="0.3">
      <c r="C453">
        <v>40</v>
      </c>
    </row>
    <row r="457" spans="3:3" x14ac:dyDescent="0.3">
      <c r="C457">
        <v>60</v>
      </c>
    </row>
    <row r="461" spans="3:3" x14ac:dyDescent="0.3">
      <c r="C461">
        <v>84</v>
      </c>
    </row>
    <row r="465" spans="3:3" x14ac:dyDescent="0.3">
      <c r="C465">
        <v>102</v>
      </c>
    </row>
    <row r="469" spans="3:3" x14ac:dyDescent="0.3">
      <c r="C469">
        <v>397</v>
      </c>
    </row>
    <row r="473" spans="3:3" x14ac:dyDescent="0.3">
      <c r="C473">
        <v>1147</v>
      </c>
    </row>
    <row r="477" spans="3:3" x14ac:dyDescent="0.3">
      <c r="C477">
        <v>1567</v>
      </c>
    </row>
    <row r="481" spans="3:3" x14ac:dyDescent="0.3">
      <c r="C481">
        <v>23</v>
      </c>
    </row>
    <row r="485" spans="3:3" x14ac:dyDescent="0.3">
      <c r="C485">
        <v>55432</v>
      </c>
    </row>
    <row r="489" spans="3:3" x14ac:dyDescent="0.3">
      <c r="C489">
        <v>0</v>
      </c>
    </row>
    <row r="493" spans="3:3" x14ac:dyDescent="0.3">
      <c r="C493">
        <v>290</v>
      </c>
    </row>
    <row r="497" spans="3:3" x14ac:dyDescent="0.3">
      <c r="C497">
        <v>48</v>
      </c>
    </row>
    <row r="501" spans="3:3" x14ac:dyDescent="0.3">
      <c r="C501">
        <v>2933</v>
      </c>
    </row>
    <row r="505" spans="3:3" x14ac:dyDescent="0.3">
      <c r="C505">
        <v>6956</v>
      </c>
    </row>
    <row r="509" spans="3:3" x14ac:dyDescent="0.3">
      <c r="C509">
        <v>545</v>
      </c>
    </row>
    <row r="513" spans="3:3" x14ac:dyDescent="0.3">
      <c r="C513">
        <v>8</v>
      </c>
    </row>
    <row r="517" spans="3:3" x14ac:dyDescent="0.3">
      <c r="C517">
        <v>0</v>
      </c>
    </row>
    <row r="521" spans="3:3" x14ac:dyDescent="0.3">
      <c r="C521">
        <v>550</v>
      </c>
    </row>
    <row r="525" spans="3:3" x14ac:dyDescent="0.3">
      <c r="C525">
        <v>552</v>
      </c>
    </row>
    <row r="529" spans="3:3" x14ac:dyDescent="0.3">
      <c r="C529">
        <v>0</v>
      </c>
    </row>
    <row r="533" spans="3:3" x14ac:dyDescent="0.3">
      <c r="C533">
        <v>-18</v>
      </c>
    </row>
    <row r="537" spans="3:3" x14ac:dyDescent="0.3">
      <c r="C537">
        <v>52</v>
      </c>
    </row>
    <row r="541" spans="3:3" x14ac:dyDescent="0.3">
      <c r="C541">
        <v>60</v>
      </c>
    </row>
    <row r="545" spans="3:3" x14ac:dyDescent="0.3">
      <c r="C545">
        <v>25</v>
      </c>
    </row>
    <row r="549" spans="3:3" x14ac:dyDescent="0.3">
      <c r="C549">
        <v>960</v>
      </c>
    </row>
    <row r="553" spans="3:3" x14ac:dyDescent="0.3">
      <c r="C553">
        <v>156</v>
      </c>
    </row>
    <row r="557" spans="3:3" x14ac:dyDescent="0.3">
      <c r="C557">
        <v>324</v>
      </c>
    </row>
    <row r="561" spans="3:3" x14ac:dyDescent="0.3">
      <c r="C561">
        <v>0</v>
      </c>
    </row>
    <row r="565" spans="3:3" x14ac:dyDescent="0.3">
      <c r="C565">
        <v>36037</v>
      </c>
    </row>
    <row r="569" spans="3:3" x14ac:dyDescent="0.3">
      <c r="C569">
        <v>42</v>
      </c>
    </row>
    <row r="573" spans="3:3" x14ac:dyDescent="0.3">
      <c r="C573">
        <v>0</v>
      </c>
    </row>
    <row r="577" spans="3:3" x14ac:dyDescent="0.3">
      <c r="C577">
        <v>0</v>
      </c>
    </row>
    <row r="581" spans="3:3" x14ac:dyDescent="0.3">
      <c r="C581">
        <v>0</v>
      </c>
    </row>
    <row r="585" spans="3:3" x14ac:dyDescent="0.3">
      <c r="C585">
        <v>120</v>
      </c>
    </row>
    <row r="589" spans="3:3" x14ac:dyDescent="0.3">
      <c r="C589">
        <v>0</v>
      </c>
    </row>
    <row r="593" spans="3:3" x14ac:dyDescent="0.3">
      <c r="C593">
        <v>0</v>
      </c>
    </row>
    <row r="597" spans="3:3" x14ac:dyDescent="0.3">
      <c r="C597">
        <v>48</v>
      </c>
    </row>
    <row r="601" spans="3:3" x14ac:dyDescent="0.3">
      <c r="C601">
        <v>0</v>
      </c>
    </row>
    <row r="605" spans="3:3" x14ac:dyDescent="0.3">
      <c r="C605">
        <v>0</v>
      </c>
    </row>
    <row r="609" spans="3:3" x14ac:dyDescent="0.3">
      <c r="C609">
        <v>1704</v>
      </c>
    </row>
    <row r="613" spans="3:3" x14ac:dyDescent="0.3">
      <c r="C613">
        <v>480</v>
      </c>
    </row>
    <row r="617" spans="3:3" x14ac:dyDescent="0.3">
      <c r="C617">
        <v>576</v>
      </c>
    </row>
    <row r="621" spans="3:3" x14ac:dyDescent="0.3">
      <c r="C621">
        <v>624</v>
      </c>
    </row>
    <row r="625" spans="3:3" x14ac:dyDescent="0.3">
      <c r="C625">
        <v>0</v>
      </c>
    </row>
    <row r="629" spans="3:3" x14ac:dyDescent="0.3">
      <c r="C629">
        <v>600</v>
      </c>
    </row>
    <row r="633" spans="3:3" x14ac:dyDescent="0.3">
      <c r="C633">
        <v>0</v>
      </c>
    </row>
    <row r="637" spans="3:3" x14ac:dyDescent="0.3">
      <c r="C637">
        <v>0</v>
      </c>
    </row>
    <row r="641" spans="3:3" x14ac:dyDescent="0.3">
      <c r="C641">
        <v>0</v>
      </c>
    </row>
    <row r="645" spans="3:3" x14ac:dyDescent="0.3">
      <c r="C645">
        <v>0</v>
      </c>
    </row>
    <row r="649" spans="3:3" x14ac:dyDescent="0.3">
      <c r="C649">
        <v>0</v>
      </c>
    </row>
    <row r="653" spans="3:3" x14ac:dyDescent="0.3">
      <c r="C653">
        <v>1872</v>
      </c>
    </row>
    <row r="657" spans="3:3" x14ac:dyDescent="0.3">
      <c r="C657">
        <v>0</v>
      </c>
    </row>
    <row r="661" spans="3:3" x14ac:dyDescent="0.3">
      <c r="C661">
        <v>1050</v>
      </c>
    </row>
    <row r="665" spans="3:3" x14ac:dyDescent="0.3">
      <c r="C665">
        <v>250</v>
      </c>
    </row>
    <row r="669" spans="3:3" x14ac:dyDescent="0.3">
      <c r="C669">
        <v>3150</v>
      </c>
    </row>
    <row r="673" spans="3:3" x14ac:dyDescent="0.3">
      <c r="C673">
        <v>0</v>
      </c>
    </row>
    <row r="677" spans="3:3" x14ac:dyDescent="0.3">
      <c r="C677">
        <v>850</v>
      </c>
    </row>
    <row r="681" spans="3:3" x14ac:dyDescent="0.3">
      <c r="C681">
        <v>1300</v>
      </c>
    </row>
    <row r="685" spans="3:3" x14ac:dyDescent="0.3">
      <c r="C685">
        <v>1850</v>
      </c>
    </row>
    <row r="689" spans="3:3" x14ac:dyDescent="0.3">
      <c r="C689">
        <v>0</v>
      </c>
    </row>
    <row r="693" spans="3:3" x14ac:dyDescent="0.3">
      <c r="C693">
        <v>450</v>
      </c>
    </row>
    <row r="697" spans="3:3" x14ac:dyDescent="0.3">
      <c r="C697">
        <v>850</v>
      </c>
    </row>
    <row r="701" spans="3:3" x14ac:dyDescent="0.3">
      <c r="C701">
        <v>950</v>
      </c>
    </row>
    <row r="705" spans="3:3" x14ac:dyDescent="0.3">
      <c r="C705">
        <v>600</v>
      </c>
    </row>
    <row r="709" spans="3:3" x14ac:dyDescent="0.3">
      <c r="C709">
        <v>500</v>
      </c>
    </row>
    <row r="713" spans="3:3" x14ac:dyDescent="0.3">
      <c r="C713">
        <v>0</v>
      </c>
    </row>
    <row r="717" spans="3:3" x14ac:dyDescent="0.3">
      <c r="C717">
        <v>400</v>
      </c>
    </row>
    <row r="721" spans="3:3" x14ac:dyDescent="0.3">
      <c r="C721">
        <v>8050</v>
      </c>
    </row>
    <row r="725" spans="3:3" x14ac:dyDescent="0.3">
      <c r="C725">
        <v>6550</v>
      </c>
    </row>
    <row r="729" spans="3:3" x14ac:dyDescent="0.3">
      <c r="C729">
        <v>450</v>
      </c>
    </row>
    <row r="733" spans="3:3" x14ac:dyDescent="0.3">
      <c r="C733">
        <v>300</v>
      </c>
    </row>
    <row r="737" spans="3:3" x14ac:dyDescent="0.3">
      <c r="C737">
        <v>3200</v>
      </c>
    </row>
    <row r="741" spans="3:3" x14ac:dyDescent="0.3">
      <c r="C741">
        <v>0</v>
      </c>
    </row>
    <row r="745" spans="3:3" x14ac:dyDescent="0.3">
      <c r="C745">
        <v>1000</v>
      </c>
    </row>
    <row r="749" spans="3:3" x14ac:dyDescent="0.3">
      <c r="C749">
        <v>0</v>
      </c>
    </row>
    <row r="753" spans="3:3" x14ac:dyDescent="0.3">
      <c r="C753">
        <v>2100</v>
      </c>
    </row>
    <row r="757" spans="3:3" x14ac:dyDescent="0.3">
      <c r="C757">
        <v>0</v>
      </c>
    </row>
    <row r="761" spans="3:3" x14ac:dyDescent="0.3">
      <c r="C761">
        <v>0</v>
      </c>
    </row>
    <row r="765" spans="3:3" x14ac:dyDescent="0.3">
      <c r="C765">
        <v>3816</v>
      </c>
    </row>
    <row r="769" spans="3:3" x14ac:dyDescent="0.3">
      <c r="C769">
        <v>3816</v>
      </c>
    </row>
    <row r="773" spans="3:3" x14ac:dyDescent="0.3">
      <c r="C773">
        <v>0</v>
      </c>
    </row>
    <row r="777" spans="3:3" x14ac:dyDescent="0.3">
      <c r="C777">
        <v>0</v>
      </c>
    </row>
    <row r="781" spans="3:3" x14ac:dyDescent="0.3">
      <c r="C781">
        <v>0</v>
      </c>
    </row>
    <row r="785" spans="3:3" x14ac:dyDescent="0.3">
      <c r="C785">
        <v>0</v>
      </c>
    </row>
    <row r="789" spans="3:3" x14ac:dyDescent="0.3">
      <c r="C789">
        <v>0</v>
      </c>
    </row>
    <row r="793" spans="3:3" x14ac:dyDescent="0.3">
      <c r="C793">
        <v>0</v>
      </c>
    </row>
    <row r="797" spans="3:3" x14ac:dyDescent="0.3">
      <c r="C797">
        <v>0</v>
      </c>
    </row>
    <row r="801" spans="3:3" x14ac:dyDescent="0.3">
      <c r="C801">
        <v>0</v>
      </c>
    </row>
    <row r="805" spans="3:3" x14ac:dyDescent="0.3">
      <c r="C805">
        <v>0</v>
      </c>
    </row>
    <row r="809" spans="3:3" x14ac:dyDescent="0.3">
      <c r="C809">
        <v>0</v>
      </c>
    </row>
    <row r="813" spans="3:3" x14ac:dyDescent="0.3">
      <c r="C813">
        <v>0</v>
      </c>
    </row>
    <row r="817" spans="3:3" x14ac:dyDescent="0.3">
      <c r="C817">
        <v>3120</v>
      </c>
    </row>
    <row r="821" spans="3:3" x14ac:dyDescent="0.3">
      <c r="C821">
        <v>2268</v>
      </c>
    </row>
    <row r="825" spans="3:3" x14ac:dyDescent="0.3">
      <c r="C825">
        <v>1260</v>
      </c>
    </row>
    <row r="829" spans="3:3" x14ac:dyDescent="0.3">
      <c r="C829">
        <v>2460</v>
      </c>
    </row>
    <row r="833" spans="3:3" x14ac:dyDescent="0.3">
      <c r="C833">
        <v>0</v>
      </c>
    </row>
    <row r="837" spans="3:3" x14ac:dyDescent="0.3">
      <c r="C837">
        <v>2616</v>
      </c>
    </row>
    <row r="841" spans="3:3" x14ac:dyDescent="0.3">
      <c r="C841">
        <v>2328</v>
      </c>
    </row>
    <row r="845" spans="3:3" x14ac:dyDescent="0.3">
      <c r="C845">
        <v>4296</v>
      </c>
    </row>
    <row r="849" spans="3:3" x14ac:dyDescent="0.3">
      <c r="C849">
        <v>6192</v>
      </c>
    </row>
    <row r="853" spans="3:3" x14ac:dyDescent="0.3">
      <c r="C853">
        <v>0</v>
      </c>
    </row>
    <row r="857" spans="3:3" x14ac:dyDescent="0.3">
      <c r="C857">
        <v>1920</v>
      </c>
    </row>
    <row r="861" spans="3:3" x14ac:dyDescent="0.3">
      <c r="C861">
        <v>1128</v>
      </c>
    </row>
    <row r="865" spans="3:3" x14ac:dyDescent="0.3">
      <c r="C865">
        <v>2568</v>
      </c>
    </row>
    <row r="869" spans="3:3" x14ac:dyDescent="0.3">
      <c r="C869">
        <v>0</v>
      </c>
    </row>
    <row r="873" spans="3:3" x14ac:dyDescent="0.3">
      <c r="C873">
        <v>1512</v>
      </c>
    </row>
    <row r="877" spans="3:3" x14ac:dyDescent="0.3">
      <c r="C877">
        <v>1176</v>
      </c>
    </row>
    <row r="881" spans="3:3" x14ac:dyDescent="0.3">
      <c r="C881">
        <v>288</v>
      </c>
    </row>
    <row r="885" spans="3:3" x14ac:dyDescent="0.3">
      <c r="C885">
        <v>0</v>
      </c>
    </row>
    <row r="889" spans="3:3" x14ac:dyDescent="0.3">
      <c r="C889">
        <v>0</v>
      </c>
    </row>
    <row r="893" spans="3:3" x14ac:dyDescent="0.3">
      <c r="C893">
        <v>0</v>
      </c>
    </row>
    <row r="897" spans="3:3" x14ac:dyDescent="0.3">
      <c r="C897">
        <v>0</v>
      </c>
    </row>
    <row r="901" spans="3:3" x14ac:dyDescent="0.3">
      <c r="C901">
        <v>0</v>
      </c>
    </row>
    <row r="905" spans="3:3" x14ac:dyDescent="0.3">
      <c r="C905">
        <v>0</v>
      </c>
    </row>
    <row r="909" spans="3:3" x14ac:dyDescent="0.3">
      <c r="C909">
        <v>1192</v>
      </c>
    </row>
    <row r="913" spans="3:3" x14ac:dyDescent="0.3">
      <c r="C913">
        <v>8</v>
      </c>
    </row>
    <row r="917" spans="3:3" x14ac:dyDescent="0.3">
      <c r="C917">
        <v>0</v>
      </c>
    </row>
    <row r="921" spans="3:3" x14ac:dyDescent="0.3">
      <c r="C921">
        <v>6</v>
      </c>
    </row>
    <row r="925" spans="3:3" x14ac:dyDescent="0.3">
      <c r="C925">
        <v>0</v>
      </c>
    </row>
    <row r="929" spans="3:3" x14ac:dyDescent="0.3">
      <c r="C929">
        <v>0</v>
      </c>
    </row>
    <row r="933" spans="3:3" x14ac:dyDescent="0.3">
      <c r="C933">
        <v>176</v>
      </c>
    </row>
    <row r="937" spans="3:3" x14ac:dyDescent="0.3">
      <c r="C937">
        <v>0</v>
      </c>
    </row>
    <row r="941" spans="3:3" x14ac:dyDescent="0.3">
      <c r="C941">
        <v>0</v>
      </c>
    </row>
    <row r="945" spans="3:3" x14ac:dyDescent="0.3">
      <c r="C945">
        <v>0</v>
      </c>
    </row>
    <row r="949" spans="3:3" x14ac:dyDescent="0.3">
      <c r="C949">
        <v>0</v>
      </c>
    </row>
    <row r="953" spans="3:3" x14ac:dyDescent="0.3">
      <c r="C953">
        <v>0</v>
      </c>
    </row>
    <row r="957" spans="3:3" x14ac:dyDescent="0.3">
      <c r="C957">
        <v>0</v>
      </c>
    </row>
    <row r="961" spans="3:3" x14ac:dyDescent="0.3">
      <c r="C961">
        <v>0</v>
      </c>
    </row>
    <row r="965" spans="3:3" x14ac:dyDescent="0.3">
      <c r="C965">
        <v>0</v>
      </c>
    </row>
    <row r="969" spans="3:3" x14ac:dyDescent="0.3">
      <c r="C969">
        <v>0</v>
      </c>
    </row>
    <row r="973" spans="3:3" x14ac:dyDescent="0.3">
      <c r="C973">
        <v>0</v>
      </c>
    </row>
    <row r="977" spans="3:3" x14ac:dyDescent="0.3">
      <c r="C977">
        <v>0</v>
      </c>
    </row>
    <row r="981" spans="3:3" x14ac:dyDescent="0.3">
      <c r="C981">
        <v>0</v>
      </c>
    </row>
    <row r="985" spans="3:3" x14ac:dyDescent="0.3">
      <c r="C985">
        <v>0</v>
      </c>
    </row>
    <row r="989" spans="3:3" x14ac:dyDescent="0.3">
      <c r="C989">
        <v>0</v>
      </c>
    </row>
    <row r="993" spans="3:3" x14ac:dyDescent="0.3">
      <c r="C993">
        <v>0</v>
      </c>
    </row>
    <row r="997" spans="3:3" x14ac:dyDescent="0.3">
      <c r="C997">
        <v>0</v>
      </c>
    </row>
    <row r="1001" spans="3:3" x14ac:dyDescent="0.3">
      <c r="C1001">
        <v>0</v>
      </c>
    </row>
    <row r="1005" spans="3:3" x14ac:dyDescent="0.3">
      <c r="C1005">
        <v>0</v>
      </c>
    </row>
    <row r="1009" spans="3:3" x14ac:dyDescent="0.3">
      <c r="C1009">
        <v>0</v>
      </c>
    </row>
    <row r="1013" spans="3:3" x14ac:dyDescent="0.3">
      <c r="C1013">
        <v>0</v>
      </c>
    </row>
    <row r="1017" spans="3:3" x14ac:dyDescent="0.3">
      <c r="C1017">
        <v>0</v>
      </c>
    </row>
    <row r="1021" spans="3:3" x14ac:dyDescent="0.3">
      <c r="C1021">
        <v>0</v>
      </c>
    </row>
    <row r="1025" spans="3:3" x14ac:dyDescent="0.3">
      <c r="C1025">
        <v>0</v>
      </c>
    </row>
    <row r="1029" spans="3:3" x14ac:dyDescent="0.3">
      <c r="C1029">
        <v>0</v>
      </c>
    </row>
    <row r="1033" spans="3:3" x14ac:dyDescent="0.3">
      <c r="C1033">
        <v>0</v>
      </c>
    </row>
    <row r="1037" spans="3:3" x14ac:dyDescent="0.3">
      <c r="C1037">
        <v>0</v>
      </c>
    </row>
    <row r="1041" spans="3:3" x14ac:dyDescent="0.3">
      <c r="C1041">
        <v>0</v>
      </c>
    </row>
    <row r="1045" spans="3:3" x14ac:dyDescent="0.3">
      <c r="C1045">
        <v>0</v>
      </c>
    </row>
    <row r="1049" spans="3:3" x14ac:dyDescent="0.3">
      <c r="C1049">
        <v>0</v>
      </c>
    </row>
    <row r="1053" spans="3:3" x14ac:dyDescent="0.3">
      <c r="C1053">
        <v>0</v>
      </c>
    </row>
    <row r="1057" spans="3:3" x14ac:dyDescent="0.3">
      <c r="C1057">
        <v>0</v>
      </c>
    </row>
    <row r="1061" spans="3:3" x14ac:dyDescent="0.3">
      <c r="C1061">
        <v>0</v>
      </c>
    </row>
    <row r="1065" spans="3:3" x14ac:dyDescent="0.3">
      <c r="C1065">
        <v>0</v>
      </c>
    </row>
    <row r="1069" spans="3:3" x14ac:dyDescent="0.3">
      <c r="C1069">
        <v>0</v>
      </c>
    </row>
    <row r="1073" spans="3:3" x14ac:dyDescent="0.3">
      <c r="C1073">
        <v>0</v>
      </c>
    </row>
    <row r="1077" spans="3:3" x14ac:dyDescent="0.3">
      <c r="C1077">
        <v>0</v>
      </c>
    </row>
    <row r="1081" spans="3:3" x14ac:dyDescent="0.3">
      <c r="C1081">
        <v>0</v>
      </c>
    </row>
    <row r="1085" spans="3:3" x14ac:dyDescent="0.3">
      <c r="C1085">
        <v>0</v>
      </c>
    </row>
    <row r="1089" spans="3:3" x14ac:dyDescent="0.3">
      <c r="C1089">
        <v>0</v>
      </c>
    </row>
    <row r="1093" spans="3:3" x14ac:dyDescent="0.3">
      <c r="C1093">
        <v>0</v>
      </c>
    </row>
    <row r="1097" spans="3:3" x14ac:dyDescent="0.3">
      <c r="C1097">
        <v>0</v>
      </c>
    </row>
    <row r="1101" spans="3:3" x14ac:dyDescent="0.3">
      <c r="C1101">
        <v>0</v>
      </c>
    </row>
    <row r="1105" spans="3:3" x14ac:dyDescent="0.3">
      <c r="C1105">
        <v>0</v>
      </c>
    </row>
    <row r="1109" spans="3:3" x14ac:dyDescent="0.3">
      <c r="C1109">
        <v>0</v>
      </c>
    </row>
    <row r="1113" spans="3:3" x14ac:dyDescent="0.3">
      <c r="C1113">
        <v>0</v>
      </c>
    </row>
    <row r="1117" spans="3:3" x14ac:dyDescent="0.3">
      <c r="C1117">
        <v>0</v>
      </c>
    </row>
    <row r="1121" spans="3:3" x14ac:dyDescent="0.3">
      <c r="C1121">
        <v>0</v>
      </c>
    </row>
    <row r="1125" spans="3:3" x14ac:dyDescent="0.3">
      <c r="C1125">
        <v>0</v>
      </c>
    </row>
    <row r="1129" spans="3:3" x14ac:dyDescent="0.3">
      <c r="C1129">
        <v>0</v>
      </c>
    </row>
    <row r="1133" spans="3:3" x14ac:dyDescent="0.3">
      <c r="C1133">
        <v>0</v>
      </c>
    </row>
    <row r="1137" spans="3:3" x14ac:dyDescent="0.3">
      <c r="C1137">
        <v>0</v>
      </c>
    </row>
    <row r="1141" spans="3:3" x14ac:dyDescent="0.3">
      <c r="C1141">
        <v>0</v>
      </c>
    </row>
    <row r="1145" spans="3:3" x14ac:dyDescent="0.3">
      <c r="C1145">
        <v>0</v>
      </c>
    </row>
    <row r="1149" spans="3:3" x14ac:dyDescent="0.3">
      <c r="C1149">
        <v>0</v>
      </c>
    </row>
    <row r="1153" spans="3:3" x14ac:dyDescent="0.3">
      <c r="C1153">
        <v>0</v>
      </c>
    </row>
    <row r="1157" spans="3:3" x14ac:dyDescent="0.3">
      <c r="C1157">
        <v>0</v>
      </c>
    </row>
    <row r="1161" spans="3:3" x14ac:dyDescent="0.3">
      <c r="C1161">
        <v>0</v>
      </c>
    </row>
    <row r="1165" spans="3:3" x14ac:dyDescent="0.3">
      <c r="C1165">
        <v>0</v>
      </c>
    </row>
    <row r="1169" spans="3:3" x14ac:dyDescent="0.3">
      <c r="C1169">
        <v>0</v>
      </c>
    </row>
    <row r="1173" spans="3:3" x14ac:dyDescent="0.3">
      <c r="C1173">
        <v>0</v>
      </c>
    </row>
    <row r="1177" spans="3:3" x14ac:dyDescent="0.3">
      <c r="C1177">
        <v>0</v>
      </c>
    </row>
    <row r="1181" spans="3:3" x14ac:dyDescent="0.3">
      <c r="C1181">
        <v>0</v>
      </c>
    </row>
    <row r="1185" spans="3:3" x14ac:dyDescent="0.3">
      <c r="C1185">
        <v>0</v>
      </c>
    </row>
    <row r="1189" spans="3:3" x14ac:dyDescent="0.3">
      <c r="C1189">
        <v>0</v>
      </c>
    </row>
    <row r="1193" spans="3:3" x14ac:dyDescent="0.3">
      <c r="C1193">
        <v>0</v>
      </c>
    </row>
    <row r="1197" spans="3:3" x14ac:dyDescent="0.3">
      <c r="C1197">
        <v>0</v>
      </c>
    </row>
    <row r="1201" spans="3:3" x14ac:dyDescent="0.3">
      <c r="C1201">
        <v>0</v>
      </c>
    </row>
    <row r="1205" spans="3:3" x14ac:dyDescent="0.3">
      <c r="C1205">
        <v>0</v>
      </c>
    </row>
    <row r="1209" spans="3:3" x14ac:dyDescent="0.3">
      <c r="C1209">
        <v>0</v>
      </c>
    </row>
    <row r="1213" spans="3:3" x14ac:dyDescent="0.3">
      <c r="C1213">
        <v>0</v>
      </c>
    </row>
    <row r="1217" spans="3:3" x14ac:dyDescent="0.3">
      <c r="C1217">
        <v>0</v>
      </c>
    </row>
    <row r="1221" spans="3:3" x14ac:dyDescent="0.3">
      <c r="C1221">
        <v>0</v>
      </c>
    </row>
    <row r="1225" spans="3:3" x14ac:dyDescent="0.3">
      <c r="C1225">
        <v>0</v>
      </c>
    </row>
    <row r="1229" spans="3:3" x14ac:dyDescent="0.3">
      <c r="C1229">
        <v>0</v>
      </c>
    </row>
    <row r="1233" spans="3:3" x14ac:dyDescent="0.3">
      <c r="C1233">
        <v>0</v>
      </c>
    </row>
    <row r="1237" spans="3:3" x14ac:dyDescent="0.3">
      <c r="C1237">
        <v>0</v>
      </c>
    </row>
    <row r="1241" spans="3:3" x14ac:dyDescent="0.3">
      <c r="C1241">
        <v>0</v>
      </c>
    </row>
    <row r="1245" spans="3:3" x14ac:dyDescent="0.3">
      <c r="C1245">
        <v>0</v>
      </c>
    </row>
    <row r="1249" spans="3:3" x14ac:dyDescent="0.3">
      <c r="C1249">
        <v>0</v>
      </c>
    </row>
    <row r="1253" spans="3:3" x14ac:dyDescent="0.3">
      <c r="C1253">
        <v>0</v>
      </c>
    </row>
    <row r="1257" spans="3:3" x14ac:dyDescent="0.3">
      <c r="C1257">
        <v>0</v>
      </c>
    </row>
    <row r="1261" spans="3:3" x14ac:dyDescent="0.3">
      <c r="C1261">
        <v>0</v>
      </c>
    </row>
    <row r="1265" spans="3:3" x14ac:dyDescent="0.3">
      <c r="C1265">
        <v>0</v>
      </c>
    </row>
    <row r="1269" spans="3:3" x14ac:dyDescent="0.3">
      <c r="C1269">
        <v>0</v>
      </c>
    </row>
    <row r="1273" spans="3:3" x14ac:dyDescent="0.3">
      <c r="C1273">
        <v>0</v>
      </c>
    </row>
    <row r="1277" spans="3:3" x14ac:dyDescent="0.3">
      <c r="C1277">
        <v>0</v>
      </c>
    </row>
    <row r="1281" spans="3:3" x14ac:dyDescent="0.3">
      <c r="C1281">
        <v>0</v>
      </c>
    </row>
    <row r="1285" spans="3:3" x14ac:dyDescent="0.3">
      <c r="C1285">
        <v>0</v>
      </c>
    </row>
    <row r="1289" spans="3:3" x14ac:dyDescent="0.3">
      <c r="C1289">
        <v>0</v>
      </c>
    </row>
    <row r="1293" spans="3:3" x14ac:dyDescent="0.3">
      <c r="C1293">
        <v>0</v>
      </c>
    </row>
    <row r="1297" spans="3:3" x14ac:dyDescent="0.3">
      <c r="C1297">
        <v>0</v>
      </c>
    </row>
    <row r="1301" spans="3:3" x14ac:dyDescent="0.3">
      <c r="C1301">
        <v>0</v>
      </c>
    </row>
    <row r="1305" spans="3:3" x14ac:dyDescent="0.3">
      <c r="C1305">
        <v>0</v>
      </c>
    </row>
    <row r="1309" spans="3:3" x14ac:dyDescent="0.3">
      <c r="C1309">
        <v>0</v>
      </c>
    </row>
    <row r="1313" spans="3:3" x14ac:dyDescent="0.3">
      <c r="C1313">
        <v>0</v>
      </c>
    </row>
    <row r="1317" spans="3:3" x14ac:dyDescent="0.3">
      <c r="C1317">
        <v>0</v>
      </c>
    </row>
    <row r="1321" spans="3:3" x14ac:dyDescent="0.3">
      <c r="C1321">
        <v>0</v>
      </c>
    </row>
    <row r="1325" spans="3:3" x14ac:dyDescent="0.3">
      <c r="C1325">
        <v>0</v>
      </c>
    </row>
    <row r="1329" spans="3:3" x14ac:dyDescent="0.3">
      <c r="C1329">
        <v>0</v>
      </c>
    </row>
    <row r="1333" spans="3:3" x14ac:dyDescent="0.3">
      <c r="C1333">
        <v>0</v>
      </c>
    </row>
    <row r="1337" spans="3:3" x14ac:dyDescent="0.3">
      <c r="C1337">
        <v>0</v>
      </c>
    </row>
    <row r="1341" spans="3:3" x14ac:dyDescent="0.3">
      <c r="C1341">
        <v>0</v>
      </c>
    </row>
    <row r="1345" spans="3:3" x14ac:dyDescent="0.3">
      <c r="C1345">
        <v>0</v>
      </c>
    </row>
    <row r="1349" spans="3:3" x14ac:dyDescent="0.3">
      <c r="C1349">
        <v>0</v>
      </c>
    </row>
    <row r="1353" spans="3:3" x14ac:dyDescent="0.3">
      <c r="C1353">
        <v>0</v>
      </c>
    </row>
    <row r="1357" spans="3:3" x14ac:dyDescent="0.3">
      <c r="C1357">
        <v>0</v>
      </c>
    </row>
    <row r="1361" spans="3:3" x14ac:dyDescent="0.3">
      <c r="C1361">
        <v>0</v>
      </c>
    </row>
    <row r="1365" spans="3:3" x14ac:dyDescent="0.3">
      <c r="C1365">
        <v>0</v>
      </c>
    </row>
    <row r="1369" spans="3:3" x14ac:dyDescent="0.3">
      <c r="C1369">
        <v>0</v>
      </c>
    </row>
    <row r="1373" spans="3:3" x14ac:dyDescent="0.3">
      <c r="C1373">
        <v>0</v>
      </c>
    </row>
    <row r="1377" spans="3:3" x14ac:dyDescent="0.3">
      <c r="C1377">
        <v>0</v>
      </c>
    </row>
    <row r="1381" spans="3:3" x14ac:dyDescent="0.3">
      <c r="C1381">
        <v>0</v>
      </c>
    </row>
    <row r="1385" spans="3:3" x14ac:dyDescent="0.3">
      <c r="C1385">
        <v>0</v>
      </c>
    </row>
    <row r="1389" spans="3:3" x14ac:dyDescent="0.3">
      <c r="C1389">
        <v>0</v>
      </c>
    </row>
    <row r="1393" spans="3:3" x14ac:dyDescent="0.3">
      <c r="C1393">
        <v>0</v>
      </c>
    </row>
    <row r="1397" spans="3:3" x14ac:dyDescent="0.3">
      <c r="C1397">
        <v>0</v>
      </c>
    </row>
    <row r="1401" spans="3:3" x14ac:dyDescent="0.3">
      <c r="C1401">
        <v>0</v>
      </c>
    </row>
    <row r="1405" spans="3:3" x14ac:dyDescent="0.3">
      <c r="C1405">
        <v>0</v>
      </c>
    </row>
    <row r="1409" spans="3:3" x14ac:dyDescent="0.3">
      <c r="C1409">
        <v>0</v>
      </c>
    </row>
    <row r="1413" spans="3:3" x14ac:dyDescent="0.3">
      <c r="C1413">
        <v>0</v>
      </c>
    </row>
    <row r="1417" spans="3:3" x14ac:dyDescent="0.3">
      <c r="C1417">
        <v>0</v>
      </c>
    </row>
    <row r="1421" spans="3:3" x14ac:dyDescent="0.3">
      <c r="C1421">
        <v>0</v>
      </c>
    </row>
    <row r="1423" spans="3:3" x14ac:dyDescent="0.3">
      <c r="C1423">
        <v>252899</v>
      </c>
    </row>
  </sheetData>
  <autoFilter ref="A1:D1439" xr:uid="{839BD03B-F444-4862-B1C4-F6722EF2E0A5}"/>
  <sortState ref="A2:D1424">
    <sortCondition ref="A2:A1424"/>
  </sortState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OrgDatos">
                <anchor>
                  <from>
                    <xdr:col>6</xdr:col>
                    <xdr:colOff>7620</xdr:colOff>
                    <xdr:row>2</xdr:row>
                    <xdr:rowOff>0</xdr:rowOff>
                  </from>
                  <to>
                    <xdr:col>7</xdr:col>
                    <xdr:colOff>754380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D58F7-3E54-4112-A074-7C74B852026C}">
  <sheetPr codeName="Hoja6"/>
  <dimension ref="A1:D1423"/>
  <sheetViews>
    <sheetView showGridLines="0" workbookViewId="0">
      <selection activeCell="K14" sqref="K14"/>
    </sheetView>
  </sheetViews>
  <sheetFormatPr baseColWidth="10" defaultRowHeight="12.75" customHeight="1" x14ac:dyDescent="0.3"/>
  <cols>
    <col min="1" max="1" width="11" style="41" bestFit="1" customWidth="1"/>
    <col min="2" max="2" width="66.88671875" style="41" bestFit="1" customWidth="1"/>
    <col min="3" max="3" width="8.88671875" style="41" bestFit="1" customWidth="1"/>
    <col min="4" max="4" width="9.5546875" style="41" bestFit="1" customWidth="1"/>
    <col min="5" max="220" width="6.88671875" style="41" customWidth="1"/>
    <col min="221" max="221" width="18" style="41" bestFit="1" customWidth="1"/>
    <col min="222" max="222" width="19.88671875" style="41" bestFit="1" customWidth="1"/>
    <col min="223" max="223" width="69.6640625" style="41" bestFit="1" customWidth="1"/>
    <col min="224" max="224" width="11.6640625" style="41" bestFit="1" customWidth="1"/>
    <col min="225" max="476" width="6.88671875" style="41" customWidth="1"/>
    <col min="477" max="477" width="18" style="41" bestFit="1" customWidth="1"/>
    <col min="478" max="478" width="19.88671875" style="41" bestFit="1" customWidth="1"/>
    <col min="479" max="479" width="69.6640625" style="41" bestFit="1" customWidth="1"/>
    <col min="480" max="480" width="11.6640625" style="41" bestFit="1" customWidth="1"/>
    <col min="481" max="732" width="6.88671875" style="41" customWidth="1"/>
    <col min="733" max="733" width="18" style="41" bestFit="1" customWidth="1"/>
    <col min="734" max="734" width="19.88671875" style="41" bestFit="1" customWidth="1"/>
    <col min="735" max="735" width="69.6640625" style="41" bestFit="1" customWidth="1"/>
    <col min="736" max="736" width="11.6640625" style="41" bestFit="1" customWidth="1"/>
    <col min="737" max="988" width="6.88671875" style="41" customWidth="1"/>
    <col min="989" max="989" width="18" style="41" bestFit="1" customWidth="1"/>
    <col min="990" max="990" width="19.88671875" style="41" bestFit="1" customWidth="1"/>
    <col min="991" max="991" width="69.6640625" style="41" bestFit="1" customWidth="1"/>
    <col min="992" max="992" width="11.6640625" style="41" bestFit="1" customWidth="1"/>
    <col min="993" max="1244" width="6.88671875" style="41" customWidth="1"/>
    <col min="1245" max="1245" width="18" style="41" bestFit="1" customWidth="1"/>
    <col min="1246" max="1246" width="19.88671875" style="41" bestFit="1" customWidth="1"/>
    <col min="1247" max="1247" width="69.6640625" style="41" bestFit="1" customWidth="1"/>
    <col min="1248" max="1248" width="11.6640625" style="41" bestFit="1" customWidth="1"/>
    <col min="1249" max="1500" width="6.88671875" style="41" customWidth="1"/>
    <col min="1501" max="1501" width="18" style="41" bestFit="1" customWidth="1"/>
    <col min="1502" max="1502" width="19.88671875" style="41" bestFit="1" customWidth="1"/>
    <col min="1503" max="1503" width="69.6640625" style="41" bestFit="1" customWidth="1"/>
    <col min="1504" max="1504" width="11.6640625" style="41" bestFit="1" customWidth="1"/>
    <col min="1505" max="1756" width="6.88671875" style="41" customWidth="1"/>
    <col min="1757" max="1757" width="18" style="41" bestFit="1" customWidth="1"/>
    <col min="1758" max="1758" width="19.88671875" style="41" bestFit="1" customWidth="1"/>
    <col min="1759" max="1759" width="69.6640625" style="41" bestFit="1" customWidth="1"/>
    <col min="1760" max="1760" width="11.6640625" style="41" bestFit="1" customWidth="1"/>
    <col min="1761" max="2012" width="6.88671875" style="41" customWidth="1"/>
    <col min="2013" max="2013" width="18" style="41" bestFit="1" customWidth="1"/>
    <col min="2014" max="2014" width="19.88671875" style="41" bestFit="1" customWidth="1"/>
    <col min="2015" max="2015" width="69.6640625" style="41" bestFit="1" customWidth="1"/>
    <col min="2016" max="2016" width="11.6640625" style="41" bestFit="1" customWidth="1"/>
    <col min="2017" max="2268" width="6.88671875" style="41" customWidth="1"/>
    <col min="2269" max="2269" width="18" style="41" bestFit="1" customWidth="1"/>
    <col min="2270" max="2270" width="19.88671875" style="41" bestFit="1" customWidth="1"/>
    <col min="2271" max="2271" width="69.6640625" style="41" bestFit="1" customWidth="1"/>
    <col min="2272" max="2272" width="11.6640625" style="41" bestFit="1" customWidth="1"/>
    <col min="2273" max="2524" width="6.88671875" style="41" customWidth="1"/>
    <col min="2525" max="2525" width="18" style="41" bestFit="1" customWidth="1"/>
    <col min="2526" max="2526" width="19.88671875" style="41" bestFit="1" customWidth="1"/>
    <col min="2527" max="2527" width="69.6640625" style="41" bestFit="1" customWidth="1"/>
    <col min="2528" max="2528" width="11.6640625" style="41" bestFit="1" customWidth="1"/>
    <col min="2529" max="2780" width="6.88671875" style="41" customWidth="1"/>
    <col min="2781" max="2781" width="18" style="41" bestFit="1" customWidth="1"/>
    <col min="2782" max="2782" width="19.88671875" style="41" bestFit="1" customWidth="1"/>
    <col min="2783" max="2783" width="69.6640625" style="41" bestFit="1" customWidth="1"/>
    <col min="2784" max="2784" width="11.6640625" style="41" bestFit="1" customWidth="1"/>
    <col min="2785" max="3036" width="6.88671875" style="41" customWidth="1"/>
    <col min="3037" max="3037" width="18" style="41" bestFit="1" customWidth="1"/>
    <col min="3038" max="3038" width="19.88671875" style="41" bestFit="1" customWidth="1"/>
    <col min="3039" max="3039" width="69.6640625" style="41" bestFit="1" customWidth="1"/>
    <col min="3040" max="3040" width="11.6640625" style="41" bestFit="1" customWidth="1"/>
    <col min="3041" max="3292" width="6.88671875" style="41" customWidth="1"/>
    <col min="3293" max="3293" width="18" style="41" bestFit="1" customWidth="1"/>
    <col min="3294" max="3294" width="19.88671875" style="41" bestFit="1" customWidth="1"/>
    <col min="3295" max="3295" width="69.6640625" style="41" bestFit="1" customWidth="1"/>
    <col min="3296" max="3296" width="11.6640625" style="41" bestFit="1" customWidth="1"/>
    <col min="3297" max="3548" width="6.88671875" style="41" customWidth="1"/>
    <col min="3549" max="3549" width="18" style="41" bestFit="1" customWidth="1"/>
    <col min="3550" max="3550" width="19.88671875" style="41" bestFit="1" customWidth="1"/>
    <col min="3551" max="3551" width="69.6640625" style="41" bestFit="1" customWidth="1"/>
    <col min="3552" max="3552" width="11.6640625" style="41" bestFit="1" customWidth="1"/>
    <col min="3553" max="3804" width="6.88671875" style="41" customWidth="1"/>
    <col min="3805" max="3805" width="18" style="41" bestFit="1" customWidth="1"/>
    <col min="3806" max="3806" width="19.88671875" style="41" bestFit="1" customWidth="1"/>
    <col min="3807" max="3807" width="69.6640625" style="41" bestFit="1" customWidth="1"/>
    <col min="3808" max="3808" width="11.6640625" style="41" bestFit="1" customWidth="1"/>
    <col min="3809" max="4060" width="6.88671875" style="41" customWidth="1"/>
    <col min="4061" max="4061" width="18" style="41" bestFit="1" customWidth="1"/>
    <col min="4062" max="4062" width="19.88671875" style="41" bestFit="1" customWidth="1"/>
    <col min="4063" max="4063" width="69.6640625" style="41" bestFit="1" customWidth="1"/>
    <col min="4064" max="4064" width="11.6640625" style="41" bestFit="1" customWidth="1"/>
    <col min="4065" max="4316" width="6.88671875" style="41" customWidth="1"/>
    <col min="4317" max="4317" width="18" style="41" bestFit="1" customWidth="1"/>
    <col min="4318" max="4318" width="19.88671875" style="41" bestFit="1" customWidth="1"/>
    <col min="4319" max="4319" width="69.6640625" style="41" bestFit="1" customWidth="1"/>
    <col min="4320" max="4320" width="11.6640625" style="41" bestFit="1" customWidth="1"/>
    <col min="4321" max="4572" width="6.88671875" style="41" customWidth="1"/>
    <col min="4573" max="4573" width="18" style="41" bestFit="1" customWidth="1"/>
    <col min="4574" max="4574" width="19.88671875" style="41" bestFit="1" customWidth="1"/>
    <col min="4575" max="4575" width="69.6640625" style="41" bestFit="1" customWidth="1"/>
    <col min="4576" max="4576" width="11.6640625" style="41" bestFit="1" customWidth="1"/>
    <col min="4577" max="4828" width="6.88671875" style="41" customWidth="1"/>
    <col min="4829" max="4829" width="18" style="41" bestFit="1" customWidth="1"/>
    <col min="4830" max="4830" width="19.88671875" style="41" bestFit="1" customWidth="1"/>
    <col min="4831" max="4831" width="69.6640625" style="41" bestFit="1" customWidth="1"/>
    <col min="4832" max="4832" width="11.6640625" style="41" bestFit="1" customWidth="1"/>
    <col min="4833" max="5084" width="6.88671875" style="41" customWidth="1"/>
    <col min="5085" max="5085" width="18" style="41" bestFit="1" customWidth="1"/>
    <col min="5086" max="5086" width="19.88671875" style="41" bestFit="1" customWidth="1"/>
    <col min="5087" max="5087" width="69.6640625" style="41" bestFit="1" customWidth="1"/>
    <col min="5088" max="5088" width="11.6640625" style="41" bestFit="1" customWidth="1"/>
    <col min="5089" max="5340" width="6.88671875" style="41" customWidth="1"/>
    <col min="5341" max="5341" width="18" style="41" bestFit="1" customWidth="1"/>
    <col min="5342" max="5342" width="19.88671875" style="41" bestFit="1" customWidth="1"/>
    <col min="5343" max="5343" width="69.6640625" style="41" bestFit="1" customWidth="1"/>
    <col min="5344" max="5344" width="11.6640625" style="41" bestFit="1" customWidth="1"/>
    <col min="5345" max="5596" width="6.88671875" style="41" customWidth="1"/>
    <col min="5597" max="5597" width="18" style="41" bestFit="1" customWidth="1"/>
    <col min="5598" max="5598" width="19.88671875" style="41" bestFit="1" customWidth="1"/>
    <col min="5599" max="5599" width="69.6640625" style="41" bestFit="1" customWidth="1"/>
    <col min="5600" max="5600" width="11.6640625" style="41" bestFit="1" customWidth="1"/>
    <col min="5601" max="5852" width="6.88671875" style="41" customWidth="1"/>
    <col min="5853" max="5853" width="18" style="41" bestFit="1" customWidth="1"/>
    <col min="5854" max="5854" width="19.88671875" style="41" bestFit="1" customWidth="1"/>
    <col min="5855" max="5855" width="69.6640625" style="41" bestFit="1" customWidth="1"/>
    <col min="5856" max="5856" width="11.6640625" style="41" bestFit="1" customWidth="1"/>
    <col min="5857" max="6108" width="6.88671875" style="41" customWidth="1"/>
    <col min="6109" max="6109" width="18" style="41" bestFit="1" customWidth="1"/>
    <col min="6110" max="6110" width="19.88671875" style="41" bestFit="1" customWidth="1"/>
    <col min="6111" max="6111" width="69.6640625" style="41" bestFit="1" customWidth="1"/>
    <col min="6112" max="6112" width="11.6640625" style="41" bestFit="1" customWidth="1"/>
    <col min="6113" max="6364" width="6.88671875" style="41" customWidth="1"/>
    <col min="6365" max="6365" width="18" style="41" bestFit="1" customWidth="1"/>
    <col min="6366" max="6366" width="19.88671875" style="41" bestFit="1" customWidth="1"/>
    <col min="6367" max="6367" width="69.6640625" style="41" bestFit="1" customWidth="1"/>
    <col min="6368" max="6368" width="11.6640625" style="41" bestFit="1" customWidth="1"/>
    <col min="6369" max="6620" width="6.88671875" style="41" customWidth="1"/>
    <col min="6621" max="6621" width="18" style="41" bestFit="1" customWidth="1"/>
    <col min="6622" max="6622" width="19.88671875" style="41" bestFit="1" customWidth="1"/>
    <col min="6623" max="6623" width="69.6640625" style="41" bestFit="1" customWidth="1"/>
    <col min="6624" max="6624" width="11.6640625" style="41" bestFit="1" customWidth="1"/>
    <col min="6625" max="6876" width="6.88671875" style="41" customWidth="1"/>
    <col min="6877" max="6877" width="18" style="41" bestFit="1" customWidth="1"/>
    <col min="6878" max="6878" width="19.88671875" style="41" bestFit="1" customWidth="1"/>
    <col min="6879" max="6879" width="69.6640625" style="41" bestFit="1" customWidth="1"/>
    <col min="6880" max="6880" width="11.6640625" style="41" bestFit="1" customWidth="1"/>
    <col min="6881" max="7132" width="6.88671875" style="41" customWidth="1"/>
    <col min="7133" max="7133" width="18" style="41" bestFit="1" customWidth="1"/>
    <col min="7134" max="7134" width="19.88671875" style="41" bestFit="1" customWidth="1"/>
    <col min="7135" max="7135" width="69.6640625" style="41" bestFit="1" customWidth="1"/>
    <col min="7136" max="7136" width="11.6640625" style="41" bestFit="1" customWidth="1"/>
    <col min="7137" max="7388" width="6.88671875" style="41" customWidth="1"/>
    <col min="7389" max="7389" width="18" style="41" bestFit="1" customWidth="1"/>
    <col min="7390" max="7390" width="19.88671875" style="41" bestFit="1" customWidth="1"/>
    <col min="7391" max="7391" width="69.6640625" style="41" bestFit="1" customWidth="1"/>
    <col min="7392" max="7392" width="11.6640625" style="41" bestFit="1" customWidth="1"/>
    <col min="7393" max="7644" width="6.88671875" style="41" customWidth="1"/>
    <col min="7645" max="7645" width="18" style="41" bestFit="1" customWidth="1"/>
    <col min="7646" max="7646" width="19.88671875" style="41" bestFit="1" customWidth="1"/>
    <col min="7647" max="7647" width="69.6640625" style="41" bestFit="1" customWidth="1"/>
    <col min="7648" max="7648" width="11.6640625" style="41" bestFit="1" customWidth="1"/>
    <col min="7649" max="7900" width="6.88671875" style="41" customWidth="1"/>
    <col min="7901" max="7901" width="18" style="41" bestFit="1" customWidth="1"/>
    <col min="7902" max="7902" width="19.88671875" style="41" bestFit="1" customWidth="1"/>
    <col min="7903" max="7903" width="69.6640625" style="41" bestFit="1" customWidth="1"/>
    <col min="7904" max="7904" width="11.6640625" style="41" bestFit="1" customWidth="1"/>
    <col min="7905" max="8156" width="6.88671875" style="41" customWidth="1"/>
    <col min="8157" max="8157" width="18" style="41" bestFit="1" customWidth="1"/>
    <col min="8158" max="8158" width="19.88671875" style="41" bestFit="1" customWidth="1"/>
    <col min="8159" max="8159" width="69.6640625" style="41" bestFit="1" customWidth="1"/>
    <col min="8160" max="8160" width="11.6640625" style="41" bestFit="1" customWidth="1"/>
    <col min="8161" max="8412" width="6.88671875" style="41" customWidth="1"/>
    <col min="8413" max="8413" width="18" style="41" bestFit="1" customWidth="1"/>
    <col min="8414" max="8414" width="19.88671875" style="41" bestFit="1" customWidth="1"/>
    <col min="8415" max="8415" width="69.6640625" style="41" bestFit="1" customWidth="1"/>
    <col min="8416" max="8416" width="11.6640625" style="41" bestFit="1" customWidth="1"/>
    <col min="8417" max="8668" width="6.88671875" style="41" customWidth="1"/>
    <col min="8669" max="8669" width="18" style="41" bestFit="1" customWidth="1"/>
    <col min="8670" max="8670" width="19.88671875" style="41" bestFit="1" customWidth="1"/>
    <col min="8671" max="8671" width="69.6640625" style="41" bestFit="1" customWidth="1"/>
    <col min="8672" max="8672" width="11.6640625" style="41" bestFit="1" customWidth="1"/>
    <col min="8673" max="8924" width="6.88671875" style="41" customWidth="1"/>
    <col min="8925" max="8925" width="18" style="41" bestFit="1" customWidth="1"/>
    <col min="8926" max="8926" width="19.88671875" style="41" bestFit="1" customWidth="1"/>
    <col min="8927" max="8927" width="69.6640625" style="41" bestFit="1" customWidth="1"/>
    <col min="8928" max="8928" width="11.6640625" style="41" bestFit="1" customWidth="1"/>
    <col min="8929" max="9180" width="6.88671875" style="41" customWidth="1"/>
    <col min="9181" max="9181" width="18" style="41" bestFit="1" customWidth="1"/>
    <col min="9182" max="9182" width="19.88671875" style="41" bestFit="1" customWidth="1"/>
    <col min="9183" max="9183" width="69.6640625" style="41" bestFit="1" customWidth="1"/>
    <col min="9184" max="9184" width="11.6640625" style="41" bestFit="1" customWidth="1"/>
    <col min="9185" max="9436" width="6.88671875" style="41" customWidth="1"/>
    <col min="9437" max="9437" width="18" style="41" bestFit="1" customWidth="1"/>
    <col min="9438" max="9438" width="19.88671875" style="41" bestFit="1" customWidth="1"/>
    <col min="9439" max="9439" width="69.6640625" style="41" bestFit="1" customWidth="1"/>
    <col min="9440" max="9440" width="11.6640625" style="41" bestFit="1" customWidth="1"/>
    <col min="9441" max="9692" width="6.88671875" style="41" customWidth="1"/>
    <col min="9693" max="9693" width="18" style="41" bestFit="1" customWidth="1"/>
    <col min="9694" max="9694" width="19.88671875" style="41" bestFit="1" customWidth="1"/>
    <col min="9695" max="9695" width="69.6640625" style="41" bestFit="1" customWidth="1"/>
    <col min="9696" max="9696" width="11.6640625" style="41" bestFit="1" customWidth="1"/>
    <col min="9697" max="9948" width="6.88671875" style="41" customWidth="1"/>
    <col min="9949" max="9949" width="18" style="41" bestFit="1" customWidth="1"/>
    <col min="9950" max="9950" width="19.88671875" style="41" bestFit="1" customWidth="1"/>
    <col min="9951" max="9951" width="69.6640625" style="41" bestFit="1" customWidth="1"/>
    <col min="9952" max="9952" width="11.6640625" style="41" bestFit="1" customWidth="1"/>
    <col min="9953" max="10204" width="6.88671875" style="41" customWidth="1"/>
    <col min="10205" max="10205" width="18" style="41" bestFit="1" customWidth="1"/>
    <col min="10206" max="10206" width="19.88671875" style="41" bestFit="1" customWidth="1"/>
    <col min="10207" max="10207" width="69.6640625" style="41" bestFit="1" customWidth="1"/>
    <col min="10208" max="10208" width="11.6640625" style="41" bestFit="1" customWidth="1"/>
    <col min="10209" max="10460" width="6.88671875" style="41" customWidth="1"/>
    <col min="10461" max="10461" width="18" style="41" bestFit="1" customWidth="1"/>
    <col min="10462" max="10462" width="19.88671875" style="41" bestFit="1" customWidth="1"/>
    <col min="10463" max="10463" width="69.6640625" style="41" bestFit="1" customWidth="1"/>
    <col min="10464" max="10464" width="11.6640625" style="41" bestFit="1" customWidth="1"/>
    <col min="10465" max="10716" width="6.88671875" style="41" customWidth="1"/>
    <col min="10717" max="10717" width="18" style="41" bestFit="1" customWidth="1"/>
    <col min="10718" max="10718" width="19.88671875" style="41" bestFit="1" customWidth="1"/>
    <col min="10719" max="10719" width="69.6640625" style="41" bestFit="1" customWidth="1"/>
    <col min="10720" max="10720" width="11.6640625" style="41" bestFit="1" customWidth="1"/>
    <col min="10721" max="10972" width="6.88671875" style="41" customWidth="1"/>
    <col min="10973" max="10973" width="18" style="41" bestFit="1" customWidth="1"/>
    <col min="10974" max="10974" width="19.88671875" style="41" bestFit="1" customWidth="1"/>
    <col min="10975" max="10975" width="69.6640625" style="41" bestFit="1" customWidth="1"/>
    <col min="10976" max="10976" width="11.6640625" style="41" bestFit="1" customWidth="1"/>
    <col min="10977" max="11228" width="6.88671875" style="41" customWidth="1"/>
    <col min="11229" max="11229" width="18" style="41" bestFit="1" customWidth="1"/>
    <col min="11230" max="11230" width="19.88671875" style="41" bestFit="1" customWidth="1"/>
    <col min="11231" max="11231" width="69.6640625" style="41" bestFit="1" customWidth="1"/>
    <col min="11232" max="11232" width="11.6640625" style="41" bestFit="1" customWidth="1"/>
    <col min="11233" max="11484" width="6.88671875" style="41" customWidth="1"/>
    <col min="11485" max="11485" width="18" style="41" bestFit="1" customWidth="1"/>
    <col min="11486" max="11486" width="19.88671875" style="41" bestFit="1" customWidth="1"/>
    <col min="11487" max="11487" width="69.6640625" style="41" bestFit="1" customWidth="1"/>
    <col min="11488" max="11488" width="11.6640625" style="41" bestFit="1" customWidth="1"/>
    <col min="11489" max="11740" width="6.88671875" style="41" customWidth="1"/>
    <col min="11741" max="11741" width="18" style="41" bestFit="1" customWidth="1"/>
    <col min="11742" max="11742" width="19.88671875" style="41" bestFit="1" customWidth="1"/>
    <col min="11743" max="11743" width="69.6640625" style="41" bestFit="1" customWidth="1"/>
    <col min="11744" max="11744" width="11.6640625" style="41" bestFit="1" customWidth="1"/>
    <col min="11745" max="11996" width="6.88671875" style="41" customWidth="1"/>
    <col min="11997" max="11997" width="18" style="41" bestFit="1" customWidth="1"/>
    <col min="11998" max="11998" width="19.88671875" style="41" bestFit="1" customWidth="1"/>
    <col min="11999" max="11999" width="69.6640625" style="41" bestFit="1" customWidth="1"/>
    <col min="12000" max="12000" width="11.6640625" style="41" bestFit="1" customWidth="1"/>
    <col min="12001" max="12252" width="6.88671875" style="41" customWidth="1"/>
    <col min="12253" max="12253" width="18" style="41" bestFit="1" customWidth="1"/>
    <col min="12254" max="12254" width="19.88671875" style="41" bestFit="1" customWidth="1"/>
    <col min="12255" max="12255" width="69.6640625" style="41" bestFit="1" customWidth="1"/>
    <col min="12256" max="12256" width="11.6640625" style="41" bestFit="1" customWidth="1"/>
    <col min="12257" max="12508" width="6.88671875" style="41" customWidth="1"/>
    <col min="12509" max="12509" width="18" style="41" bestFit="1" customWidth="1"/>
    <col min="12510" max="12510" width="19.88671875" style="41" bestFit="1" customWidth="1"/>
    <col min="12511" max="12511" width="69.6640625" style="41" bestFit="1" customWidth="1"/>
    <col min="12512" max="12512" width="11.6640625" style="41" bestFit="1" customWidth="1"/>
    <col min="12513" max="12764" width="6.88671875" style="41" customWidth="1"/>
    <col min="12765" max="12765" width="18" style="41" bestFit="1" customWidth="1"/>
    <col min="12766" max="12766" width="19.88671875" style="41" bestFit="1" customWidth="1"/>
    <col min="12767" max="12767" width="69.6640625" style="41" bestFit="1" customWidth="1"/>
    <col min="12768" max="12768" width="11.6640625" style="41" bestFit="1" customWidth="1"/>
    <col min="12769" max="13020" width="6.88671875" style="41" customWidth="1"/>
    <col min="13021" max="13021" width="18" style="41" bestFit="1" customWidth="1"/>
    <col min="13022" max="13022" width="19.88671875" style="41" bestFit="1" customWidth="1"/>
    <col min="13023" max="13023" width="69.6640625" style="41" bestFit="1" customWidth="1"/>
    <col min="13024" max="13024" width="11.6640625" style="41" bestFit="1" customWidth="1"/>
    <col min="13025" max="13276" width="6.88671875" style="41" customWidth="1"/>
    <col min="13277" max="13277" width="18" style="41" bestFit="1" customWidth="1"/>
    <col min="13278" max="13278" width="19.88671875" style="41" bestFit="1" customWidth="1"/>
    <col min="13279" max="13279" width="69.6640625" style="41" bestFit="1" customWidth="1"/>
    <col min="13280" max="13280" width="11.6640625" style="41" bestFit="1" customWidth="1"/>
    <col min="13281" max="13532" width="6.88671875" style="41" customWidth="1"/>
    <col min="13533" max="13533" width="18" style="41" bestFit="1" customWidth="1"/>
    <col min="13534" max="13534" width="19.88671875" style="41" bestFit="1" customWidth="1"/>
    <col min="13535" max="13535" width="69.6640625" style="41" bestFit="1" customWidth="1"/>
    <col min="13536" max="13536" width="11.6640625" style="41" bestFit="1" customWidth="1"/>
    <col min="13537" max="13788" width="6.88671875" style="41" customWidth="1"/>
    <col min="13789" max="13789" width="18" style="41" bestFit="1" customWidth="1"/>
    <col min="13790" max="13790" width="19.88671875" style="41" bestFit="1" customWidth="1"/>
    <col min="13791" max="13791" width="69.6640625" style="41" bestFit="1" customWidth="1"/>
    <col min="13792" max="13792" width="11.6640625" style="41" bestFit="1" customWidth="1"/>
    <col min="13793" max="14044" width="6.88671875" style="41" customWidth="1"/>
    <col min="14045" max="14045" width="18" style="41" bestFit="1" customWidth="1"/>
    <col min="14046" max="14046" width="19.88671875" style="41" bestFit="1" customWidth="1"/>
    <col min="14047" max="14047" width="69.6640625" style="41" bestFit="1" customWidth="1"/>
    <col min="14048" max="14048" width="11.6640625" style="41" bestFit="1" customWidth="1"/>
    <col min="14049" max="14300" width="6.88671875" style="41" customWidth="1"/>
    <col min="14301" max="14301" width="18" style="41" bestFit="1" customWidth="1"/>
    <col min="14302" max="14302" width="19.88671875" style="41" bestFit="1" customWidth="1"/>
    <col min="14303" max="14303" width="69.6640625" style="41" bestFit="1" customWidth="1"/>
    <col min="14304" max="14304" width="11.6640625" style="41" bestFit="1" customWidth="1"/>
    <col min="14305" max="14556" width="6.88671875" style="41" customWidth="1"/>
    <col min="14557" max="14557" width="18" style="41" bestFit="1" customWidth="1"/>
    <col min="14558" max="14558" width="19.88671875" style="41" bestFit="1" customWidth="1"/>
    <col min="14559" max="14559" width="69.6640625" style="41" bestFit="1" customWidth="1"/>
    <col min="14560" max="14560" width="11.6640625" style="41" bestFit="1" customWidth="1"/>
    <col min="14561" max="14812" width="6.88671875" style="41" customWidth="1"/>
    <col min="14813" max="14813" width="18" style="41" bestFit="1" customWidth="1"/>
    <col min="14814" max="14814" width="19.88671875" style="41" bestFit="1" customWidth="1"/>
    <col min="14815" max="14815" width="69.6640625" style="41" bestFit="1" customWidth="1"/>
    <col min="14816" max="14816" width="11.6640625" style="41" bestFit="1" customWidth="1"/>
    <col min="14817" max="15068" width="6.88671875" style="41" customWidth="1"/>
    <col min="15069" max="15069" width="18" style="41" bestFit="1" customWidth="1"/>
    <col min="15070" max="15070" width="19.88671875" style="41" bestFit="1" customWidth="1"/>
    <col min="15071" max="15071" width="69.6640625" style="41" bestFit="1" customWidth="1"/>
    <col min="15072" max="15072" width="11.6640625" style="41" bestFit="1" customWidth="1"/>
    <col min="15073" max="15324" width="6.88671875" style="41" customWidth="1"/>
    <col min="15325" max="15325" width="18" style="41" bestFit="1" customWidth="1"/>
    <col min="15326" max="15326" width="19.88671875" style="41" bestFit="1" customWidth="1"/>
    <col min="15327" max="15327" width="69.6640625" style="41" bestFit="1" customWidth="1"/>
    <col min="15328" max="15328" width="11.6640625" style="41" bestFit="1" customWidth="1"/>
    <col min="15329" max="15580" width="6.88671875" style="41" customWidth="1"/>
    <col min="15581" max="15581" width="18" style="41" bestFit="1" customWidth="1"/>
    <col min="15582" max="15582" width="19.88671875" style="41" bestFit="1" customWidth="1"/>
    <col min="15583" max="15583" width="69.6640625" style="41" bestFit="1" customWidth="1"/>
    <col min="15584" max="15584" width="11.6640625" style="41" bestFit="1" customWidth="1"/>
    <col min="15585" max="15836" width="6.88671875" style="41" customWidth="1"/>
    <col min="15837" max="15837" width="18" style="41" bestFit="1" customWidth="1"/>
    <col min="15838" max="15838" width="19.88671875" style="41" bestFit="1" customWidth="1"/>
    <col min="15839" max="15839" width="69.6640625" style="41" bestFit="1" customWidth="1"/>
    <col min="15840" max="15840" width="11.6640625" style="41" bestFit="1" customWidth="1"/>
    <col min="15841" max="16092" width="6.88671875" style="41" customWidth="1"/>
    <col min="16093" max="16093" width="18" style="41" bestFit="1" customWidth="1"/>
    <col min="16094" max="16094" width="19.88671875" style="41" bestFit="1" customWidth="1"/>
    <col min="16095" max="16095" width="69.6640625" style="41" bestFit="1" customWidth="1"/>
    <col min="16096" max="16096" width="11.6640625" style="41" bestFit="1" customWidth="1"/>
    <col min="16097" max="16384" width="6.88671875" style="41" customWidth="1"/>
  </cols>
  <sheetData>
    <row r="1" spans="1:4" ht="14.4" x14ac:dyDescent="0.3">
      <c r="A1" s="41" t="s">
        <v>180</v>
      </c>
      <c r="B1" s="41" t="s">
        <v>181</v>
      </c>
      <c r="C1" s="41" t="s">
        <v>182</v>
      </c>
      <c r="D1" s="41" t="s">
        <v>615</v>
      </c>
    </row>
    <row r="2" spans="1:4" ht="14.4" x14ac:dyDescent="0.3">
      <c r="A2" s="41" t="s">
        <v>100</v>
      </c>
      <c r="B2" s="41" t="s">
        <v>101</v>
      </c>
      <c r="C2" s="41">
        <v>12</v>
      </c>
      <c r="D2" s="41" t="s">
        <v>183</v>
      </c>
    </row>
    <row r="3" spans="1:4" ht="14.4" x14ac:dyDescent="0.3">
      <c r="A3" s="41" t="s">
        <v>98</v>
      </c>
      <c r="B3" s="41" t="s">
        <v>99</v>
      </c>
      <c r="C3" s="41">
        <v>1</v>
      </c>
      <c r="D3" s="41" t="s">
        <v>183</v>
      </c>
    </row>
    <row r="4" spans="1:4" ht="14.4" x14ac:dyDescent="0.3">
      <c r="A4" s="41" t="s">
        <v>184</v>
      </c>
      <c r="B4" s="41" t="s">
        <v>185</v>
      </c>
      <c r="C4" s="41">
        <v>0</v>
      </c>
      <c r="D4" s="41" t="s">
        <v>183</v>
      </c>
    </row>
    <row r="5" spans="1:4" ht="14.4" x14ac:dyDescent="0.3">
      <c r="A5" s="41" t="s">
        <v>82</v>
      </c>
      <c r="B5" s="41" t="s">
        <v>83</v>
      </c>
      <c r="C5" s="41">
        <v>0</v>
      </c>
      <c r="D5" s="41" t="s">
        <v>186</v>
      </c>
    </row>
    <row r="6" spans="1:4" ht="14.4" x14ac:dyDescent="0.3">
      <c r="A6" s="41" t="s">
        <v>187</v>
      </c>
      <c r="B6" s="41" t="s">
        <v>81</v>
      </c>
      <c r="C6" s="41">
        <v>0</v>
      </c>
      <c r="D6" s="41" t="s">
        <v>183</v>
      </c>
    </row>
    <row r="7" spans="1:4" ht="14.4" x14ac:dyDescent="0.3">
      <c r="A7" s="41" t="s">
        <v>80</v>
      </c>
      <c r="B7" s="41" t="s">
        <v>81</v>
      </c>
      <c r="C7" s="41">
        <v>1</v>
      </c>
      <c r="D7" s="41" t="s">
        <v>183</v>
      </c>
    </row>
    <row r="8" spans="1:4" ht="14.4" x14ac:dyDescent="0.3">
      <c r="A8" s="41" t="s">
        <v>156</v>
      </c>
      <c r="B8" s="41" t="s">
        <v>157</v>
      </c>
      <c r="C8" s="41">
        <v>5</v>
      </c>
      <c r="D8" s="41" t="s">
        <v>188</v>
      </c>
    </row>
    <row r="9" spans="1:4" ht="14.4" x14ac:dyDescent="0.3">
      <c r="A9" s="41" t="s">
        <v>138</v>
      </c>
      <c r="B9" s="41" t="s">
        <v>139</v>
      </c>
      <c r="C9" s="41">
        <v>23</v>
      </c>
      <c r="D9" s="41" t="s">
        <v>186</v>
      </c>
    </row>
    <row r="10" spans="1:4" ht="14.4" x14ac:dyDescent="0.3">
      <c r="A10" s="41" t="s">
        <v>134</v>
      </c>
      <c r="B10" s="41" t="s">
        <v>135</v>
      </c>
      <c r="C10" s="41">
        <v>46</v>
      </c>
      <c r="D10" s="41" t="s">
        <v>188</v>
      </c>
    </row>
    <row r="11" spans="1:4" ht="14.4" x14ac:dyDescent="0.3">
      <c r="A11" s="41" t="s">
        <v>130</v>
      </c>
      <c r="B11" s="41" t="s">
        <v>131</v>
      </c>
      <c r="C11" s="41">
        <v>1</v>
      </c>
      <c r="D11" s="41" t="s">
        <v>186</v>
      </c>
    </row>
    <row r="12" spans="1:4" ht="14.4" x14ac:dyDescent="0.3">
      <c r="A12" s="41" t="s">
        <v>132</v>
      </c>
      <c r="B12" s="41" t="s">
        <v>133</v>
      </c>
      <c r="C12" s="41">
        <v>27</v>
      </c>
      <c r="D12" s="41" t="s">
        <v>188</v>
      </c>
    </row>
    <row r="13" spans="1:4" ht="14.4" x14ac:dyDescent="0.3">
      <c r="A13" s="41" t="s">
        <v>142</v>
      </c>
      <c r="B13" s="41" t="s">
        <v>143</v>
      </c>
      <c r="C13" s="41">
        <v>0</v>
      </c>
      <c r="D13" s="41" t="s">
        <v>188</v>
      </c>
    </row>
    <row r="14" spans="1:4" ht="14.4" x14ac:dyDescent="0.3">
      <c r="A14" s="41" t="s">
        <v>54</v>
      </c>
      <c r="B14" s="41" t="s">
        <v>55</v>
      </c>
      <c r="C14" s="41">
        <v>20</v>
      </c>
      <c r="D14" s="41" t="s">
        <v>183</v>
      </c>
    </row>
    <row r="15" spans="1:4" ht="14.4" x14ac:dyDescent="0.3">
      <c r="A15" s="41" t="s">
        <v>52</v>
      </c>
      <c r="B15" s="41" t="s">
        <v>53</v>
      </c>
      <c r="C15" s="41">
        <v>72</v>
      </c>
      <c r="D15" s="41" t="s">
        <v>183</v>
      </c>
    </row>
    <row r="16" spans="1:4" ht="14.4" x14ac:dyDescent="0.3">
      <c r="A16" s="41" t="s">
        <v>154</v>
      </c>
      <c r="B16" s="41" t="s">
        <v>155</v>
      </c>
      <c r="C16" s="41">
        <v>0</v>
      </c>
      <c r="D16" s="41" t="s">
        <v>186</v>
      </c>
    </row>
    <row r="17" spans="1:4" ht="14.4" x14ac:dyDescent="0.3">
      <c r="A17" s="41" t="s">
        <v>152</v>
      </c>
      <c r="B17" s="41" t="s">
        <v>153</v>
      </c>
      <c r="C17" s="41">
        <v>1</v>
      </c>
      <c r="D17" s="41" t="s">
        <v>188</v>
      </c>
    </row>
    <row r="18" spans="1:4" ht="14.4" x14ac:dyDescent="0.3">
      <c r="A18" s="41" t="s">
        <v>150</v>
      </c>
      <c r="B18" s="41" t="s">
        <v>151</v>
      </c>
      <c r="C18" s="41">
        <v>0</v>
      </c>
      <c r="D18" s="41" t="s">
        <v>183</v>
      </c>
    </row>
    <row r="19" spans="1:4" ht="14.4" x14ac:dyDescent="0.3">
      <c r="A19" s="41" t="s">
        <v>146</v>
      </c>
      <c r="B19" s="41" t="s">
        <v>147</v>
      </c>
      <c r="C19" s="41">
        <v>1</v>
      </c>
      <c r="D19" s="41" t="s">
        <v>183</v>
      </c>
    </row>
    <row r="20" spans="1:4" ht="14.4" x14ac:dyDescent="0.3">
      <c r="A20" s="41" t="s">
        <v>40</v>
      </c>
      <c r="B20" s="41" t="s">
        <v>41</v>
      </c>
      <c r="C20" s="41">
        <v>9</v>
      </c>
      <c r="D20" s="41" t="s">
        <v>188</v>
      </c>
    </row>
    <row r="21" spans="1:4" ht="14.4" x14ac:dyDescent="0.3">
      <c r="A21" s="41" t="s">
        <v>42</v>
      </c>
      <c r="B21" s="41" t="s">
        <v>43</v>
      </c>
      <c r="C21" s="41">
        <v>0</v>
      </c>
      <c r="D21" s="41" t="s">
        <v>188</v>
      </c>
    </row>
    <row r="22" spans="1:4" ht="14.4" x14ac:dyDescent="0.3">
      <c r="A22" s="41" t="s">
        <v>46</v>
      </c>
      <c r="B22" s="41" t="s">
        <v>47</v>
      </c>
      <c r="C22" s="41">
        <v>29</v>
      </c>
      <c r="D22" s="41" t="s">
        <v>188</v>
      </c>
    </row>
    <row r="23" spans="1:4" ht="14.4" x14ac:dyDescent="0.3">
      <c r="A23" s="41" t="s">
        <v>44</v>
      </c>
      <c r="B23" s="41" t="s">
        <v>45</v>
      </c>
      <c r="C23" s="41">
        <v>0</v>
      </c>
      <c r="D23" s="41" t="s">
        <v>186</v>
      </c>
    </row>
    <row r="24" spans="1:4" ht="14.4" x14ac:dyDescent="0.3">
      <c r="A24" s="41" t="s">
        <v>48</v>
      </c>
      <c r="B24" s="41" t="s">
        <v>49</v>
      </c>
      <c r="C24" s="41">
        <v>0</v>
      </c>
      <c r="D24" s="41" t="s">
        <v>186</v>
      </c>
    </row>
    <row r="25" spans="1:4" ht="14.4" x14ac:dyDescent="0.3">
      <c r="A25" s="41" t="s">
        <v>50</v>
      </c>
      <c r="B25" s="41" t="s">
        <v>51</v>
      </c>
      <c r="C25" s="41">
        <v>1</v>
      </c>
      <c r="D25" s="41" t="s">
        <v>188</v>
      </c>
    </row>
    <row r="26" spans="1:4" ht="14.4" x14ac:dyDescent="0.3">
      <c r="A26" s="41" t="s">
        <v>189</v>
      </c>
      <c r="B26" s="41" t="s">
        <v>190</v>
      </c>
      <c r="C26" s="41">
        <v>0</v>
      </c>
      <c r="D26" s="41" t="s">
        <v>191</v>
      </c>
    </row>
    <row r="27" spans="1:4" ht="14.4" x14ac:dyDescent="0.3">
      <c r="A27" s="41" t="s">
        <v>64</v>
      </c>
      <c r="B27" s="41" t="s">
        <v>65</v>
      </c>
      <c r="C27" s="41">
        <v>0</v>
      </c>
      <c r="D27" s="41" t="s">
        <v>186</v>
      </c>
    </row>
    <row r="28" spans="1:4" ht="14.4" x14ac:dyDescent="0.3">
      <c r="A28" s="41" t="s">
        <v>116</v>
      </c>
      <c r="B28" s="41" t="s">
        <v>117</v>
      </c>
      <c r="C28" s="41">
        <v>0</v>
      </c>
      <c r="D28" s="41" t="s">
        <v>186</v>
      </c>
    </row>
    <row r="29" spans="1:4" ht="14.4" x14ac:dyDescent="0.3">
      <c r="A29" s="41" t="s">
        <v>124</v>
      </c>
      <c r="B29" s="41" t="s">
        <v>125</v>
      </c>
      <c r="C29" s="41">
        <v>28</v>
      </c>
      <c r="D29" s="41" t="s">
        <v>188</v>
      </c>
    </row>
    <row r="30" spans="1:4" ht="14.4" x14ac:dyDescent="0.3">
      <c r="A30" s="41" t="s">
        <v>128</v>
      </c>
      <c r="B30" s="41" t="s">
        <v>129</v>
      </c>
      <c r="C30" s="41">
        <v>1</v>
      </c>
      <c r="D30" s="41" t="s">
        <v>188</v>
      </c>
    </row>
    <row r="31" spans="1:4" ht="14.4" x14ac:dyDescent="0.3">
      <c r="A31" s="41" t="s">
        <v>78</v>
      </c>
      <c r="B31" s="41" t="s">
        <v>79</v>
      </c>
      <c r="C31" s="41">
        <v>0</v>
      </c>
      <c r="D31" s="41" t="s">
        <v>186</v>
      </c>
    </row>
    <row r="32" spans="1:4" ht="14.4" x14ac:dyDescent="0.3">
      <c r="A32" s="41" t="s">
        <v>68</v>
      </c>
      <c r="B32" s="41" t="s">
        <v>69</v>
      </c>
      <c r="C32" s="41">
        <v>0</v>
      </c>
      <c r="D32" s="41" t="s">
        <v>188</v>
      </c>
    </row>
    <row r="33" spans="1:4" ht="14.4" x14ac:dyDescent="0.3">
      <c r="A33" s="41" t="s">
        <v>114</v>
      </c>
      <c r="B33" s="41" t="s">
        <v>115</v>
      </c>
      <c r="C33" s="41">
        <v>0</v>
      </c>
      <c r="D33" s="41" t="s">
        <v>188</v>
      </c>
    </row>
    <row r="34" spans="1:4" ht="14.4" x14ac:dyDescent="0.3">
      <c r="A34" s="41" t="s">
        <v>112</v>
      </c>
      <c r="B34" s="41" t="s">
        <v>113</v>
      </c>
      <c r="C34" s="41">
        <v>0</v>
      </c>
      <c r="D34" s="41" t="s">
        <v>186</v>
      </c>
    </row>
    <row r="35" spans="1:4" ht="14.4" x14ac:dyDescent="0.3">
      <c r="A35" s="41" t="s">
        <v>110</v>
      </c>
      <c r="B35" s="41" t="s">
        <v>111</v>
      </c>
      <c r="C35" s="41">
        <v>58</v>
      </c>
      <c r="D35" s="41" t="s">
        <v>188</v>
      </c>
    </row>
    <row r="36" spans="1:4" ht="14.4" x14ac:dyDescent="0.3">
      <c r="A36" s="41" t="s">
        <v>108</v>
      </c>
      <c r="B36" s="41" t="s">
        <v>109</v>
      </c>
      <c r="C36" s="41">
        <v>0</v>
      </c>
      <c r="D36" s="41" t="s">
        <v>186</v>
      </c>
    </row>
    <row r="37" spans="1:4" ht="14.4" x14ac:dyDescent="0.3">
      <c r="A37" s="41" t="s">
        <v>126</v>
      </c>
      <c r="B37" s="41" t="s">
        <v>127</v>
      </c>
      <c r="C37" s="41">
        <v>0</v>
      </c>
      <c r="D37" s="41" t="s">
        <v>186</v>
      </c>
    </row>
    <row r="38" spans="1:4" ht="14.4" x14ac:dyDescent="0.3">
      <c r="A38" s="41" t="s">
        <v>164</v>
      </c>
      <c r="B38" s="41" t="s">
        <v>165</v>
      </c>
      <c r="C38" s="41">
        <v>0</v>
      </c>
      <c r="D38" s="41" t="s">
        <v>188</v>
      </c>
    </row>
    <row r="39" spans="1:4" ht="14.4" x14ac:dyDescent="0.3">
      <c r="A39" s="41" t="s">
        <v>160</v>
      </c>
      <c r="B39" s="41" t="s">
        <v>161</v>
      </c>
      <c r="C39" s="41">
        <v>1</v>
      </c>
      <c r="D39" s="41" t="s">
        <v>186</v>
      </c>
    </row>
    <row r="40" spans="1:4" ht="14.4" x14ac:dyDescent="0.3">
      <c r="A40" s="41" t="s">
        <v>162</v>
      </c>
      <c r="B40" s="41" t="s">
        <v>163</v>
      </c>
      <c r="C40" s="41">
        <v>0</v>
      </c>
      <c r="D40" s="41" t="s">
        <v>186</v>
      </c>
    </row>
    <row r="41" spans="1:4" ht="14.4" x14ac:dyDescent="0.3">
      <c r="A41" s="41" t="s">
        <v>66</v>
      </c>
      <c r="B41" s="41" t="s">
        <v>67</v>
      </c>
      <c r="C41" s="41">
        <v>3</v>
      </c>
      <c r="D41" s="41" t="s">
        <v>188</v>
      </c>
    </row>
    <row r="42" spans="1:4" ht="14.4" x14ac:dyDescent="0.3">
      <c r="A42" s="41" t="s">
        <v>72</v>
      </c>
      <c r="B42" s="41" t="s">
        <v>73</v>
      </c>
      <c r="C42" s="41">
        <v>419</v>
      </c>
      <c r="D42" s="41" t="s">
        <v>183</v>
      </c>
    </row>
    <row r="43" spans="1:4" ht="14.4" x14ac:dyDescent="0.3">
      <c r="A43" s="41" t="s">
        <v>148</v>
      </c>
      <c r="B43" s="41" t="s">
        <v>149</v>
      </c>
      <c r="C43" s="41">
        <v>0</v>
      </c>
      <c r="D43" s="41" t="s">
        <v>186</v>
      </c>
    </row>
    <row r="44" spans="1:4" ht="14.4" x14ac:dyDescent="0.3">
      <c r="A44" s="41" t="s">
        <v>144</v>
      </c>
      <c r="B44" s="41" t="s">
        <v>145</v>
      </c>
      <c r="C44" s="41">
        <v>0</v>
      </c>
      <c r="D44" s="41" t="s">
        <v>186</v>
      </c>
    </row>
    <row r="45" spans="1:4" ht="14.4" x14ac:dyDescent="0.3">
      <c r="A45" s="41" t="s">
        <v>120</v>
      </c>
      <c r="B45" s="41" t="s">
        <v>121</v>
      </c>
      <c r="C45" s="41">
        <v>0</v>
      </c>
      <c r="D45" s="41" t="s">
        <v>186</v>
      </c>
    </row>
    <row r="46" spans="1:4" ht="14.4" x14ac:dyDescent="0.3">
      <c r="A46" s="41" t="s">
        <v>118</v>
      </c>
      <c r="B46" s="41" t="s">
        <v>119</v>
      </c>
      <c r="C46" s="41">
        <v>0</v>
      </c>
      <c r="D46" s="41" t="s">
        <v>186</v>
      </c>
    </row>
    <row r="47" spans="1:4" ht="14.4" x14ac:dyDescent="0.3">
      <c r="A47" s="41" t="s">
        <v>174</v>
      </c>
      <c r="B47" s="41" t="s">
        <v>175</v>
      </c>
      <c r="C47" s="41">
        <v>0</v>
      </c>
      <c r="D47" s="41" t="s">
        <v>186</v>
      </c>
    </row>
    <row r="48" spans="1:4" ht="14.4" x14ac:dyDescent="0.3">
      <c r="A48" s="41" t="s">
        <v>168</v>
      </c>
      <c r="B48" s="41" t="s">
        <v>169</v>
      </c>
      <c r="C48" s="41">
        <v>0</v>
      </c>
      <c r="D48" s="41" t="s">
        <v>188</v>
      </c>
    </row>
    <row r="49" spans="1:4" ht="14.4" x14ac:dyDescent="0.3">
      <c r="A49" s="41" t="s">
        <v>136</v>
      </c>
      <c r="B49" s="41" t="s">
        <v>137</v>
      </c>
      <c r="C49" s="41">
        <v>3</v>
      </c>
      <c r="D49" s="41" t="s">
        <v>183</v>
      </c>
    </row>
    <row r="50" spans="1:4" ht="14.4" x14ac:dyDescent="0.3">
      <c r="A50" s="41" t="s">
        <v>140</v>
      </c>
      <c r="B50" s="41" t="s">
        <v>141</v>
      </c>
      <c r="C50" s="41">
        <v>0</v>
      </c>
      <c r="D50" s="41" t="s">
        <v>183</v>
      </c>
    </row>
    <row r="51" spans="1:4" ht="14.4" x14ac:dyDescent="0.3">
      <c r="A51" s="41" t="s">
        <v>86</v>
      </c>
      <c r="B51" s="41" t="s">
        <v>87</v>
      </c>
      <c r="C51" s="41">
        <v>37</v>
      </c>
      <c r="D51" s="41" t="s">
        <v>183</v>
      </c>
    </row>
    <row r="52" spans="1:4" ht="14.4" x14ac:dyDescent="0.3">
      <c r="A52" s="41" t="s">
        <v>88</v>
      </c>
      <c r="B52" s="41" t="s">
        <v>89</v>
      </c>
      <c r="C52" s="41">
        <v>50</v>
      </c>
      <c r="D52" s="41" t="s">
        <v>183</v>
      </c>
    </row>
    <row r="53" spans="1:4" ht="14.4" x14ac:dyDescent="0.3">
      <c r="A53" s="41" t="s">
        <v>94</v>
      </c>
      <c r="B53" s="41" t="s">
        <v>95</v>
      </c>
      <c r="C53" s="41">
        <v>0</v>
      </c>
      <c r="D53" s="41" t="s">
        <v>183</v>
      </c>
    </row>
    <row r="54" spans="1:4" ht="14.4" x14ac:dyDescent="0.3">
      <c r="A54" s="41" t="s">
        <v>70</v>
      </c>
      <c r="B54" s="41" t="s">
        <v>71</v>
      </c>
      <c r="C54" s="41">
        <v>0</v>
      </c>
      <c r="D54" s="41" t="s">
        <v>186</v>
      </c>
    </row>
    <row r="55" spans="1:4" ht="14.4" x14ac:dyDescent="0.3">
      <c r="A55" s="41" t="s">
        <v>62</v>
      </c>
      <c r="B55" s="41" t="s">
        <v>63</v>
      </c>
      <c r="C55" s="41">
        <v>0</v>
      </c>
      <c r="D55" s="41" t="s">
        <v>186</v>
      </c>
    </row>
    <row r="56" spans="1:4" ht="14.4" x14ac:dyDescent="0.3">
      <c r="A56" s="41" t="s">
        <v>102</v>
      </c>
      <c r="B56" s="41" t="s">
        <v>103</v>
      </c>
      <c r="C56" s="41">
        <v>68</v>
      </c>
      <c r="D56" s="41" t="s">
        <v>183</v>
      </c>
    </row>
    <row r="57" spans="1:4" ht="14.4" x14ac:dyDescent="0.3">
      <c r="A57" s="41" t="s">
        <v>122</v>
      </c>
      <c r="B57" s="41" t="s">
        <v>123</v>
      </c>
      <c r="C57" s="41">
        <v>40</v>
      </c>
      <c r="D57" s="41" t="s">
        <v>183</v>
      </c>
    </row>
    <row r="58" spans="1:4" ht="14.4" x14ac:dyDescent="0.3">
      <c r="A58" s="41" t="s">
        <v>158</v>
      </c>
      <c r="B58" s="41" t="s">
        <v>159</v>
      </c>
      <c r="C58" s="41">
        <v>46</v>
      </c>
      <c r="D58" s="41" t="s">
        <v>183</v>
      </c>
    </row>
    <row r="59" spans="1:4" ht="14.4" x14ac:dyDescent="0.3">
      <c r="A59" s="41" t="s">
        <v>166</v>
      </c>
      <c r="B59" s="41" t="s">
        <v>167</v>
      </c>
      <c r="C59" s="41">
        <v>26</v>
      </c>
      <c r="D59" s="41" t="s">
        <v>183</v>
      </c>
    </row>
    <row r="60" spans="1:4" ht="14.4" x14ac:dyDescent="0.3">
      <c r="A60" s="41" t="s">
        <v>104</v>
      </c>
      <c r="B60" s="41" t="s">
        <v>105</v>
      </c>
      <c r="C60" s="41">
        <v>56</v>
      </c>
      <c r="D60" s="41" t="s">
        <v>183</v>
      </c>
    </row>
    <row r="61" spans="1:4" ht="14.4" x14ac:dyDescent="0.3">
      <c r="A61" s="41" t="s">
        <v>74</v>
      </c>
      <c r="B61" s="41" t="s">
        <v>75</v>
      </c>
      <c r="C61" s="41">
        <v>3</v>
      </c>
      <c r="D61" s="41" t="s">
        <v>188</v>
      </c>
    </row>
    <row r="62" spans="1:4" ht="14.4" x14ac:dyDescent="0.3">
      <c r="A62" s="41" t="s">
        <v>76</v>
      </c>
      <c r="B62" s="41" t="s">
        <v>77</v>
      </c>
      <c r="C62" s="41">
        <v>0</v>
      </c>
      <c r="D62" s="41" t="s">
        <v>188</v>
      </c>
    </row>
    <row r="63" spans="1:4" ht="14.4" x14ac:dyDescent="0.3">
      <c r="A63" s="41" t="s">
        <v>192</v>
      </c>
      <c r="B63" s="41" t="s">
        <v>193</v>
      </c>
      <c r="C63" s="41">
        <v>66</v>
      </c>
      <c r="D63" s="41" t="s">
        <v>183</v>
      </c>
    </row>
    <row r="64" spans="1:4" ht="14.4" x14ac:dyDescent="0.3">
      <c r="A64" s="41" t="s">
        <v>92</v>
      </c>
      <c r="B64" s="41" t="s">
        <v>93</v>
      </c>
      <c r="C64" s="41">
        <v>154</v>
      </c>
      <c r="D64" s="41" t="s">
        <v>183</v>
      </c>
    </row>
    <row r="65" spans="1:4" ht="14.4" x14ac:dyDescent="0.3">
      <c r="A65" s="41" t="s">
        <v>56</v>
      </c>
      <c r="B65" s="41" t="s">
        <v>57</v>
      </c>
      <c r="C65" s="41">
        <v>0</v>
      </c>
      <c r="D65" s="41" t="s">
        <v>186</v>
      </c>
    </row>
    <row r="66" spans="1:4" ht="14.4" x14ac:dyDescent="0.3">
      <c r="A66" s="41" t="s">
        <v>58</v>
      </c>
      <c r="B66" s="41" t="s">
        <v>59</v>
      </c>
      <c r="C66" s="41">
        <v>0</v>
      </c>
      <c r="D66" s="41" t="s">
        <v>186</v>
      </c>
    </row>
    <row r="67" spans="1:4" ht="14.4" x14ac:dyDescent="0.3">
      <c r="A67" s="41" t="s">
        <v>84</v>
      </c>
      <c r="B67" s="41" t="s">
        <v>85</v>
      </c>
      <c r="C67" s="41">
        <v>0</v>
      </c>
      <c r="D67" s="41" t="s">
        <v>186</v>
      </c>
    </row>
    <row r="68" spans="1:4" ht="14.4" x14ac:dyDescent="0.3">
      <c r="A68" s="41" t="s">
        <v>194</v>
      </c>
      <c r="B68" s="41" t="s">
        <v>195</v>
      </c>
      <c r="C68" s="41">
        <v>0</v>
      </c>
      <c r="D68" s="41" t="s">
        <v>188</v>
      </c>
    </row>
    <row r="69" spans="1:4" ht="14.4" x14ac:dyDescent="0.3">
      <c r="A69" s="41" t="s">
        <v>60</v>
      </c>
      <c r="B69" s="41" t="s">
        <v>61</v>
      </c>
      <c r="C69" s="41">
        <v>0</v>
      </c>
      <c r="D69" s="41" t="s">
        <v>186</v>
      </c>
    </row>
    <row r="70" spans="1:4" ht="14.4" x14ac:dyDescent="0.3">
      <c r="A70" s="41" t="s">
        <v>106</v>
      </c>
      <c r="B70" s="41" t="s">
        <v>107</v>
      </c>
      <c r="C70" s="41">
        <v>3</v>
      </c>
      <c r="D70" s="41" t="s">
        <v>183</v>
      </c>
    </row>
    <row r="71" spans="1:4" ht="14.4" x14ac:dyDescent="0.3">
      <c r="A71" s="41" t="s">
        <v>90</v>
      </c>
      <c r="B71" s="41" t="s">
        <v>91</v>
      </c>
      <c r="C71" s="41">
        <v>19</v>
      </c>
      <c r="D71" s="41" t="s">
        <v>183</v>
      </c>
    </row>
    <row r="72" spans="1:4" ht="14.4" x14ac:dyDescent="0.3">
      <c r="A72" s="41" t="s">
        <v>96</v>
      </c>
      <c r="B72" s="41" t="s">
        <v>97</v>
      </c>
      <c r="C72" s="41">
        <v>57</v>
      </c>
      <c r="D72" s="41" t="s">
        <v>183</v>
      </c>
    </row>
    <row r="73" spans="1:4" ht="14.4" x14ac:dyDescent="0.3">
      <c r="A73" s="41" t="s">
        <v>170</v>
      </c>
      <c r="B73" s="41" t="s">
        <v>171</v>
      </c>
      <c r="C73" s="41">
        <v>0</v>
      </c>
      <c r="D73" s="41" t="s">
        <v>186</v>
      </c>
    </row>
    <row r="74" spans="1:4" ht="14.4" x14ac:dyDescent="0.3">
      <c r="A74" s="41" t="s">
        <v>172</v>
      </c>
      <c r="B74" s="41" t="s">
        <v>173</v>
      </c>
      <c r="C74" s="41">
        <v>0</v>
      </c>
      <c r="D74" s="41" t="s">
        <v>186</v>
      </c>
    </row>
    <row r="75" spans="1:4" ht="14.4" x14ac:dyDescent="0.3">
      <c r="A75" s="41" t="s">
        <v>196</v>
      </c>
      <c r="B75" s="41" t="s">
        <v>197</v>
      </c>
      <c r="C75" s="41">
        <v>24</v>
      </c>
      <c r="D75" s="41" t="s">
        <v>198</v>
      </c>
    </row>
    <row r="76" spans="1:4" ht="14.4" x14ac:dyDescent="0.3">
      <c r="A76" s="41" t="s">
        <v>199</v>
      </c>
      <c r="B76" s="41" t="s">
        <v>200</v>
      </c>
      <c r="C76" s="41">
        <v>24</v>
      </c>
      <c r="D76" s="41" t="s">
        <v>198</v>
      </c>
    </row>
    <row r="77" spans="1:4" ht="14.4" x14ac:dyDescent="0.3">
      <c r="A77" s="41" t="s">
        <v>201</v>
      </c>
      <c r="B77" s="41" t="s">
        <v>202</v>
      </c>
      <c r="C77" s="41">
        <v>24</v>
      </c>
      <c r="D77" s="41" t="s">
        <v>198</v>
      </c>
    </row>
    <row r="78" spans="1:4" ht="14.4" x14ac:dyDescent="0.3">
      <c r="A78" s="41" t="s">
        <v>203</v>
      </c>
      <c r="B78" s="41" t="s">
        <v>204</v>
      </c>
      <c r="C78" s="41">
        <v>24</v>
      </c>
      <c r="D78" s="41" t="s">
        <v>198</v>
      </c>
    </row>
    <row r="79" spans="1:4" ht="14.4" x14ac:dyDescent="0.3">
      <c r="A79" s="41" t="s">
        <v>205</v>
      </c>
      <c r="B79" s="41" t="s">
        <v>206</v>
      </c>
      <c r="C79" s="41">
        <v>24</v>
      </c>
      <c r="D79" s="41" t="s">
        <v>198</v>
      </c>
    </row>
    <row r="80" spans="1:4" ht="14.4" x14ac:dyDescent="0.3">
      <c r="A80" s="41" t="s">
        <v>207</v>
      </c>
      <c r="B80" s="41" t="s">
        <v>208</v>
      </c>
      <c r="C80" s="41">
        <v>24</v>
      </c>
      <c r="D80" s="41" t="s">
        <v>198</v>
      </c>
    </row>
    <row r="81" spans="1:4" ht="14.4" x14ac:dyDescent="0.3">
      <c r="A81" s="41" t="s">
        <v>209</v>
      </c>
      <c r="B81" s="41" t="s">
        <v>210</v>
      </c>
      <c r="C81" s="41">
        <v>552</v>
      </c>
      <c r="D81" s="41" t="s">
        <v>198</v>
      </c>
    </row>
    <row r="82" spans="1:4" ht="14.4" x14ac:dyDescent="0.3">
      <c r="A82" s="41" t="s">
        <v>211</v>
      </c>
      <c r="B82" s="41" t="s">
        <v>212</v>
      </c>
      <c r="C82" s="41">
        <v>24</v>
      </c>
      <c r="D82" s="41" t="s">
        <v>198</v>
      </c>
    </row>
    <row r="83" spans="1:4" ht="14.4" x14ac:dyDescent="0.3">
      <c r="A83" s="41" t="s">
        <v>213</v>
      </c>
      <c r="B83" s="41" t="s">
        <v>214</v>
      </c>
      <c r="C83" s="41">
        <v>24</v>
      </c>
      <c r="D83" s="41" t="s">
        <v>198</v>
      </c>
    </row>
    <row r="84" spans="1:4" ht="14.4" x14ac:dyDescent="0.3">
      <c r="A84" s="41" t="s">
        <v>215</v>
      </c>
      <c r="B84" s="41" t="s">
        <v>216</v>
      </c>
      <c r="C84" s="41">
        <v>24</v>
      </c>
      <c r="D84" s="41" t="s">
        <v>198</v>
      </c>
    </row>
    <row r="85" spans="1:4" ht="14.4" x14ac:dyDescent="0.3">
      <c r="A85" s="41" t="s">
        <v>217</v>
      </c>
      <c r="B85" s="41" t="s">
        <v>218</v>
      </c>
      <c r="C85" s="41">
        <v>24</v>
      </c>
      <c r="D85" s="41" t="s">
        <v>198</v>
      </c>
    </row>
    <row r="86" spans="1:4" ht="14.4" x14ac:dyDescent="0.3">
      <c r="A86" s="41" t="s">
        <v>219</v>
      </c>
      <c r="B86" s="41" t="s">
        <v>220</v>
      </c>
      <c r="C86" s="41">
        <v>24</v>
      </c>
      <c r="D86" s="41" t="s">
        <v>198</v>
      </c>
    </row>
    <row r="87" spans="1:4" ht="14.4" x14ac:dyDescent="0.3">
      <c r="A87" s="41" t="s">
        <v>221</v>
      </c>
      <c r="B87" s="41" t="s">
        <v>222</v>
      </c>
      <c r="C87" s="41">
        <v>12</v>
      </c>
      <c r="D87" s="41" t="s">
        <v>198</v>
      </c>
    </row>
    <row r="88" spans="1:4" ht="14.4" x14ac:dyDescent="0.3">
      <c r="A88" s="41" t="s">
        <v>223</v>
      </c>
      <c r="B88" s="41" t="s">
        <v>224</v>
      </c>
      <c r="C88" s="41">
        <v>24</v>
      </c>
      <c r="D88" s="41" t="s">
        <v>198</v>
      </c>
    </row>
    <row r="89" spans="1:4" ht="14.4" x14ac:dyDescent="0.3">
      <c r="A89" s="41" t="s">
        <v>225</v>
      </c>
      <c r="B89" s="41" t="s">
        <v>226</v>
      </c>
      <c r="C89" s="41">
        <v>24</v>
      </c>
      <c r="D89" s="41" t="s">
        <v>198</v>
      </c>
    </row>
    <row r="90" spans="1:4" ht="14.4" x14ac:dyDescent="0.3">
      <c r="A90" s="41" t="s">
        <v>227</v>
      </c>
      <c r="B90" s="41" t="s">
        <v>228</v>
      </c>
      <c r="C90" s="41">
        <v>24</v>
      </c>
      <c r="D90" s="41" t="s">
        <v>198</v>
      </c>
    </row>
    <row r="91" spans="1:4" ht="14.4" x14ac:dyDescent="0.3">
      <c r="A91" s="41" t="s">
        <v>229</v>
      </c>
      <c r="B91" s="41" t="s">
        <v>230</v>
      </c>
      <c r="C91" s="41">
        <v>2</v>
      </c>
      <c r="D91" s="41" t="s">
        <v>198</v>
      </c>
    </row>
    <row r="92" spans="1:4" ht="14.4" x14ac:dyDescent="0.3">
      <c r="A92" s="41" t="s">
        <v>231</v>
      </c>
      <c r="B92" s="41" t="s">
        <v>232</v>
      </c>
      <c r="C92" s="41">
        <v>2</v>
      </c>
      <c r="D92" s="41" t="s">
        <v>198</v>
      </c>
    </row>
    <row r="93" spans="1:4" ht="14.4" x14ac:dyDescent="0.3">
      <c r="A93" s="41" t="s">
        <v>233</v>
      </c>
      <c r="B93" s="41" t="s">
        <v>234</v>
      </c>
      <c r="C93" s="41">
        <v>24</v>
      </c>
      <c r="D93" s="41" t="s">
        <v>198</v>
      </c>
    </row>
    <row r="94" spans="1:4" ht="14.4" x14ac:dyDescent="0.3">
      <c r="A94" s="41" t="s">
        <v>235</v>
      </c>
      <c r="B94" s="41" t="s">
        <v>236</v>
      </c>
      <c r="C94" s="41">
        <v>24</v>
      </c>
      <c r="D94" s="41" t="s">
        <v>198</v>
      </c>
    </row>
    <row r="95" spans="1:4" ht="14.4" x14ac:dyDescent="0.3">
      <c r="A95" s="41" t="s">
        <v>237</v>
      </c>
      <c r="B95" s="41" t="s">
        <v>238</v>
      </c>
      <c r="C95" s="41">
        <v>0</v>
      </c>
      <c r="D95" s="41" t="s">
        <v>183</v>
      </c>
    </row>
    <row r="96" spans="1:4" ht="14.4" x14ac:dyDescent="0.3">
      <c r="A96" s="41" t="s">
        <v>239</v>
      </c>
      <c r="B96" s="41" t="s">
        <v>240</v>
      </c>
      <c r="C96" s="41">
        <v>50</v>
      </c>
      <c r="D96" s="41" t="s">
        <v>198</v>
      </c>
    </row>
    <row r="97" spans="1:4" ht="14.4" x14ac:dyDescent="0.3">
      <c r="A97" s="41" t="s">
        <v>241</v>
      </c>
      <c r="B97" s="41" t="s">
        <v>242</v>
      </c>
      <c r="C97" s="41">
        <v>50</v>
      </c>
      <c r="D97" s="41" t="s">
        <v>198</v>
      </c>
    </row>
    <row r="98" spans="1:4" ht="14.4" x14ac:dyDescent="0.3">
      <c r="A98" s="41" t="s">
        <v>243</v>
      </c>
      <c r="B98" s="41" t="s">
        <v>244</v>
      </c>
      <c r="C98" s="41">
        <v>50</v>
      </c>
      <c r="D98" s="41" t="s">
        <v>198</v>
      </c>
    </row>
    <row r="99" spans="1:4" ht="14.4" x14ac:dyDescent="0.3">
      <c r="A99" s="41" t="s">
        <v>245</v>
      </c>
      <c r="B99" s="41" t="s">
        <v>246</v>
      </c>
      <c r="C99" s="41">
        <v>50</v>
      </c>
      <c r="D99" s="41" t="s">
        <v>198</v>
      </c>
    </row>
    <row r="100" spans="1:4" ht="14.4" x14ac:dyDescent="0.3">
      <c r="A100" s="41" t="s">
        <v>247</v>
      </c>
      <c r="B100" s="41" t="s">
        <v>248</v>
      </c>
      <c r="C100" s="41">
        <v>50</v>
      </c>
      <c r="D100" s="41" t="s">
        <v>198</v>
      </c>
    </row>
    <row r="101" spans="1:4" ht="14.4" x14ac:dyDescent="0.3">
      <c r="A101" s="41" t="s">
        <v>249</v>
      </c>
      <c r="B101" s="41" t="s">
        <v>250</v>
      </c>
      <c r="C101" s="41">
        <v>100</v>
      </c>
      <c r="D101" s="41" t="s">
        <v>198</v>
      </c>
    </row>
    <row r="102" spans="1:4" ht="14.4" x14ac:dyDescent="0.3">
      <c r="A102" s="41" t="s">
        <v>251</v>
      </c>
      <c r="B102" s="41" t="s">
        <v>252</v>
      </c>
      <c r="C102" s="41">
        <v>50</v>
      </c>
      <c r="D102" s="41" t="s">
        <v>198</v>
      </c>
    </row>
    <row r="103" spans="1:4" ht="14.4" x14ac:dyDescent="0.3">
      <c r="A103" s="41" t="s">
        <v>253</v>
      </c>
      <c r="B103" s="41" t="s">
        <v>254</v>
      </c>
      <c r="C103" s="41">
        <v>0</v>
      </c>
      <c r="D103" s="41" t="s">
        <v>198</v>
      </c>
    </row>
    <row r="104" spans="1:4" ht="14.4" x14ac:dyDescent="0.3">
      <c r="A104" s="41" t="s">
        <v>255</v>
      </c>
      <c r="B104" s="41" t="s">
        <v>256</v>
      </c>
      <c r="C104" s="41">
        <v>50</v>
      </c>
      <c r="D104" s="41" t="s">
        <v>198</v>
      </c>
    </row>
    <row r="105" spans="1:4" ht="14.4" x14ac:dyDescent="0.3">
      <c r="A105" s="41" t="s">
        <v>257</v>
      </c>
      <c r="B105" s="41" t="s">
        <v>258</v>
      </c>
      <c r="C105" s="41">
        <v>50</v>
      </c>
      <c r="D105" s="41" t="s">
        <v>198</v>
      </c>
    </row>
    <row r="106" spans="1:4" ht="14.4" x14ac:dyDescent="0.3">
      <c r="A106" s="41" t="s">
        <v>259</v>
      </c>
      <c r="B106" s="41" t="s">
        <v>260</v>
      </c>
      <c r="C106" s="41">
        <v>50</v>
      </c>
      <c r="D106" s="41" t="s">
        <v>198</v>
      </c>
    </row>
    <row r="107" spans="1:4" ht="14.4" x14ac:dyDescent="0.3">
      <c r="A107" s="41" t="s">
        <v>261</v>
      </c>
      <c r="B107" s="41" t="s">
        <v>262</v>
      </c>
      <c r="C107" s="41">
        <v>100</v>
      </c>
      <c r="D107" s="41" t="s">
        <v>198</v>
      </c>
    </row>
    <row r="108" spans="1:4" ht="14.4" x14ac:dyDescent="0.3">
      <c r="A108" s="41" t="s">
        <v>263</v>
      </c>
      <c r="B108" s="41" t="s">
        <v>264</v>
      </c>
      <c r="C108" s="41">
        <v>50</v>
      </c>
      <c r="D108" s="41" t="s">
        <v>198</v>
      </c>
    </row>
    <row r="109" spans="1:4" ht="14.4" x14ac:dyDescent="0.3">
      <c r="A109" s="41" t="s">
        <v>265</v>
      </c>
      <c r="B109" s="41" t="s">
        <v>266</v>
      </c>
      <c r="C109" s="41">
        <v>0</v>
      </c>
      <c r="D109" s="41" t="s">
        <v>198</v>
      </c>
    </row>
    <row r="110" spans="1:4" ht="14.4" x14ac:dyDescent="0.3">
      <c r="A110" s="41" t="s">
        <v>267</v>
      </c>
      <c r="B110" s="41" t="s">
        <v>268</v>
      </c>
      <c r="C110" s="41">
        <v>50</v>
      </c>
      <c r="D110" s="41" t="s">
        <v>198</v>
      </c>
    </row>
    <row r="111" spans="1:4" ht="14.4" x14ac:dyDescent="0.3">
      <c r="A111" s="41" t="s">
        <v>269</v>
      </c>
      <c r="B111" s="41" t="s">
        <v>270</v>
      </c>
      <c r="C111" s="41">
        <v>50</v>
      </c>
      <c r="D111" s="41" t="s">
        <v>198</v>
      </c>
    </row>
    <row r="112" spans="1:4" ht="14.4" x14ac:dyDescent="0.3">
      <c r="A112" s="41" t="s">
        <v>271</v>
      </c>
      <c r="B112" s="41" t="s">
        <v>272</v>
      </c>
      <c r="C112" s="41">
        <v>50</v>
      </c>
      <c r="D112" s="41" t="s">
        <v>198</v>
      </c>
    </row>
    <row r="113" spans="1:4" ht="14.4" x14ac:dyDescent="0.3">
      <c r="A113" s="41" t="s">
        <v>273</v>
      </c>
      <c r="B113" s="41" t="s">
        <v>274</v>
      </c>
      <c r="C113" s="41">
        <v>50</v>
      </c>
      <c r="D113" s="41" t="s">
        <v>198</v>
      </c>
    </row>
    <row r="114" spans="1:4" ht="14.4" x14ac:dyDescent="0.3">
      <c r="A114" s="41" t="s">
        <v>275</v>
      </c>
      <c r="B114" s="41" t="s">
        <v>276</v>
      </c>
      <c r="C114" s="41">
        <v>200</v>
      </c>
      <c r="D114" s="41" t="s">
        <v>198</v>
      </c>
    </row>
    <row r="115" spans="1:4" ht="14.4" x14ac:dyDescent="0.3">
      <c r="A115" s="41" t="s">
        <v>277</v>
      </c>
      <c r="B115" s="41" t="s">
        <v>278</v>
      </c>
      <c r="C115" s="41">
        <v>50</v>
      </c>
      <c r="D115" s="41" t="s">
        <v>198</v>
      </c>
    </row>
    <row r="116" spans="1:4" ht="14.4" x14ac:dyDescent="0.3">
      <c r="A116" s="41" t="s">
        <v>279</v>
      </c>
      <c r="B116" s="41" t="s">
        <v>280</v>
      </c>
      <c r="C116" s="41">
        <v>50</v>
      </c>
      <c r="D116" s="41" t="s">
        <v>198</v>
      </c>
    </row>
    <row r="117" spans="1:4" ht="14.4" x14ac:dyDescent="0.3">
      <c r="A117" s="41" t="s">
        <v>281</v>
      </c>
      <c r="B117" s="41" t="s">
        <v>282</v>
      </c>
      <c r="C117" s="41">
        <v>50</v>
      </c>
      <c r="D117" s="41" t="s">
        <v>198</v>
      </c>
    </row>
    <row r="118" spans="1:4" ht="14.4" x14ac:dyDescent="0.3">
      <c r="A118" s="41" t="s">
        <v>283</v>
      </c>
      <c r="B118" s="41" t="s">
        <v>284</v>
      </c>
      <c r="C118" s="41">
        <v>50</v>
      </c>
      <c r="D118" s="41" t="s">
        <v>198</v>
      </c>
    </row>
    <row r="119" spans="1:4" ht="14.4" x14ac:dyDescent="0.3">
      <c r="A119" s="41" t="s">
        <v>285</v>
      </c>
      <c r="B119" s="41" t="s">
        <v>286</v>
      </c>
      <c r="C119" s="41">
        <v>50</v>
      </c>
      <c r="D119" s="41" t="s">
        <v>198</v>
      </c>
    </row>
    <row r="120" spans="1:4" ht="14.4" x14ac:dyDescent="0.3">
      <c r="A120" s="41" t="s">
        <v>287</v>
      </c>
      <c r="B120" s="41" t="s">
        <v>288</v>
      </c>
      <c r="C120" s="41">
        <v>0</v>
      </c>
      <c r="D120" s="41" t="s">
        <v>198</v>
      </c>
    </row>
    <row r="121" spans="1:4" ht="14.4" x14ac:dyDescent="0.3">
      <c r="A121" s="41" t="s">
        <v>289</v>
      </c>
      <c r="B121" s="41" t="s">
        <v>290</v>
      </c>
      <c r="C121" s="41">
        <v>0</v>
      </c>
      <c r="D121" s="41" t="s">
        <v>198</v>
      </c>
    </row>
    <row r="122" spans="1:4" ht="14.4" x14ac:dyDescent="0.3">
      <c r="A122" s="41" t="s">
        <v>291</v>
      </c>
      <c r="B122" s="41" t="s">
        <v>292</v>
      </c>
      <c r="C122" s="41">
        <v>24</v>
      </c>
      <c r="D122" s="41" t="s">
        <v>198</v>
      </c>
    </row>
    <row r="123" spans="1:4" ht="14.4" x14ac:dyDescent="0.3">
      <c r="A123" s="41" t="s">
        <v>293</v>
      </c>
      <c r="B123" s="41" t="s">
        <v>294</v>
      </c>
      <c r="C123" s="41">
        <v>24</v>
      </c>
      <c r="D123" s="41" t="s">
        <v>198</v>
      </c>
    </row>
    <row r="124" spans="1:4" ht="14.4" x14ac:dyDescent="0.3">
      <c r="A124" s="41" t="s">
        <v>295</v>
      </c>
      <c r="B124" s="41" t="s">
        <v>296</v>
      </c>
      <c r="C124" s="41">
        <v>0</v>
      </c>
      <c r="D124" s="41" t="s">
        <v>186</v>
      </c>
    </row>
    <row r="125" spans="1:4" ht="14.4" x14ac:dyDescent="0.3">
      <c r="A125" s="41" t="s">
        <v>297</v>
      </c>
      <c r="B125" s="41" t="s">
        <v>298</v>
      </c>
      <c r="C125" s="41">
        <v>0</v>
      </c>
      <c r="D125" s="41" t="s">
        <v>183</v>
      </c>
    </row>
    <row r="126" spans="1:4" ht="14.4" x14ac:dyDescent="0.3">
      <c r="A126" s="41" t="s">
        <v>299</v>
      </c>
      <c r="B126" s="41" t="s">
        <v>300</v>
      </c>
      <c r="C126" s="41">
        <v>0</v>
      </c>
      <c r="D126" s="41" t="s">
        <v>183</v>
      </c>
    </row>
    <row r="127" spans="1:4" ht="14.4" x14ac:dyDescent="0.3">
      <c r="A127" s="41" t="s">
        <v>301</v>
      </c>
      <c r="B127" s="41" t="s">
        <v>302</v>
      </c>
      <c r="C127" s="41">
        <v>0</v>
      </c>
      <c r="D127" s="41" t="s">
        <v>186</v>
      </c>
    </row>
    <row r="128" spans="1:4" ht="14.4" x14ac:dyDescent="0.3">
      <c r="A128" s="41" t="s">
        <v>303</v>
      </c>
      <c r="B128" s="41" t="s">
        <v>304</v>
      </c>
      <c r="C128" s="41">
        <v>0</v>
      </c>
      <c r="D128" s="41" t="s">
        <v>183</v>
      </c>
    </row>
    <row r="129" spans="1:4" ht="14.4" x14ac:dyDescent="0.3">
      <c r="A129" s="41" t="s">
        <v>305</v>
      </c>
      <c r="B129" s="41" t="s">
        <v>306</v>
      </c>
      <c r="C129" s="41">
        <v>0</v>
      </c>
      <c r="D129" s="41" t="s">
        <v>183</v>
      </c>
    </row>
    <row r="130" spans="1:4" ht="14.4" x14ac:dyDescent="0.3">
      <c r="A130" s="41" t="s">
        <v>307</v>
      </c>
      <c r="B130" s="41" t="s">
        <v>308</v>
      </c>
      <c r="C130" s="41">
        <v>0</v>
      </c>
      <c r="D130" s="41" t="s">
        <v>183</v>
      </c>
    </row>
    <row r="131" spans="1:4" ht="14.4" x14ac:dyDescent="0.3">
      <c r="A131" s="41" t="s">
        <v>309</v>
      </c>
      <c r="B131" s="41" t="s">
        <v>310</v>
      </c>
      <c r="C131" s="41">
        <v>0</v>
      </c>
      <c r="D131" s="41" t="s">
        <v>183</v>
      </c>
    </row>
    <row r="132" spans="1:4" ht="14.4" x14ac:dyDescent="0.3">
      <c r="A132" s="41" t="s">
        <v>311</v>
      </c>
      <c r="B132" s="41" t="s">
        <v>312</v>
      </c>
      <c r="C132" s="41">
        <v>0</v>
      </c>
      <c r="D132" s="41" t="s">
        <v>183</v>
      </c>
    </row>
    <row r="133" spans="1:4" ht="14.4" x14ac:dyDescent="0.3">
      <c r="A133" s="41" t="s">
        <v>313</v>
      </c>
      <c r="B133" s="41" t="s">
        <v>314</v>
      </c>
      <c r="C133" s="41">
        <v>0</v>
      </c>
      <c r="D133" s="41" t="s">
        <v>183</v>
      </c>
    </row>
    <row r="134" spans="1:4" ht="14.4" x14ac:dyDescent="0.3">
      <c r="A134" s="41" t="s">
        <v>315</v>
      </c>
      <c r="B134" s="41" t="s">
        <v>316</v>
      </c>
      <c r="C134" s="41">
        <v>0</v>
      </c>
      <c r="D134" s="41" t="s">
        <v>183</v>
      </c>
    </row>
    <row r="135" spans="1:4" ht="14.4" x14ac:dyDescent="0.3">
      <c r="A135" s="41" t="s">
        <v>317</v>
      </c>
      <c r="B135" s="41" t="s">
        <v>318</v>
      </c>
      <c r="C135" s="41">
        <v>24</v>
      </c>
      <c r="D135" s="41" t="s">
        <v>198</v>
      </c>
    </row>
    <row r="136" spans="1:4" ht="14.4" x14ac:dyDescent="0.3">
      <c r="A136" s="41" t="s">
        <v>319</v>
      </c>
      <c r="B136" s="41" t="s">
        <v>320</v>
      </c>
      <c r="C136" s="41">
        <v>48</v>
      </c>
      <c r="D136" s="41" t="s">
        <v>198</v>
      </c>
    </row>
    <row r="137" spans="1:4" ht="14.4" x14ac:dyDescent="0.3">
      <c r="A137" s="41" t="s">
        <v>321</v>
      </c>
      <c r="B137" s="41" t="s">
        <v>322</v>
      </c>
      <c r="C137" s="41">
        <v>48</v>
      </c>
      <c r="D137" s="41" t="s">
        <v>198</v>
      </c>
    </row>
    <row r="138" spans="1:4" ht="14.4" x14ac:dyDescent="0.3">
      <c r="A138" s="41" t="s">
        <v>323</v>
      </c>
      <c r="B138" s="41" t="s">
        <v>324</v>
      </c>
      <c r="C138" s="41">
        <v>48</v>
      </c>
      <c r="D138" s="41" t="s">
        <v>198</v>
      </c>
    </row>
    <row r="139" spans="1:4" ht="14.4" x14ac:dyDescent="0.3">
      <c r="A139" s="41" t="s">
        <v>325</v>
      </c>
      <c r="B139" s="41" t="s">
        <v>326</v>
      </c>
      <c r="C139" s="41">
        <v>24</v>
      </c>
      <c r="D139" s="41" t="s">
        <v>198</v>
      </c>
    </row>
    <row r="140" spans="1:4" ht="14.4" x14ac:dyDescent="0.3">
      <c r="A140" s="41" t="s">
        <v>327</v>
      </c>
      <c r="B140" s="41" t="s">
        <v>328</v>
      </c>
      <c r="C140" s="41">
        <v>24</v>
      </c>
      <c r="D140" s="41" t="s">
        <v>198</v>
      </c>
    </row>
    <row r="141" spans="1:4" ht="14.4" x14ac:dyDescent="0.3">
      <c r="A141" s="41" t="s">
        <v>329</v>
      </c>
      <c r="B141" s="41" t="s">
        <v>330</v>
      </c>
      <c r="C141" s="41">
        <v>24</v>
      </c>
      <c r="D141" s="41" t="s">
        <v>198</v>
      </c>
    </row>
    <row r="142" spans="1:4" ht="14.4" x14ac:dyDescent="0.3">
      <c r="A142" s="41" t="s">
        <v>331</v>
      </c>
      <c r="B142" s="41" t="s">
        <v>332</v>
      </c>
      <c r="C142" s="41">
        <v>24</v>
      </c>
      <c r="D142" s="41" t="s">
        <v>198</v>
      </c>
    </row>
    <row r="143" spans="1:4" ht="14.4" x14ac:dyDescent="0.3">
      <c r="A143" s="41" t="s">
        <v>333</v>
      </c>
      <c r="B143" s="41" t="s">
        <v>334</v>
      </c>
      <c r="C143" s="41">
        <v>24</v>
      </c>
      <c r="D143" s="41" t="s">
        <v>198</v>
      </c>
    </row>
    <row r="144" spans="1:4" ht="14.4" x14ac:dyDescent="0.3">
      <c r="A144" s="41" t="s">
        <v>335</v>
      </c>
      <c r="B144" s="41" t="s">
        <v>336</v>
      </c>
      <c r="C144" s="41">
        <v>6</v>
      </c>
      <c r="D144" s="41" t="s">
        <v>198</v>
      </c>
    </row>
    <row r="145" spans="1:4" ht="14.4" x14ac:dyDescent="0.3">
      <c r="A145" s="41" t="s">
        <v>337</v>
      </c>
      <c r="B145" s="41" t="s">
        <v>338</v>
      </c>
      <c r="C145" s="41">
        <v>24</v>
      </c>
      <c r="D145" s="41" t="s">
        <v>198</v>
      </c>
    </row>
    <row r="146" spans="1:4" ht="14.4" x14ac:dyDescent="0.3">
      <c r="A146" s="41" t="s">
        <v>339</v>
      </c>
      <c r="B146" s="41" t="s">
        <v>340</v>
      </c>
      <c r="C146" s="41">
        <v>24</v>
      </c>
      <c r="D146" s="41" t="s">
        <v>198</v>
      </c>
    </row>
    <row r="147" spans="1:4" ht="14.4" x14ac:dyDescent="0.3">
      <c r="A147" s="41" t="s">
        <v>341</v>
      </c>
      <c r="B147" s="41" t="s">
        <v>342</v>
      </c>
      <c r="C147" s="41">
        <v>12</v>
      </c>
      <c r="D147" s="41" t="s">
        <v>198</v>
      </c>
    </row>
    <row r="148" spans="1:4" ht="14.4" x14ac:dyDescent="0.3">
      <c r="A148" s="41" t="s">
        <v>343</v>
      </c>
      <c r="B148" s="41" t="s">
        <v>344</v>
      </c>
      <c r="C148" s="41">
        <v>24</v>
      </c>
      <c r="D148" s="41" t="s">
        <v>198</v>
      </c>
    </row>
    <row r="149" spans="1:4" ht="14.4" x14ac:dyDescent="0.3">
      <c r="A149" s="41" t="s">
        <v>345</v>
      </c>
      <c r="B149" s="41" t="s">
        <v>346</v>
      </c>
      <c r="C149" s="41">
        <v>24</v>
      </c>
      <c r="D149" s="41" t="s">
        <v>198</v>
      </c>
    </row>
    <row r="150" spans="1:4" ht="14.4" x14ac:dyDescent="0.3">
      <c r="A150" s="41" t="s">
        <v>347</v>
      </c>
      <c r="B150" s="41" t="s">
        <v>348</v>
      </c>
      <c r="C150" s="41">
        <v>24</v>
      </c>
      <c r="D150" s="41" t="s">
        <v>198</v>
      </c>
    </row>
    <row r="151" spans="1:4" ht="14.4" x14ac:dyDescent="0.3">
      <c r="A151" s="41" t="s">
        <v>349</v>
      </c>
      <c r="B151" s="41" t="s">
        <v>350</v>
      </c>
      <c r="C151" s="41">
        <v>6</v>
      </c>
      <c r="D151" s="41" t="s">
        <v>198</v>
      </c>
    </row>
    <row r="152" spans="1:4" ht="14.4" x14ac:dyDescent="0.3">
      <c r="A152" s="41" t="s">
        <v>351</v>
      </c>
      <c r="B152" s="41" t="s">
        <v>352</v>
      </c>
      <c r="C152" s="41">
        <v>24</v>
      </c>
      <c r="D152" s="41" t="s">
        <v>198</v>
      </c>
    </row>
    <row r="153" spans="1:4" ht="14.4" x14ac:dyDescent="0.3">
      <c r="A153" s="41" t="s">
        <v>353</v>
      </c>
      <c r="B153" s="41" t="s">
        <v>354</v>
      </c>
      <c r="C153" s="41">
        <v>24</v>
      </c>
      <c r="D153" s="41" t="s">
        <v>198</v>
      </c>
    </row>
    <row r="154" spans="1:4" ht="14.4" x14ac:dyDescent="0.3">
      <c r="A154" s="41" t="s">
        <v>355</v>
      </c>
      <c r="B154" s="41" t="s">
        <v>356</v>
      </c>
      <c r="C154" s="41">
        <v>24</v>
      </c>
      <c r="D154" s="41" t="s">
        <v>198</v>
      </c>
    </row>
    <row r="155" spans="1:4" ht="14.4" x14ac:dyDescent="0.3">
      <c r="A155" s="41" t="s">
        <v>357</v>
      </c>
      <c r="B155" s="41" t="s">
        <v>358</v>
      </c>
      <c r="C155" s="41">
        <v>24</v>
      </c>
      <c r="D155" s="41" t="s">
        <v>198</v>
      </c>
    </row>
    <row r="156" spans="1:4" ht="14.4" x14ac:dyDescent="0.3">
      <c r="A156" s="41" t="s">
        <v>359</v>
      </c>
      <c r="B156" s="41" t="s">
        <v>360</v>
      </c>
      <c r="C156" s="41">
        <v>6</v>
      </c>
      <c r="D156" s="41" t="s">
        <v>198</v>
      </c>
    </row>
    <row r="157" spans="1:4" ht="14.4" x14ac:dyDescent="0.3">
      <c r="A157" s="41" t="s">
        <v>361</v>
      </c>
      <c r="B157" s="41" t="s">
        <v>362</v>
      </c>
      <c r="C157" s="41">
        <v>24</v>
      </c>
      <c r="D157" s="41" t="s">
        <v>198</v>
      </c>
    </row>
    <row r="158" spans="1:4" ht="14.4" x14ac:dyDescent="0.3">
      <c r="A158" s="41" t="s">
        <v>363</v>
      </c>
      <c r="B158" s="41" t="s">
        <v>364</v>
      </c>
      <c r="C158" s="41">
        <v>48</v>
      </c>
      <c r="D158" s="41" t="s">
        <v>198</v>
      </c>
    </row>
    <row r="159" spans="1:4" ht="14.4" x14ac:dyDescent="0.3">
      <c r="A159" s="41" t="s">
        <v>365</v>
      </c>
      <c r="B159" s="41" t="s">
        <v>366</v>
      </c>
      <c r="C159" s="41">
        <v>0</v>
      </c>
      <c r="D159" s="41" t="s">
        <v>183</v>
      </c>
    </row>
    <row r="160" spans="1:4" ht="14.4" x14ac:dyDescent="0.3">
      <c r="A160" s="41" t="s">
        <v>367</v>
      </c>
      <c r="B160" s="41" t="s">
        <v>368</v>
      </c>
      <c r="C160" s="41">
        <v>0</v>
      </c>
      <c r="D160" s="41" t="s">
        <v>186</v>
      </c>
    </row>
    <row r="161" spans="1:4" ht="14.4" x14ac:dyDescent="0.3">
      <c r="A161" s="41" t="s">
        <v>369</v>
      </c>
      <c r="B161" s="41" t="s">
        <v>370</v>
      </c>
      <c r="C161" s="41">
        <v>0</v>
      </c>
      <c r="D161" s="41" t="s">
        <v>183</v>
      </c>
    </row>
    <row r="162" spans="1:4" ht="14.4" x14ac:dyDescent="0.3">
      <c r="A162" s="41" t="s">
        <v>371</v>
      </c>
      <c r="B162" s="41" t="s">
        <v>372</v>
      </c>
      <c r="C162" s="41">
        <v>0</v>
      </c>
      <c r="D162" s="41" t="s">
        <v>186</v>
      </c>
    </row>
    <row r="163" spans="1:4" ht="14.4" x14ac:dyDescent="0.3">
      <c r="A163" s="41" t="s">
        <v>373</v>
      </c>
      <c r="B163" s="41" t="s">
        <v>374</v>
      </c>
      <c r="C163" s="41">
        <v>0</v>
      </c>
      <c r="D163" s="41" t="s">
        <v>183</v>
      </c>
    </row>
    <row r="164" spans="1:4" ht="14.4" x14ac:dyDescent="0.3">
      <c r="A164" s="41" t="s">
        <v>375</v>
      </c>
      <c r="B164" s="41" t="s">
        <v>376</v>
      </c>
      <c r="C164" s="41">
        <v>0</v>
      </c>
      <c r="D164" s="41" t="s">
        <v>186</v>
      </c>
    </row>
    <row r="165" spans="1:4" ht="14.4" x14ac:dyDescent="0.3">
      <c r="A165" s="41" t="s">
        <v>377</v>
      </c>
      <c r="B165" s="41" t="s">
        <v>378</v>
      </c>
      <c r="C165" s="41">
        <v>0</v>
      </c>
      <c r="D165" s="41" t="s">
        <v>183</v>
      </c>
    </row>
    <row r="166" spans="1:4" ht="14.4" x14ac:dyDescent="0.3">
      <c r="A166" s="41" t="s">
        <v>379</v>
      </c>
      <c r="B166" s="41" t="s">
        <v>380</v>
      </c>
      <c r="C166" s="41">
        <v>0</v>
      </c>
      <c r="D166" s="41" t="s">
        <v>183</v>
      </c>
    </row>
    <row r="167" spans="1:4" ht="14.4" x14ac:dyDescent="0.3">
      <c r="A167" s="41" t="s">
        <v>381</v>
      </c>
      <c r="B167" s="41" t="s">
        <v>382</v>
      </c>
      <c r="C167" s="41">
        <v>0</v>
      </c>
      <c r="D167" s="41" t="s">
        <v>186</v>
      </c>
    </row>
    <row r="168" spans="1:4" ht="14.4" x14ac:dyDescent="0.3">
      <c r="A168" s="41" t="s">
        <v>383</v>
      </c>
      <c r="B168" s="41" t="s">
        <v>384</v>
      </c>
      <c r="C168" s="41">
        <v>0</v>
      </c>
      <c r="D168" s="41" t="s">
        <v>198</v>
      </c>
    </row>
    <row r="169" spans="1:4" ht="14.4" x14ac:dyDescent="0.3">
      <c r="A169" s="41" t="s">
        <v>385</v>
      </c>
      <c r="B169" s="41" t="s">
        <v>386</v>
      </c>
      <c r="C169" s="41">
        <v>0</v>
      </c>
      <c r="D169" s="41" t="s">
        <v>198</v>
      </c>
    </row>
    <row r="170" spans="1:4" ht="14.4" x14ac:dyDescent="0.3">
      <c r="A170" s="41" t="s">
        <v>387</v>
      </c>
      <c r="B170" s="41" t="s">
        <v>388</v>
      </c>
      <c r="C170" s="41">
        <v>0</v>
      </c>
      <c r="D170" s="41" t="s">
        <v>198</v>
      </c>
    </row>
    <row r="171" spans="1:4" ht="14.4" x14ac:dyDescent="0.3">
      <c r="A171" s="41" t="s">
        <v>389</v>
      </c>
      <c r="B171" s="41" t="s">
        <v>390</v>
      </c>
      <c r="C171" s="41">
        <v>0</v>
      </c>
      <c r="D171" s="41" t="s">
        <v>198</v>
      </c>
    </row>
    <row r="172" spans="1:4" ht="14.4" x14ac:dyDescent="0.3">
      <c r="A172" s="41" t="s">
        <v>391</v>
      </c>
      <c r="B172" s="41" t="s">
        <v>392</v>
      </c>
      <c r="C172" s="41">
        <v>0</v>
      </c>
      <c r="D172" s="41" t="s">
        <v>198</v>
      </c>
    </row>
    <row r="173" spans="1:4" ht="14.4" x14ac:dyDescent="0.3">
      <c r="A173" s="41" t="s">
        <v>393</v>
      </c>
      <c r="B173" s="41" t="s">
        <v>394</v>
      </c>
      <c r="C173" s="41">
        <v>0</v>
      </c>
      <c r="D173" s="41" t="s">
        <v>198</v>
      </c>
    </row>
    <row r="174" spans="1:4" ht="14.4" x14ac:dyDescent="0.3">
      <c r="A174" s="41" t="s">
        <v>395</v>
      </c>
      <c r="B174" s="41" t="s">
        <v>396</v>
      </c>
      <c r="C174" s="41">
        <v>0</v>
      </c>
      <c r="D174" s="41" t="s">
        <v>198</v>
      </c>
    </row>
    <row r="175" spans="1:4" ht="14.4" x14ac:dyDescent="0.3">
      <c r="A175" s="41" t="s">
        <v>397</v>
      </c>
      <c r="B175" s="41" t="s">
        <v>398</v>
      </c>
      <c r="C175" s="41">
        <v>0</v>
      </c>
      <c r="D175" s="41" t="s">
        <v>198</v>
      </c>
    </row>
    <row r="176" spans="1:4" ht="14.4" x14ac:dyDescent="0.3">
      <c r="A176" s="41" t="s">
        <v>399</v>
      </c>
      <c r="B176" s="41" t="s">
        <v>400</v>
      </c>
      <c r="C176" s="41">
        <v>0</v>
      </c>
      <c r="D176" s="41" t="s">
        <v>198</v>
      </c>
    </row>
    <row r="177" spans="1:4" ht="14.4" x14ac:dyDescent="0.3">
      <c r="A177" s="41" t="s">
        <v>401</v>
      </c>
      <c r="B177" s="41" t="s">
        <v>402</v>
      </c>
      <c r="C177" s="41">
        <v>0</v>
      </c>
      <c r="D177" s="41" t="s">
        <v>198</v>
      </c>
    </row>
    <row r="178" spans="1:4" ht="14.4" x14ac:dyDescent="0.3">
      <c r="A178" s="41" t="s">
        <v>403</v>
      </c>
      <c r="B178" s="41" t="s">
        <v>404</v>
      </c>
      <c r="C178" s="41">
        <v>0</v>
      </c>
      <c r="D178" s="41" t="s">
        <v>198</v>
      </c>
    </row>
    <row r="179" spans="1:4" ht="14.4" x14ac:dyDescent="0.3">
      <c r="A179" s="41" t="s">
        <v>405</v>
      </c>
      <c r="B179" s="41" t="s">
        <v>406</v>
      </c>
      <c r="C179" s="41">
        <v>0</v>
      </c>
      <c r="D179" s="41" t="s">
        <v>198</v>
      </c>
    </row>
    <row r="180" spans="1:4" ht="14.4" x14ac:dyDescent="0.3">
      <c r="A180" s="41" t="s">
        <v>407</v>
      </c>
      <c r="B180" s="41" t="s">
        <v>408</v>
      </c>
      <c r="C180" s="41">
        <v>0</v>
      </c>
      <c r="D180" s="41" t="s">
        <v>198</v>
      </c>
    </row>
    <row r="181" spans="1:4" ht="14.4" x14ac:dyDescent="0.3">
      <c r="A181" s="41" t="s">
        <v>409</v>
      </c>
      <c r="B181" s="41" t="s">
        <v>410</v>
      </c>
      <c r="C181" s="41">
        <v>0</v>
      </c>
      <c r="D181" s="41" t="s">
        <v>198</v>
      </c>
    </row>
    <row r="182" spans="1:4" ht="14.4" x14ac:dyDescent="0.3">
      <c r="A182" s="41" t="s">
        <v>411</v>
      </c>
      <c r="B182" s="41" t="s">
        <v>412</v>
      </c>
      <c r="C182" s="41">
        <v>0</v>
      </c>
      <c r="D182" s="41" t="s">
        <v>198</v>
      </c>
    </row>
    <row r="183" spans="1:4" ht="14.4" x14ac:dyDescent="0.3">
      <c r="A183" s="41" t="s">
        <v>413</v>
      </c>
      <c r="B183" s="41" t="s">
        <v>414</v>
      </c>
      <c r="C183" s="41">
        <v>0</v>
      </c>
      <c r="D183" s="41" t="s">
        <v>198</v>
      </c>
    </row>
    <row r="184" spans="1:4" ht="14.4" x14ac:dyDescent="0.3">
      <c r="A184" s="41" t="s">
        <v>415</v>
      </c>
      <c r="B184" s="41" t="s">
        <v>416</v>
      </c>
      <c r="C184" s="41">
        <v>0</v>
      </c>
      <c r="D184" s="41" t="s">
        <v>198</v>
      </c>
    </row>
    <row r="185" spans="1:4" ht="14.4" x14ac:dyDescent="0.3">
      <c r="A185" s="41" t="s">
        <v>417</v>
      </c>
      <c r="B185" s="41" t="s">
        <v>418</v>
      </c>
      <c r="C185" s="41">
        <v>0</v>
      </c>
      <c r="D185" s="41" t="s">
        <v>198</v>
      </c>
    </row>
    <row r="186" spans="1:4" ht="14.4" x14ac:dyDescent="0.3">
      <c r="A186" s="41" t="s">
        <v>419</v>
      </c>
      <c r="B186" s="41" t="s">
        <v>420</v>
      </c>
      <c r="C186" s="41">
        <v>0</v>
      </c>
      <c r="D186" s="41" t="s">
        <v>198</v>
      </c>
    </row>
    <row r="187" spans="1:4" ht="14.4" x14ac:dyDescent="0.3">
      <c r="A187" s="41" t="s">
        <v>421</v>
      </c>
      <c r="B187" s="41" t="s">
        <v>422</v>
      </c>
      <c r="C187" s="41">
        <v>0</v>
      </c>
      <c r="D187" s="41" t="s">
        <v>198</v>
      </c>
    </row>
    <row r="188" spans="1:4" ht="14.4" x14ac:dyDescent="0.3">
      <c r="A188" s="41" t="s">
        <v>423</v>
      </c>
      <c r="B188" s="41" t="s">
        <v>424</v>
      </c>
      <c r="C188" s="41">
        <v>0</v>
      </c>
      <c r="D188" s="41" t="s">
        <v>198</v>
      </c>
    </row>
    <row r="189" spans="1:4" ht="14.4" x14ac:dyDescent="0.3">
      <c r="A189" s="41" t="s">
        <v>425</v>
      </c>
      <c r="B189" s="41" t="s">
        <v>426</v>
      </c>
      <c r="C189" s="41">
        <v>0</v>
      </c>
      <c r="D189" s="41" t="s">
        <v>198</v>
      </c>
    </row>
    <row r="190" spans="1:4" ht="14.4" x14ac:dyDescent="0.3">
      <c r="A190" s="41" t="s">
        <v>427</v>
      </c>
      <c r="B190" s="41" t="s">
        <v>428</v>
      </c>
      <c r="C190" s="41">
        <v>0</v>
      </c>
      <c r="D190" s="41" t="s">
        <v>198</v>
      </c>
    </row>
    <row r="191" spans="1:4" ht="14.4" x14ac:dyDescent="0.3">
      <c r="A191" s="41" t="s">
        <v>429</v>
      </c>
      <c r="B191" s="41" t="s">
        <v>430</v>
      </c>
      <c r="C191" s="41">
        <v>0</v>
      </c>
      <c r="D191" s="41" t="s">
        <v>198</v>
      </c>
    </row>
    <row r="192" spans="1:4" ht="14.4" x14ac:dyDescent="0.3">
      <c r="A192" s="41" t="s">
        <v>431</v>
      </c>
      <c r="B192" s="41" t="s">
        <v>432</v>
      </c>
      <c r="C192" s="41">
        <v>0</v>
      </c>
      <c r="D192" s="41" t="s">
        <v>198</v>
      </c>
    </row>
    <row r="193" spans="1:4" ht="14.4" x14ac:dyDescent="0.3">
      <c r="A193" s="41" t="s">
        <v>433</v>
      </c>
      <c r="B193" s="41" t="s">
        <v>434</v>
      </c>
      <c r="C193" s="41">
        <v>0</v>
      </c>
      <c r="D193" s="41" t="s">
        <v>198</v>
      </c>
    </row>
    <row r="194" spans="1:4" ht="14.4" x14ac:dyDescent="0.3">
      <c r="A194" s="41" t="s">
        <v>435</v>
      </c>
      <c r="B194" s="41" t="s">
        <v>436</v>
      </c>
      <c r="C194" s="41">
        <v>0</v>
      </c>
      <c r="D194" s="41" t="s">
        <v>198</v>
      </c>
    </row>
    <row r="195" spans="1:4" ht="14.4" x14ac:dyDescent="0.3">
      <c r="A195" s="41" t="s">
        <v>437</v>
      </c>
      <c r="B195" s="41" t="s">
        <v>438</v>
      </c>
      <c r="C195" s="41">
        <v>0</v>
      </c>
      <c r="D195" s="41" t="s">
        <v>198</v>
      </c>
    </row>
    <row r="196" spans="1:4" ht="14.4" x14ac:dyDescent="0.3">
      <c r="A196" s="41" t="s">
        <v>439</v>
      </c>
      <c r="B196" s="41" t="s">
        <v>440</v>
      </c>
      <c r="C196" s="41">
        <v>0</v>
      </c>
      <c r="D196" s="41" t="s">
        <v>198</v>
      </c>
    </row>
    <row r="197" spans="1:4" ht="14.4" x14ac:dyDescent="0.3">
      <c r="A197" s="41" t="s">
        <v>441</v>
      </c>
      <c r="B197" s="41" t="s">
        <v>442</v>
      </c>
      <c r="C197" s="41">
        <v>0</v>
      </c>
      <c r="D197" s="41" t="s">
        <v>198</v>
      </c>
    </row>
    <row r="198" spans="1:4" ht="14.4" x14ac:dyDescent="0.3">
      <c r="A198" s="41" t="s">
        <v>443</v>
      </c>
      <c r="B198" s="41" t="s">
        <v>444</v>
      </c>
      <c r="C198" s="41">
        <v>0</v>
      </c>
      <c r="D198" s="41" t="s">
        <v>198</v>
      </c>
    </row>
    <row r="199" spans="1:4" ht="14.4" x14ac:dyDescent="0.3">
      <c r="A199" s="41" t="s">
        <v>445</v>
      </c>
      <c r="B199" s="41" t="s">
        <v>446</v>
      </c>
      <c r="C199" s="41">
        <v>0</v>
      </c>
      <c r="D199" s="41" t="s">
        <v>198</v>
      </c>
    </row>
    <row r="200" spans="1:4" ht="14.4" x14ac:dyDescent="0.3">
      <c r="A200" s="41" t="s">
        <v>447</v>
      </c>
      <c r="B200" s="41" t="s">
        <v>448</v>
      </c>
      <c r="C200" s="41">
        <v>0</v>
      </c>
      <c r="D200" s="41" t="s">
        <v>198</v>
      </c>
    </row>
    <row r="201" spans="1:4" ht="14.4" x14ac:dyDescent="0.3">
      <c r="A201" s="41" t="s">
        <v>449</v>
      </c>
      <c r="B201" s="41" t="s">
        <v>450</v>
      </c>
      <c r="C201" s="41">
        <v>0</v>
      </c>
      <c r="D201" s="41" t="s">
        <v>198</v>
      </c>
    </row>
    <row r="202" spans="1:4" ht="14.4" x14ac:dyDescent="0.3">
      <c r="A202" s="41" t="s">
        <v>451</v>
      </c>
      <c r="B202" s="41" t="s">
        <v>452</v>
      </c>
      <c r="C202" s="41">
        <v>0</v>
      </c>
      <c r="D202" s="41" t="s">
        <v>198</v>
      </c>
    </row>
    <row r="203" spans="1:4" ht="14.4" x14ac:dyDescent="0.3">
      <c r="A203" s="41" t="s">
        <v>453</v>
      </c>
      <c r="B203" s="41" t="s">
        <v>454</v>
      </c>
      <c r="C203" s="41">
        <v>0</v>
      </c>
      <c r="D203" s="41" t="s">
        <v>198</v>
      </c>
    </row>
    <row r="204" spans="1:4" ht="14.4" x14ac:dyDescent="0.3">
      <c r="A204" s="41" t="s">
        <v>455</v>
      </c>
      <c r="B204" s="41" t="s">
        <v>456</v>
      </c>
      <c r="C204" s="41">
        <v>0</v>
      </c>
      <c r="D204" s="41" t="s">
        <v>198</v>
      </c>
    </row>
    <row r="205" spans="1:4" ht="14.4" x14ac:dyDescent="0.3">
      <c r="A205" s="41" t="s">
        <v>457</v>
      </c>
      <c r="B205" s="41" t="s">
        <v>458</v>
      </c>
      <c r="C205" s="41">
        <v>0</v>
      </c>
      <c r="D205" s="41" t="s">
        <v>198</v>
      </c>
    </row>
    <row r="206" spans="1:4" ht="14.4" x14ac:dyDescent="0.3">
      <c r="A206" s="41" t="s">
        <v>459</v>
      </c>
      <c r="B206" s="41" t="s">
        <v>460</v>
      </c>
      <c r="C206" s="41">
        <v>0</v>
      </c>
      <c r="D206" s="41" t="s">
        <v>198</v>
      </c>
    </row>
    <row r="207" spans="1:4" ht="14.4" x14ac:dyDescent="0.3">
      <c r="A207" s="41" t="s">
        <v>461</v>
      </c>
      <c r="B207" s="41" t="s">
        <v>462</v>
      </c>
      <c r="C207" s="41">
        <v>0</v>
      </c>
      <c r="D207" s="41" t="s">
        <v>198</v>
      </c>
    </row>
    <row r="208" spans="1:4" ht="14.4" x14ac:dyDescent="0.3">
      <c r="A208" s="41" t="s">
        <v>463</v>
      </c>
      <c r="B208" s="41" t="s">
        <v>464</v>
      </c>
      <c r="C208" s="41">
        <v>0</v>
      </c>
      <c r="D208" s="41" t="s">
        <v>198</v>
      </c>
    </row>
    <row r="209" spans="1:4" ht="14.4" x14ac:dyDescent="0.3">
      <c r="A209" s="41" t="s">
        <v>465</v>
      </c>
      <c r="B209" s="41" t="s">
        <v>466</v>
      </c>
      <c r="C209" s="41">
        <v>0</v>
      </c>
      <c r="D209" s="41" t="s">
        <v>198</v>
      </c>
    </row>
    <row r="210" spans="1:4" ht="14.4" x14ac:dyDescent="0.3">
      <c r="A210" s="41" t="s">
        <v>467</v>
      </c>
      <c r="B210" s="41" t="s">
        <v>468</v>
      </c>
      <c r="C210" s="41">
        <v>0</v>
      </c>
      <c r="D210" s="41" t="s">
        <v>198</v>
      </c>
    </row>
    <row r="211" spans="1:4" ht="14.4" x14ac:dyDescent="0.3">
      <c r="A211" s="41" t="s">
        <v>469</v>
      </c>
      <c r="B211" s="41" t="s">
        <v>470</v>
      </c>
      <c r="C211" s="41">
        <v>0</v>
      </c>
      <c r="D211" s="41" t="s">
        <v>198</v>
      </c>
    </row>
    <row r="212" spans="1:4" ht="14.4" x14ac:dyDescent="0.3">
      <c r="A212" s="41" t="s">
        <v>471</v>
      </c>
      <c r="B212" s="41" t="s">
        <v>472</v>
      </c>
      <c r="C212" s="41">
        <v>0</v>
      </c>
      <c r="D212" s="41" t="s">
        <v>198</v>
      </c>
    </row>
    <row r="213" spans="1:4" ht="14.4" x14ac:dyDescent="0.3">
      <c r="A213" s="41" t="s">
        <v>473</v>
      </c>
      <c r="B213" s="41" t="s">
        <v>474</v>
      </c>
      <c r="C213" s="41">
        <v>0</v>
      </c>
      <c r="D213" s="41" t="s">
        <v>198</v>
      </c>
    </row>
    <row r="214" spans="1:4" ht="14.4" x14ac:dyDescent="0.3">
      <c r="A214" s="41" t="s">
        <v>475</v>
      </c>
      <c r="B214" s="41" t="s">
        <v>476</v>
      </c>
      <c r="C214" s="41">
        <v>0</v>
      </c>
      <c r="D214" s="41" t="s">
        <v>198</v>
      </c>
    </row>
    <row r="215" spans="1:4" ht="14.4" x14ac:dyDescent="0.3">
      <c r="A215" s="41" t="s">
        <v>477</v>
      </c>
      <c r="B215" s="41" t="s">
        <v>478</v>
      </c>
      <c r="C215" s="41">
        <v>0</v>
      </c>
      <c r="D215" s="41" t="s">
        <v>198</v>
      </c>
    </row>
    <row r="216" spans="1:4" ht="14.4" x14ac:dyDescent="0.3">
      <c r="A216" s="41" t="s">
        <v>479</v>
      </c>
      <c r="B216" s="41" t="s">
        <v>480</v>
      </c>
      <c r="C216" s="41">
        <v>0</v>
      </c>
      <c r="D216" s="41" t="s">
        <v>198</v>
      </c>
    </row>
    <row r="217" spans="1:4" ht="14.4" x14ac:dyDescent="0.3">
      <c r="A217" s="41" t="s">
        <v>481</v>
      </c>
      <c r="B217" s="41" t="s">
        <v>482</v>
      </c>
      <c r="C217" s="41">
        <v>0</v>
      </c>
      <c r="D217" s="41" t="s">
        <v>198</v>
      </c>
    </row>
    <row r="218" spans="1:4" ht="14.4" x14ac:dyDescent="0.3">
      <c r="A218" s="41" t="s">
        <v>483</v>
      </c>
      <c r="B218" s="41" t="s">
        <v>484</v>
      </c>
      <c r="C218" s="41">
        <v>0</v>
      </c>
      <c r="D218" s="41" t="s">
        <v>198</v>
      </c>
    </row>
    <row r="219" spans="1:4" ht="14.4" x14ac:dyDescent="0.3">
      <c r="A219" s="41" t="s">
        <v>485</v>
      </c>
      <c r="B219" s="41" t="s">
        <v>486</v>
      </c>
      <c r="C219" s="41">
        <v>0</v>
      </c>
      <c r="D219" s="41" t="s">
        <v>198</v>
      </c>
    </row>
    <row r="220" spans="1:4" ht="14.4" x14ac:dyDescent="0.3">
      <c r="A220" s="41" t="s">
        <v>487</v>
      </c>
      <c r="B220" s="41" t="s">
        <v>488</v>
      </c>
      <c r="C220" s="41">
        <v>0</v>
      </c>
      <c r="D220" s="41" t="s">
        <v>198</v>
      </c>
    </row>
    <row r="221" spans="1:4" ht="14.4" x14ac:dyDescent="0.3">
      <c r="A221" s="41" t="s">
        <v>489</v>
      </c>
      <c r="B221" s="41" t="s">
        <v>490</v>
      </c>
      <c r="C221" s="41">
        <v>0</v>
      </c>
      <c r="D221" s="41" t="s">
        <v>198</v>
      </c>
    </row>
    <row r="222" spans="1:4" ht="14.4" x14ac:dyDescent="0.3">
      <c r="A222" s="41" t="s">
        <v>491</v>
      </c>
      <c r="B222" s="41" t="s">
        <v>492</v>
      </c>
      <c r="C222" s="41">
        <v>0</v>
      </c>
      <c r="D222" s="41" t="s">
        <v>198</v>
      </c>
    </row>
    <row r="223" spans="1:4" ht="14.4" x14ac:dyDescent="0.3">
      <c r="A223" s="41" t="s">
        <v>493</v>
      </c>
      <c r="B223" s="41" t="s">
        <v>494</v>
      </c>
      <c r="C223" s="41">
        <v>0</v>
      </c>
      <c r="D223" s="41" t="s">
        <v>198</v>
      </c>
    </row>
    <row r="224" spans="1:4" ht="14.4" x14ac:dyDescent="0.3">
      <c r="A224" s="41" t="s">
        <v>495</v>
      </c>
      <c r="B224" s="41" t="s">
        <v>496</v>
      </c>
      <c r="C224" s="41">
        <v>0</v>
      </c>
      <c r="D224" s="41" t="s">
        <v>198</v>
      </c>
    </row>
    <row r="225" spans="1:4" ht="14.4" x14ac:dyDescent="0.3">
      <c r="A225" s="41" t="s">
        <v>497</v>
      </c>
      <c r="B225" s="41" t="s">
        <v>498</v>
      </c>
      <c r="C225" s="41">
        <v>0</v>
      </c>
      <c r="D225" s="41" t="s">
        <v>198</v>
      </c>
    </row>
    <row r="226" spans="1:4" ht="14.4" x14ac:dyDescent="0.3">
      <c r="A226" s="41" t="s">
        <v>499</v>
      </c>
      <c r="B226" s="41" t="s">
        <v>500</v>
      </c>
      <c r="C226" s="41">
        <v>0</v>
      </c>
      <c r="D226" s="41" t="s">
        <v>198</v>
      </c>
    </row>
    <row r="227" spans="1:4" ht="14.4" x14ac:dyDescent="0.3">
      <c r="A227" s="41" t="s">
        <v>501</v>
      </c>
      <c r="B227" s="41" t="s">
        <v>502</v>
      </c>
      <c r="C227" s="41">
        <v>0</v>
      </c>
      <c r="D227" s="41" t="s">
        <v>198</v>
      </c>
    </row>
    <row r="228" spans="1:4" ht="14.4" x14ac:dyDescent="0.3">
      <c r="A228" s="41" t="s">
        <v>503</v>
      </c>
      <c r="B228" s="41" t="s">
        <v>504</v>
      </c>
      <c r="C228" s="41">
        <v>0</v>
      </c>
      <c r="D228" s="41" t="s">
        <v>198</v>
      </c>
    </row>
    <row r="229" spans="1:4" ht="14.4" x14ac:dyDescent="0.3">
      <c r="A229" s="41" t="s">
        <v>505</v>
      </c>
      <c r="B229" s="41" t="s">
        <v>506</v>
      </c>
      <c r="C229" s="41">
        <v>0</v>
      </c>
      <c r="D229" s="41" t="s">
        <v>198</v>
      </c>
    </row>
    <row r="230" spans="1:4" ht="14.4" x14ac:dyDescent="0.3">
      <c r="A230" s="41" t="s">
        <v>507</v>
      </c>
      <c r="B230" s="41" t="s">
        <v>508</v>
      </c>
      <c r="C230" s="41">
        <v>0</v>
      </c>
      <c r="D230" s="41" t="s">
        <v>198</v>
      </c>
    </row>
    <row r="231" spans="1:4" ht="14.4" x14ac:dyDescent="0.3">
      <c r="A231" s="41" t="s">
        <v>509</v>
      </c>
      <c r="B231" s="41" t="s">
        <v>510</v>
      </c>
      <c r="C231" s="41">
        <v>0</v>
      </c>
      <c r="D231" s="41" t="s">
        <v>198</v>
      </c>
    </row>
    <row r="232" spans="1:4" ht="14.4" x14ac:dyDescent="0.3">
      <c r="A232" s="41" t="s">
        <v>511</v>
      </c>
      <c r="B232" s="41" t="s">
        <v>512</v>
      </c>
      <c r="C232" s="41">
        <v>0</v>
      </c>
      <c r="D232" s="41" t="s">
        <v>198</v>
      </c>
    </row>
    <row r="233" spans="1:4" ht="14.4" x14ac:dyDescent="0.3">
      <c r="A233" s="41" t="s">
        <v>513</v>
      </c>
      <c r="B233" s="41" t="s">
        <v>514</v>
      </c>
      <c r="C233" s="41">
        <v>0</v>
      </c>
      <c r="D233" s="41" t="s">
        <v>198</v>
      </c>
    </row>
    <row r="234" spans="1:4" ht="14.4" x14ac:dyDescent="0.3">
      <c r="A234" s="41" t="s">
        <v>515</v>
      </c>
      <c r="B234" s="41" t="s">
        <v>516</v>
      </c>
      <c r="C234" s="41">
        <v>0</v>
      </c>
      <c r="D234" s="41" t="s">
        <v>198</v>
      </c>
    </row>
    <row r="235" spans="1:4" ht="14.4" x14ac:dyDescent="0.3">
      <c r="A235" s="41" t="s">
        <v>517</v>
      </c>
      <c r="B235" s="41" t="s">
        <v>518</v>
      </c>
      <c r="C235" s="41">
        <v>0</v>
      </c>
      <c r="D235" s="41" t="s">
        <v>198</v>
      </c>
    </row>
    <row r="236" spans="1:4" ht="14.4" x14ac:dyDescent="0.3">
      <c r="A236" s="41" t="s">
        <v>519</v>
      </c>
      <c r="B236" s="41" t="s">
        <v>520</v>
      </c>
      <c r="C236" s="41">
        <v>0</v>
      </c>
      <c r="D236" s="41" t="s">
        <v>198</v>
      </c>
    </row>
    <row r="237" spans="1:4" ht="14.4" x14ac:dyDescent="0.3">
      <c r="A237" s="41" t="s">
        <v>521</v>
      </c>
      <c r="B237" s="41" t="s">
        <v>522</v>
      </c>
      <c r="C237" s="41">
        <v>0</v>
      </c>
      <c r="D237" s="41" t="s">
        <v>198</v>
      </c>
    </row>
    <row r="238" spans="1:4" ht="14.4" x14ac:dyDescent="0.3">
      <c r="A238" s="41" t="s">
        <v>523</v>
      </c>
      <c r="B238" s="41" t="s">
        <v>524</v>
      </c>
      <c r="C238" s="41">
        <v>0</v>
      </c>
      <c r="D238" s="41" t="s">
        <v>198</v>
      </c>
    </row>
    <row r="239" spans="1:4" ht="14.4" x14ac:dyDescent="0.3">
      <c r="A239" s="41" t="s">
        <v>525</v>
      </c>
      <c r="B239" s="41" t="s">
        <v>526</v>
      </c>
      <c r="C239" s="41">
        <v>0</v>
      </c>
      <c r="D239" s="41" t="s">
        <v>198</v>
      </c>
    </row>
    <row r="240" spans="1:4" ht="14.4" x14ac:dyDescent="0.3">
      <c r="A240" s="41" t="s">
        <v>527</v>
      </c>
      <c r="B240" s="41" t="s">
        <v>528</v>
      </c>
      <c r="C240" s="41">
        <v>0</v>
      </c>
      <c r="D240" s="41" t="s">
        <v>198</v>
      </c>
    </row>
    <row r="241" spans="1:4" ht="14.4" x14ac:dyDescent="0.3">
      <c r="A241" s="41" t="s">
        <v>529</v>
      </c>
      <c r="B241" s="41" t="s">
        <v>530</v>
      </c>
      <c r="C241" s="41">
        <v>0</v>
      </c>
      <c r="D241" s="41" t="s">
        <v>198</v>
      </c>
    </row>
    <row r="242" spans="1:4" ht="14.4" x14ac:dyDescent="0.3">
      <c r="A242" s="41" t="s">
        <v>531</v>
      </c>
      <c r="B242" s="41" t="s">
        <v>532</v>
      </c>
      <c r="C242" s="41">
        <v>0</v>
      </c>
      <c r="D242" s="41" t="s">
        <v>198</v>
      </c>
    </row>
    <row r="243" spans="1:4" ht="14.4" x14ac:dyDescent="0.3">
      <c r="A243" s="41" t="s">
        <v>533</v>
      </c>
      <c r="B243" s="41" t="s">
        <v>534</v>
      </c>
      <c r="C243" s="41">
        <v>0</v>
      </c>
      <c r="D243" s="41" t="s">
        <v>198</v>
      </c>
    </row>
    <row r="244" spans="1:4" ht="14.4" x14ac:dyDescent="0.3">
      <c r="A244" s="41" t="s">
        <v>535</v>
      </c>
      <c r="B244" s="41" t="s">
        <v>536</v>
      </c>
      <c r="C244" s="41">
        <v>0</v>
      </c>
      <c r="D244" s="41" t="s">
        <v>198</v>
      </c>
    </row>
    <row r="245" spans="1:4" ht="14.4" x14ac:dyDescent="0.3">
      <c r="A245" s="41" t="s">
        <v>537</v>
      </c>
      <c r="B245" s="41" t="s">
        <v>538</v>
      </c>
      <c r="C245" s="41">
        <v>0</v>
      </c>
      <c r="D245" s="41" t="s">
        <v>198</v>
      </c>
    </row>
    <row r="246" spans="1:4" ht="14.4" x14ac:dyDescent="0.3">
      <c r="A246" s="41" t="s">
        <v>539</v>
      </c>
      <c r="B246" s="41" t="s">
        <v>540</v>
      </c>
      <c r="C246" s="41">
        <v>0</v>
      </c>
      <c r="D246" s="41" t="s">
        <v>198</v>
      </c>
    </row>
    <row r="247" spans="1:4" ht="14.4" x14ac:dyDescent="0.3">
      <c r="A247" s="41" t="s">
        <v>541</v>
      </c>
      <c r="B247" s="41" t="s">
        <v>542</v>
      </c>
      <c r="C247" s="41">
        <v>0</v>
      </c>
      <c r="D247" s="41" t="s">
        <v>198</v>
      </c>
    </row>
    <row r="248" spans="1:4" ht="14.4" x14ac:dyDescent="0.3">
      <c r="A248" s="41" t="s">
        <v>543</v>
      </c>
      <c r="B248" s="41" t="s">
        <v>544</v>
      </c>
      <c r="C248" s="41">
        <v>0</v>
      </c>
      <c r="D248" s="41" t="s">
        <v>198</v>
      </c>
    </row>
    <row r="249" spans="1:4" ht="14.4" x14ac:dyDescent="0.3">
      <c r="A249" s="41" t="s">
        <v>545</v>
      </c>
      <c r="B249" s="41" t="s">
        <v>546</v>
      </c>
      <c r="C249" s="41">
        <v>0</v>
      </c>
      <c r="D249" s="41" t="s">
        <v>198</v>
      </c>
    </row>
    <row r="250" spans="1:4" ht="14.4" x14ac:dyDescent="0.3">
      <c r="A250" s="41" t="s">
        <v>547</v>
      </c>
      <c r="B250" s="41" t="s">
        <v>548</v>
      </c>
      <c r="C250" s="41">
        <v>0</v>
      </c>
      <c r="D250" s="41" t="s">
        <v>198</v>
      </c>
    </row>
    <row r="251" spans="1:4" ht="14.4" x14ac:dyDescent="0.3">
      <c r="A251" s="41" t="s">
        <v>549</v>
      </c>
      <c r="B251" s="41" t="s">
        <v>550</v>
      </c>
      <c r="C251" s="41">
        <v>0</v>
      </c>
      <c r="D251" s="41" t="s">
        <v>198</v>
      </c>
    </row>
    <row r="252" spans="1:4" ht="14.4" x14ac:dyDescent="0.3">
      <c r="A252" s="41" t="s">
        <v>551</v>
      </c>
      <c r="B252" s="41" t="s">
        <v>552</v>
      </c>
      <c r="C252" s="41">
        <v>0</v>
      </c>
      <c r="D252" s="41" t="s">
        <v>198</v>
      </c>
    </row>
    <row r="253" spans="1:4" ht="14.4" x14ac:dyDescent="0.3">
      <c r="A253" s="41" t="s">
        <v>553</v>
      </c>
      <c r="B253" s="41" t="s">
        <v>554</v>
      </c>
      <c r="C253" s="41">
        <v>0</v>
      </c>
      <c r="D253" s="41" t="s">
        <v>198</v>
      </c>
    </row>
    <row r="254" spans="1:4" ht="14.4" x14ac:dyDescent="0.3">
      <c r="A254" s="41" t="s">
        <v>555</v>
      </c>
      <c r="B254" s="41" t="s">
        <v>556</v>
      </c>
      <c r="C254" s="41">
        <v>0</v>
      </c>
      <c r="D254" s="41" t="s">
        <v>198</v>
      </c>
    </row>
    <row r="255" spans="1:4" ht="14.4" x14ac:dyDescent="0.3">
      <c r="A255" s="41" t="s">
        <v>557</v>
      </c>
      <c r="B255" s="41" t="s">
        <v>558</v>
      </c>
      <c r="C255" s="41">
        <v>0</v>
      </c>
      <c r="D255" s="41" t="s">
        <v>198</v>
      </c>
    </row>
    <row r="256" spans="1:4" ht="14.4" x14ac:dyDescent="0.3">
      <c r="A256" s="41" t="s">
        <v>559</v>
      </c>
      <c r="B256" s="41" t="s">
        <v>560</v>
      </c>
      <c r="C256" s="41">
        <v>0</v>
      </c>
      <c r="D256" s="41" t="s">
        <v>198</v>
      </c>
    </row>
    <row r="257" spans="1:4" ht="14.4" x14ac:dyDescent="0.3">
      <c r="A257" s="41" t="s">
        <v>561</v>
      </c>
      <c r="B257" s="41" t="s">
        <v>562</v>
      </c>
      <c r="C257" s="41">
        <v>0</v>
      </c>
      <c r="D257" s="41" t="s">
        <v>198</v>
      </c>
    </row>
    <row r="258" spans="1:4" ht="14.4" x14ac:dyDescent="0.3">
      <c r="A258" s="41" t="s">
        <v>563</v>
      </c>
      <c r="B258" s="41" t="s">
        <v>564</v>
      </c>
      <c r="C258" s="41">
        <v>0</v>
      </c>
      <c r="D258" s="41" t="s">
        <v>198</v>
      </c>
    </row>
    <row r="259" spans="1:4" ht="14.4" x14ac:dyDescent="0.3">
      <c r="A259" s="41" t="s">
        <v>565</v>
      </c>
      <c r="B259" s="41" t="s">
        <v>566</v>
      </c>
      <c r="C259" s="41">
        <v>0</v>
      </c>
      <c r="D259" s="41" t="s">
        <v>198</v>
      </c>
    </row>
    <row r="260" spans="1:4" ht="14.4" x14ac:dyDescent="0.3">
      <c r="A260" s="41" t="s">
        <v>567</v>
      </c>
      <c r="B260" s="41" t="s">
        <v>568</v>
      </c>
      <c r="C260" s="41">
        <v>0</v>
      </c>
      <c r="D260" s="41" t="s">
        <v>198</v>
      </c>
    </row>
    <row r="261" spans="1:4" ht="14.4" x14ac:dyDescent="0.3">
      <c r="A261" s="41" t="s">
        <v>569</v>
      </c>
      <c r="B261" s="41" t="s">
        <v>570</v>
      </c>
      <c r="C261" s="41">
        <v>0</v>
      </c>
      <c r="D261" s="41" t="s">
        <v>198</v>
      </c>
    </row>
    <row r="262" spans="1:4" ht="14.4" x14ac:dyDescent="0.3">
      <c r="A262" s="41" t="s">
        <v>571</v>
      </c>
      <c r="B262" s="41" t="s">
        <v>572</v>
      </c>
      <c r="C262" s="41">
        <v>0</v>
      </c>
      <c r="D262" s="41" t="s">
        <v>198</v>
      </c>
    </row>
    <row r="263" spans="1:4" ht="14.4" x14ac:dyDescent="0.3">
      <c r="A263" s="41" t="s">
        <v>573</v>
      </c>
      <c r="B263" s="41" t="s">
        <v>574</v>
      </c>
      <c r="C263" s="41">
        <v>0</v>
      </c>
      <c r="D263" s="41" t="s">
        <v>198</v>
      </c>
    </row>
    <row r="264" spans="1:4" ht="14.4" x14ac:dyDescent="0.3">
      <c r="A264" s="41" t="s">
        <v>575</v>
      </c>
      <c r="B264" s="41" t="s">
        <v>576</v>
      </c>
      <c r="C264" s="41">
        <v>0</v>
      </c>
      <c r="D264" s="41" t="s">
        <v>198</v>
      </c>
    </row>
    <row r="265" spans="1:4" ht="14.4" x14ac:dyDescent="0.3">
      <c r="A265" s="41" t="s">
        <v>577</v>
      </c>
      <c r="B265" s="41" t="s">
        <v>578</v>
      </c>
      <c r="C265" s="41">
        <v>0</v>
      </c>
      <c r="D265" s="41" t="s">
        <v>198</v>
      </c>
    </row>
    <row r="266" spans="1:4" ht="14.4" x14ac:dyDescent="0.3">
      <c r="A266" s="41" t="s">
        <v>579</v>
      </c>
      <c r="B266" s="41" t="s">
        <v>580</v>
      </c>
      <c r="C266" s="41">
        <v>0</v>
      </c>
      <c r="D266" s="41" t="s">
        <v>198</v>
      </c>
    </row>
    <row r="267" spans="1:4" ht="14.4" x14ac:dyDescent="0.3">
      <c r="A267" s="41" t="s">
        <v>581</v>
      </c>
      <c r="B267" s="41" t="s">
        <v>582</v>
      </c>
      <c r="C267" s="41">
        <v>0</v>
      </c>
      <c r="D267" s="41" t="s">
        <v>198</v>
      </c>
    </row>
    <row r="268" spans="1:4" ht="14.4" x14ac:dyDescent="0.3">
      <c r="A268" s="41" t="s">
        <v>583</v>
      </c>
      <c r="B268" s="41" t="s">
        <v>584</v>
      </c>
      <c r="C268" s="41">
        <v>0</v>
      </c>
      <c r="D268" s="41" t="s">
        <v>198</v>
      </c>
    </row>
    <row r="269" spans="1:4" ht="14.4" x14ac:dyDescent="0.3">
      <c r="A269" s="41" t="s">
        <v>585</v>
      </c>
      <c r="B269" s="41" t="s">
        <v>586</v>
      </c>
      <c r="C269" s="41">
        <v>0</v>
      </c>
      <c r="D269" s="41" t="s">
        <v>198</v>
      </c>
    </row>
    <row r="270" spans="1:4" ht="14.4" x14ac:dyDescent="0.3">
      <c r="A270" s="41" t="s">
        <v>587</v>
      </c>
      <c r="B270" s="41" t="s">
        <v>588</v>
      </c>
      <c r="C270" s="41">
        <v>0</v>
      </c>
      <c r="D270" s="41" t="s">
        <v>198</v>
      </c>
    </row>
    <row r="271" spans="1:4" ht="14.4" x14ac:dyDescent="0.3">
      <c r="A271" s="41" t="s">
        <v>589</v>
      </c>
      <c r="B271" s="41" t="s">
        <v>590</v>
      </c>
      <c r="C271" s="41">
        <v>0</v>
      </c>
      <c r="D271" s="41" t="s">
        <v>198</v>
      </c>
    </row>
    <row r="272" spans="1:4" ht="14.4" x14ac:dyDescent="0.3">
      <c r="A272" s="41" t="s">
        <v>591</v>
      </c>
      <c r="B272" s="41" t="s">
        <v>592</v>
      </c>
      <c r="C272" s="41">
        <v>0</v>
      </c>
      <c r="D272" s="41" t="s">
        <v>198</v>
      </c>
    </row>
    <row r="273" spans="1:4" ht="14.4" x14ac:dyDescent="0.3">
      <c r="A273" s="41" t="s">
        <v>593</v>
      </c>
      <c r="B273" s="41" t="s">
        <v>594</v>
      </c>
      <c r="C273" s="41">
        <v>0</v>
      </c>
      <c r="D273" s="41" t="s">
        <v>198</v>
      </c>
    </row>
    <row r="274" spans="1:4" ht="14.4" x14ac:dyDescent="0.3">
      <c r="A274" s="41" t="s">
        <v>595</v>
      </c>
      <c r="B274" s="41" t="s">
        <v>596</v>
      </c>
      <c r="C274" s="41">
        <v>0</v>
      </c>
      <c r="D274" s="41" t="s">
        <v>198</v>
      </c>
    </row>
    <row r="275" spans="1:4" ht="14.4" x14ac:dyDescent="0.3">
      <c r="A275" s="41" t="s">
        <v>597</v>
      </c>
      <c r="B275" s="41" t="s">
        <v>598</v>
      </c>
      <c r="C275" s="41">
        <v>0</v>
      </c>
      <c r="D275" s="41" t="s">
        <v>198</v>
      </c>
    </row>
    <row r="276" spans="1:4" ht="14.4" x14ac:dyDescent="0.3">
      <c r="A276" s="41" t="s">
        <v>599</v>
      </c>
      <c r="B276" s="41" t="s">
        <v>600</v>
      </c>
      <c r="C276" s="41">
        <v>0</v>
      </c>
      <c r="D276" s="41" t="s">
        <v>198</v>
      </c>
    </row>
    <row r="277" spans="1:4" ht="14.4" x14ac:dyDescent="0.3">
      <c r="A277" s="41" t="s">
        <v>601</v>
      </c>
      <c r="B277" s="41" t="s">
        <v>602</v>
      </c>
      <c r="C277" s="41">
        <v>0</v>
      </c>
      <c r="D277" s="41" t="s">
        <v>198</v>
      </c>
    </row>
    <row r="278" spans="1:4" ht="14.4" x14ac:dyDescent="0.3">
      <c r="A278" s="41" t="s">
        <v>603</v>
      </c>
      <c r="B278" s="41" t="s">
        <v>604</v>
      </c>
      <c r="C278" s="41">
        <v>0</v>
      </c>
      <c r="D278" s="41" t="s">
        <v>198</v>
      </c>
    </row>
    <row r="279" spans="1:4" ht="14.4" x14ac:dyDescent="0.3">
      <c r="A279" s="41" t="s">
        <v>605</v>
      </c>
      <c r="B279" s="41" t="s">
        <v>606</v>
      </c>
      <c r="C279" s="41">
        <v>0</v>
      </c>
      <c r="D279" s="41" t="s">
        <v>198</v>
      </c>
    </row>
    <row r="280" spans="1:4" ht="14.4" x14ac:dyDescent="0.3">
      <c r="A280" s="41" t="s">
        <v>607</v>
      </c>
      <c r="B280" s="41" t="s">
        <v>608</v>
      </c>
      <c r="C280" s="41">
        <v>0</v>
      </c>
      <c r="D280" s="41" t="s">
        <v>198</v>
      </c>
    </row>
    <row r="281" spans="1:4" ht="14.4" x14ac:dyDescent="0.3">
      <c r="A281" s="41" t="s">
        <v>609</v>
      </c>
      <c r="B281" s="41" t="s">
        <v>610</v>
      </c>
      <c r="C281" s="41">
        <v>0</v>
      </c>
      <c r="D281" s="41" t="s">
        <v>198</v>
      </c>
    </row>
    <row r="282" spans="1:4" ht="14.4" x14ac:dyDescent="0.3">
      <c r="A282" s="41" t="s">
        <v>611</v>
      </c>
      <c r="B282" s="41" t="s">
        <v>612</v>
      </c>
      <c r="C282" s="41">
        <v>0</v>
      </c>
      <c r="D282" s="41" t="s">
        <v>198</v>
      </c>
    </row>
    <row r="283" spans="1:4" ht="14.4" x14ac:dyDescent="0.3">
      <c r="A283" s="41" t="s">
        <v>613</v>
      </c>
      <c r="B283" s="41" t="s">
        <v>614</v>
      </c>
      <c r="C283" s="41">
        <v>0</v>
      </c>
      <c r="D283" s="41" t="s">
        <v>198</v>
      </c>
    </row>
    <row r="284" spans="1:4" ht="14.4" x14ac:dyDescent="0.3"/>
    <row r="285" spans="1:4" ht="14.4" x14ac:dyDescent="0.3">
      <c r="C285" s="41">
        <v>12</v>
      </c>
    </row>
    <row r="286" spans="1:4" ht="14.4" x14ac:dyDescent="0.3"/>
    <row r="287" spans="1:4" ht="14.4" x14ac:dyDescent="0.3"/>
    <row r="288" spans="1:4" ht="14.4" x14ac:dyDescent="0.3"/>
    <row r="289" spans="3:3" ht="14.4" x14ac:dyDescent="0.3">
      <c r="C289" s="41">
        <v>1</v>
      </c>
    </row>
    <row r="290" spans="3:3" ht="14.4" x14ac:dyDescent="0.3"/>
    <row r="291" spans="3:3" ht="14.4" x14ac:dyDescent="0.3"/>
    <row r="292" spans="3:3" ht="14.4" x14ac:dyDescent="0.3"/>
    <row r="293" spans="3:3" ht="14.4" x14ac:dyDescent="0.3">
      <c r="C293" s="41">
        <v>0</v>
      </c>
    </row>
    <row r="294" spans="3:3" ht="14.4" x14ac:dyDescent="0.3"/>
    <row r="295" spans="3:3" ht="14.4" x14ac:dyDescent="0.3"/>
    <row r="296" spans="3:3" ht="14.4" x14ac:dyDescent="0.3"/>
    <row r="297" spans="3:3" ht="14.4" x14ac:dyDescent="0.3">
      <c r="C297" s="41">
        <v>0</v>
      </c>
    </row>
    <row r="298" spans="3:3" ht="14.4" x14ac:dyDescent="0.3"/>
    <row r="299" spans="3:3" ht="14.4" x14ac:dyDescent="0.3"/>
    <row r="300" spans="3:3" ht="14.4" x14ac:dyDescent="0.3"/>
    <row r="301" spans="3:3" ht="14.4" x14ac:dyDescent="0.3">
      <c r="C301" s="41">
        <v>0</v>
      </c>
    </row>
    <row r="302" spans="3:3" ht="14.4" x14ac:dyDescent="0.3"/>
    <row r="303" spans="3:3" ht="14.4" x14ac:dyDescent="0.3"/>
    <row r="304" spans="3:3" ht="14.4" x14ac:dyDescent="0.3"/>
    <row r="305" spans="3:3" ht="14.4" x14ac:dyDescent="0.3">
      <c r="C305" s="41">
        <v>1</v>
      </c>
    </row>
    <row r="306" spans="3:3" ht="14.4" x14ac:dyDescent="0.3"/>
    <row r="307" spans="3:3" ht="14.4" x14ac:dyDescent="0.3"/>
    <row r="308" spans="3:3" ht="14.4" x14ac:dyDescent="0.3"/>
    <row r="309" spans="3:3" ht="14.4" x14ac:dyDescent="0.3">
      <c r="C309" s="41">
        <v>5</v>
      </c>
    </row>
    <row r="310" spans="3:3" ht="14.4" x14ac:dyDescent="0.3"/>
    <row r="311" spans="3:3" ht="14.4" x14ac:dyDescent="0.3"/>
    <row r="312" spans="3:3" ht="14.4" x14ac:dyDescent="0.3"/>
    <row r="313" spans="3:3" ht="14.4" x14ac:dyDescent="0.3">
      <c r="C313" s="41">
        <v>23</v>
      </c>
    </row>
    <row r="314" spans="3:3" ht="14.4" x14ac:dyDescent="0.3"/>
    <row r="315" spans="3:3" ht="14.4" x14ac:dyDescent="0.3"/>
    <row r="316" spans="3:3" ht="14.4" x14ac:dyDescent="0.3"/>
    <row r="317" spans="3:3" ht="14.4" x14ac:dyDescent="0.3">
      <c r="C317" s="41">
        <v>46</v>
      </c>
    </row>
    <row r="318" spans="3:3" ht="14.4" x14ac:dyDescent="0.3"/>
    <row r="319" spans="3:3" ht="14.4" x14ac:dyDescent="0.3"/>
    <row r="320" spans="3:3" ht="14.4" x14ac:dyDescent="0.3"/>
    <row r="321" spans="3:3" ht="14.4" x14ac:dyDescent="0.3">
      <c r="C321" s="41">
        <v>1</v>
      </c>
    </row>
    <row r="322" spans="3:3" ht="14.4" x14ac:dyDescent="0.3"/>
    <row r="323" spans="3:3" ht="14.4" x14ac:dyDescent="0.3"/>
    <row r="324" spans="3:3" ht="14.4" x14ac:dyDescent="0.3"/>
    <row r="325" spans="3:3" ht="14.4" x14ac:dyDescent="0.3">
      <c r="C325" s="41">
        <v>27</v>
      </c>
    </row>
    <row r="326" spans="3:3" ht="14.4" x14ac:dyDescent="0.3"/>
    <row r="327" spans="3:3" ht="14.4" x14ac:dyDescent="0.3"/>
    <row r="328" spans="3:3" ht="14.4" x14ac:dyDescent="0.3"/>
    <row r="329" spans="3:3" ht="14.4" x14ac:dyDescent="0.3">
      <c r="C329" s="41">
        <v>0</v>
      </c>
    </row>
    <row r="330" spans="3:3" ht="14.4" x14ac:dyDescent="0.3"/>
    <row r="331" spans="3:3" ht="14.4" x14ac:dyDescent="0.3"/>
    <row r="332" spans="3:3" ht="14.4" x14ac:dyDescent="0.3"/>
    <row r="333" spans="3:3" ht="14.4" x14ac:dyDescent="0.3">
      <c r="C333" s="41">
        <v>20</v>
      </c>
    </row>
    <row r="334" spans="3:3" ht="14.4" x14ac:dyDescent="0.3"/>
    <row r="335" spans="3:3" ht="14.4" x14ac:dyDescent="0.3"/>
    <row r="336" spans="3:3" ht="14.4" x14ac:dyDescent="0.3"/>
    <row r="337" spans="3:3" ht="14.4" x14ac:dyDescent="0.3">
      <c r="C337" s="41">
        <v>72</v>
      </c>
    </row>
    <row r="338" spans="3:3" ht="14.4" x14ac:dyDescent="0.3"/>
    <row r="339" spans="3:3" ht="14.4" x14ac:dyDescent="0.3"/>
    <row r="340" spans="3:3" ht="14.4" x14ac:dyDescent="0.3"/>
    <row r="341" spans="3:3" ht="14.4" x14ac:dyDescent="0.3">
      <c r="C341" s="41">
        <v>0</v>
      </c>
    </row>
    <row r="342" spans="3:3" ht="14.4" x14ac:dyDescent="0.3"/>
    <row r="343" spans="3:3" ht="14.4" x14ac:dyDescent="0.3"/>
    <row r="344" spans="3:3" ht="14.4" x14ac:dyDescent="0.3"/>
    <row r="345" spans="3:3" ht="14.4" x14ac:dyDescent="0.3">
      <c r="C345" s="41">
        <v>1</v>
      </c>
    </row>
    <row r="346" spans="3:3" ht="14.4" x14ac:dyDescent="0.3"/>
    <row r="347" spans="3:3" ht="14.4" x14ac:dyDescent="0.3"/>
    <row r="348" spans="3:3" ht="14.4" x14ac:dyDescent="0.3"/>
    <row r="349" spans="3:3" ht="14.4" x14ac:dyDescent="0.3">
      <c r="C349" s="41">
        <v>0</v>
      </c>
    </row>
    <row r="350" spans="3:3" ht="14.4" x14ac:dyDescent="0.3"/>
    <row r="351" spans="3:3" ht="14.4" x14ac:dyDescent="0.3"/>
    <row r="352" spans="3:3" ht="14.4" x14ac:dyDescent="0.3"/>
    <row r="353" spans="3:3" ht="14.4" x14ac:dyDescent="0.3">
      <c r="C353" s="41">
        <v>1</v>
      </c>
    </row>
    <row r="354" spans="3:3" ht="14.4" x14ac:dyDescent="0.3"/>
    <row r="355" spans="3:3" ht="14.4" x14ac:dyDescent="0.3"/>
    <row r="356" spans="3:3" ht="14.4" x14ac:dyDescent="0.3"/>
    <row r="357" spans="3:3" ht="14.4" x14ac:dyDescent="0.3">
      <c r="C357" s="41">
        <v>9</v>
      </c>
    </row>
    <row r="358" spans="3:3" ht="14.4" x14ac:dyDescent="0.3"/>
    <row r="359" spans="3:3" ht="14.4" x14ac:dyDescent="0.3"/>
    <row r="360" spans="3:3" ht="14.4" x14ac:dyDescent="0.3"/>
    <row r="361" spans="3:3" ht="14.4" x14ac:dyDescent="0.3">
      <c r="C361" s="41">
        <v>0</v>
      </c>
    </row>
    <row r="362" spans="3:3" ht="14.4" x14ac:dyDescent="0.3"/>
    <row r="363" spans="3:3" ht="14.4" x14ac:dyDescent="0.3"/>
    <row r="364" spans="3:3" ht="14.4" x14ac:dyDescent="0.3"/>
    <row r="365" spans="3:3" ht="14.4" x14ac:dyDescent="0.3">
      <c r="C365" s="41">
        <v>29</v>
      </c>
    </row>
    <row r="366" spans="3:3" ht="14.4" x14ac:dyDescent="0.3"/>
    <row r="367" spans="3:3" ht="14.4" x14ac:dyDescent="0.3"/>
    <row r="368" spans="3:3" ht="14.4" x14ac:dyDescent="0.3"/>
    <row r="369" spans="3:3" ht="14.4" x14ac:dyDescent="0.3">
      <c r="C369" s="41">
        <v>0</v>
      </c>
    </row>
    <row r="370" spans="3:3" ht="14.4" x14ac:dyDescent="0.3"/>
    <row r="371" spans="3:3" ht="14.4" x14ac:dyDescent="0.3"/>
    <row r="372" spans="3:3" ht="14.4" x14ac:dyDescent="0.3"/>
    <row r="373" spans="3:3" ht="14.4" x14ac:dyDescent="0.3">
      <c r="C373" s="41">
        <v>0</v>
      </c>
    </row>
    <row r="374" spans="3:3" ht="14.4" x14ac:dyDescent="0.3"/>
    <row r="375" spans="3:3" ht="14.4" x14ac:dyDescent="0.3"/>
    <row r="376" spans="3:3" ht="14.4" x14ac:dyDescent="0.3"/>
    <row r="377" spans="3:3" ht="14.4" x14ac:dyDescent="0.3">
      <c r="C377" s="41">
        <v>1</v>
      </c>
    </row>
    <row r="378" spans="3:3" ht="14.4" x14ac:dyDescent="0.3"/>
    <row r="379" spans="3:3" ht="14.4" x14ac:dyDescent="0.3"/>
    <row r="380" spans="3:3" ht="14.4" x14ac:dyDescent="0.3"/>
    <row r="381" spans="3:3" ht="14.4" x14ac:dyDescent="0.3">
      <c r="C381" s="41">
        <v>0</v>
      </c>
    </row>
    <row r="382" spans="3:3" ht="14.4" x14ac:dyDescent="0.3"/>
    <row r="383" spans="3:3" ht="14.4" x14ac:dyDescent="0.3"/>
    <row r="384" spans="3:3" ht="14.4" x14ac:dyDescent="0.3"/>
    <row r="385" spans="3:3" ht="14.4" x14ac:dyDescent="0.3">
      <c r="C385" s="41">
        <v>0</v>
      </c>
    </row>
    <row r="386" spans="3:3" ht="14.4" x14ac:dyDescent="0.3"/>
    <row r="387" spans="3:3" ht="14.4" x14ac:dyDescent="0.3"/>
    <row r="388" spans="3:3" ht="14.4" x14ac:dyDescent="0.3"/>
    <row r="389" spans="3:3" ht="14.4" x14ac:dyDescent="0.3">
      <c r="C389" s="41">
        <v>0</v>
      </c>
    </row>
    <row r="390" spans="3:3" ht="14.4" x14ac:dyDescent="0.3"/>
    <row r="391" spans="3:3" ht="14.4" x14ac:dyDescent="0.3"/>
    <row r="392" spans="3:3" ht="14.4" x14ac:dyDescent="0.3"/>
    <row r="393" spans="3:3" ht="14.4" x14ac:dyDescent="0.3">
      <c r="C393" s="41">
        <v>28</v>
      </c>
    </row>
    <row r="394" spans="3:3" ht="14.4" x14ac:dyDescent="0.3"/>
    <row r="395" spans="3:3" ht="14.4" x14ac:dyDescent="0.3"/>
    <row r="396" spans="3:3" ht="14.4" x14ac:dyDescent="0.3"/>
    <row r="397" spans="3:3" ht="14.4" x14ac:dyDescent="0.3">
      <c r="C397" s="41">
        <v>1</v>
      </c>
    </row>
    <row r="398" spans="3:3" ht="14.4" x14ac:dyDescent="0.3"/>
    <row r="399" spans="3:3" ht="14.4" x14ac:dyDescent="0.3"/>
    <row r="400" spans="3:3" ht="14.4" x14ac:dyDescent="0.3"/>
    <row r="401" spans="3:3" ht="14.4" x14ac:dyDescent="0.3">
      <c r="C401" s="41">
        <v>0</v>
      </c>
    </row>
    <row r="402" spans="3:3" ht="14.4" x14ac:dyDescent="0.3"/>
    <row r="403" spans="3:3" ht="14.4" x14ac:dyDescent="0.3"/>
    <row r="404" spans="3:3" ht="14.4" x14ac:dyDescent="0.3"/>
    <row r="405" spans="3:3" ht="14.4" x14ac:dyDescent="0.3">
      <c r="C405" s="41">
        <v>0</v>
      </c>
    </row>
    <row r="406" spans="3:3" ht="14.4" x14ac:dyDescent="0.3"/>
    <row r="407" spans="3:3" ht="14.4" x14ac:dyDescent="0.3"/>
    <row r="408" spans="3:3" ht="14.4" x14ac:dyDescent="0.3"/>
    <row r="409" spans="3:3" ht="14.4" x14ac:dyDescent="0.3">
      <c r="C409" s="41">
        <v>0</v>
      </c>
    </row>
    <row r="410" spans="3:3" ht="14.4" x14ac:dyDescent="0.3"/>
    <row r="411" spans="3:3" ht="14.4" x14ac:dyDescent="0.3"/>
    <row r="412" spans="3:3" ht="14.4" x14ac:dyDescent="0.3"/>
    <row r="413" spans="3:3" ht="14.4" x14ac:dyDescent="0.3">
      <c r="C413" s="41">
        <v>0</v>
      </c>
    </row>
    <row r="414" spans="3:3" ht="14.4" x14ac:dyDescent="0.3"/>
    <row r="415" spans="3:3" ht="14.4" x14ac:dyDescent="0.3"/>
    <row r="416" spans="3:3" ht="14.4" x14ac:dyDescent="0.3"/>
    <row r="417" spans="3:3" ht="14.4" x14ac:dyDescent="0.3">
      <c r="C417" s="41">
        <v>58</v>
      </c>
    </row>
    <row r="418" spans="3:3" ht="14.4" x14ac:dyDescent="0.3"/>
    <row r="419" spans="3:3" ht="14.4" x14ac:dyDescent="0.3"/>
    <row r="420" spans="3:3" ht="14.4" x14ac:dyDescent="0.3"/>
    <row r="421" spans="3:3" ht="14.4" x14ac:dyDescent="0.3">
      <c r="C421" s="41">
        <v>0</v>
      </c>
    </row>
    <row r="422" spans="3:3" ht="14.4" x14ac:dyDescent="0.3"/>
    <row r="423" spans="3:3" ht="14.4" x14ac:dyDescent="0.3"/>
    <row r="424" spans="3:3" ht="14.4" x14ac:dyDescent="0.3"/>
    <row r="425" spans="3:3" ht="14.4" x14ac:dyDescent="0.3">
      <c r="C425" s="41">
        <v>0</v>
      </c>
    </row>
    <row r="426" spans="3:3" ht="14.4" x14ac:dyDescent="0.3"/>
    <row r="427" spans="3:3" ht="14.4" x14ac:dyDescent="0.3"/>
    <row r="428" spans="3:3" ht="14.4" x14ac:dyDescent="0.3"/>
    <row r="429" spans="3:3" ht="14.4" x14ac:dyDescent="0.3">
      <c r="C429" s="41">
        <v>0</v>
      </c>
    </row>
    <row r="430" spans="3:3" ht="14.4" x14ac:dyDescent="0.3"/>
    <row r="431" spans="3:3" ht="14.4" x14ac:dyDescent="0.3"/>
    <row r="432" spans="3:3" ht="14.4" x14ac:dyDescent="0.3"/>
    <row r="433" spans="3:3" ht="14.4" x14ac:dyDescent="0.3">
      <c r="C433" s="41">
        <v>1</v>
      </c>
    </row>
    <row r="434" spans="3:3" ht="14.4" x14ac:dyDescent="0.3"/>
    <row r="435" spans="3:3" ht="14.4" x14ac:dyDescent="0.3"/>
    <row r="436" spans="3:3" ht="14.4" x14ac:dyDescent="0.3"/>
    <row r="437" spans="3:3" ht="14.4" x14ac:dyDescent="0.3">
      <c r="C437" s="41">
        <v>0</v>
      </c>
    </row>
    <row r="438" spans="3:3" ht="14.4" x14ac:dyDescent="0.3"/>
    <row r="439" spans="3:3" ht="14.4" x14ac:dyDescent="0.3"/>
    <row r="440" spans="3:3" ht="14.4" x14ac:dyDescent="0.3"/>
    <row r="441" spans="3:3" ht="14.4" x14ac:dyDescent="0.3">
      <c r="C441" s="41">
        <v>3</v>
      </c>
    </row>
    <row r="442" spans="3:3" ht="14.4" x14ac:dyDescent="0.3"/>
    <row r="443" spans="3:3" ht="14.4" x14ac:dyDescent="0.3"/>
    <row r="444" spans="3:3" ht="14.4" x14ac:dyDescent="0.3"/>
    <row r="445" spans="3:3" ht="14.4" x14ac:dyDescent="0.3">
      <c r="C445" s="41">
        <v>419</v>
      </c>
    </row>
    <row r="446" spans="3:3" ht="14.4" x14ac:dyDescent="0.3"/>
    <row r="447" spans="3:3" ht="14.4" x14ac:dyDescent="0.3"/>
    <row r="448" spans="3:3" ht="14.4" x14ac:dyDescent="0.3"/>
    <row r="449" spans="3:3" ht="14.4" x14ac:dyDescent="0.3">
      <c r="C449" s="41">
        <v>0</v>
      </c>
    </row>
    <row r="450" spans="3:3" ht="14.4" x14ac:dyDescent="0.3"/>
    <row r="451" spans="3:3" ht="14.4" x14ac:dyDescent="0.3"/>
    <row r="452" spans="3:3" ht="14.4" x14ac:dyDescent="0.3"/>
    <row r="453" spans="3:3" ht="14.4" x14ac:dyDescent="0.3">
      <c r="C453" s="41">
        <v>0</v>
      </c>
    </row>
    <row r="454" spans="3:3" ht="14.4" x14ac:dyDescent="0.3"/>
    <row r="455" spans="3:3" ht="14.4" x14ac:dyDescent="0.3"/>
    <row r="456" spans="3:3" ht="14.4" x14ac:dyDescent="0.3"/>
    <row r="457" spans="3:3" ht="14.4" x14ac:dyDescent="0.3">
      <c r="C457" s="41">
        <v>0</v>
      </c>
    </row>
    <row r="458" spans="3:3" ht="14.4" x14ac:dyDescent="0.3"/>
    <row r="459" spans="3:3" ht="14.4" x14ac:dyDescent="0.3"/>
    <row r="460" spans="3:3" ht="14.4" x14ac:dyDescent="0.3"/>
    <row r="461" spans="3:3" ht="14.4" x14ac:dyDescent="0.3">
      <c r="C461" s="41">
        <v>0</v>
      </c>
    </row>
    <row r="462" spans="3:3" ht="14.4" x14ac:dyDescent="0.3"/>
    <row r="463" spans="3:3" ht="14.4" x14ac:dyDescent="0.3"/>
    <row r="464" spans="3:3" ht="14.4" x14ac:dyDescent="0.3"/>
    <row r="465" spans="3:3" ht="14.4" x14ac:dyDescent="0.3">
      <c r="C465" s="41">
        <v>0</v>
      </c>
    </row>
    <row r="466" spans="3:3" ht="14.4" x14ac:dyDescent="0.3"/>
    <row r="467" spans="3:3" ht="14.4" x14ac:dyDescent="0.3"/>
    <row r="468" spans="3:3" ht="14.4" x14ac:dyDescent="0.3"/>
    <row r="469" spans="3:3" ht="14.4" x14ac:dyDescent="0.3">
      <c r="C469" s="41">
        <v>0</v>
      </c>
    </row>
    <row r="470" spans="3:3" ht="14.4" x14ac:dyDescent="0.3"/>
    <row r="471" spans="3:3" ht="14.4" x14ac:dyDescent="0.3"/>
    <row r="472" spans="3:3" ht="14.4" x14ac:dyDescent="0.3"/>
    <row r="473" spans="3:3" ht="14.4" x14ac:dyDescent="0.3">
      <c r="C473" s="41">
        <v>3</v>
      </c>
    </row>
    <row r="474" spans="3:3" ht="14.4" x14ac:dyDescent="0.3"/>
    <row r="475" spans="3:3" ht="14.4" x14ac:dyDescent="0.3"/>
    <row r="476" spans="3:3" ht="14.4" x14ac:dyDescent="0.3"/>
    <row r="477" spans="3:3" ht="14.4" x14ac:dyDescent="0.3">
      <c r="C477" s="41">
        <v>0</v>
      </c>
    </row>
    <row r="478" spans="3:3" ht="14.4" x14ac:dyDescent="0.3"/>
    <row r="479" spans="3:3" ht="14.4" x14ac:dyDescent="0.3"/>
    <row r="480" spans="3:3" ht="14.4" x14ac:dyDescent="0.3"/>
    <row r="481" spans="3:3" ht="14.4" x14ac:dyDescent="0.3">
      <c r="C481" s="41">
        <v>37</v>
      </c>
    </row>
    <row r="482" spans="3:3" ht="14.4" x14ac:dyDescent="0.3"/>
    <row r="483" spans="3:3" ht="14.4" x14ac:dyDescent="0.3"/>
    <row r="484" spans="3:3" ht="14.4" x14ac:dyDescent="0.3"/>
    <row r="485" spans="3:3" ht="14.4" x14ac:dyDescent="0.3">
      <c r="C485" s="41">
        <v>50</v>
      </c>
    </row>
    <row r="489" spans="3:3" ht="12.75" customHeight="1" x14ac:dyDescent="0.3">
      <c r="C489" s="41">
        <v>0</v>
      </c>
    </row>
    <row r="493" spans="3:3" ht="12.75" customHeight="1" x14ac:dyDescent="0.3">
      <c r="C493" s="41">
        <v>0</v>
      </c>
    </row>
    <row r="497" spans="3:3" ht="12.75" customHeight="1" x14ac:dyDescent="0.3">
      <c r="C497" s="41">
        <v>0</v>
      </c>
    </row>
    <row r="501" spans="3:3" ht="12.75" customHeight="1" x14ac:dyDescent="0.3">
      <c r="C501" s="41">
        <v>68</v>
      </c>
    </row>
    <row r="505" spans="3:3" ht="12.75" customHeight="1" x14ac:dyDescent="0.3">
      <c r="C505" s="41">
        <v>40</v>
      </c>
    </row>
    <row r="509" spans="3:3" ht="12.75" customHeight="1" x14ac:dyDescent="0.3">
      <c r="C509" s="41">
        <v>46</v>
      </c>
    </row>
    <row r="513" spans="3:3" ht="12.75" customHeight="1" x14ac:dyDescent="0.3">
      <c r="C513" s="41">
        <v>26</v>
      </c>
    </row>
    <row r="517" spans="3:3" ht="12.75" customHeight="1" x14ac:dyDescent="0.3">
      <c r="C517" s="41">
        <v>56</v>
      </c>
    </row>
    <row r="521" spans="3:3" ht="12.75" customHeight="1" x14ac:dyDescent="0.3">
      <c r="C521" s="41">
        <v>3</v>
      </c>
    </row>
    <row r="525" spans="3:3" ht="12.75" customHeight="1" x14ac:dyDescent="0.3">
      <c r="C525" s="41">
        <v>0</v>
      </c>
    </row>
    <row r="529" spans="3:3" ht="12.75" customHeight="1" x14ac:dyDescent="0.3">
      <c r="C529" s="41">
        <v>66</v>
      </c>
    </row>
    <row r="533" spans="3:3" ht="12.75" customHeight="1" x14ac:dyDescent="0.3">
      <c r="C533" s="41">
        <v>154</v>
      </c>
    </row>
    <row r="537" spans="3:3" ht="12.75" customHeight="1" x14ac:dyDescent="0.3">
      <c r="C537" s="41">
        <v>0</v>
      </c>
    </row>
    <row r="541" spans="3:3" ht="12.75" customHeight="1" x14ac:dyDescent="0.3">
      <c r="C541" s="41">
        <v>0</v>
      </c>
    </row>
    <row r="545" spans="3:3" ht="12.75" customHeight="1" x14ac:dyDescent="0.3">
      <c r="C545" s="41">
        <v>0</v>
      </c>
    </row>
    <row r="549" spans="3:3" ht="12.75" customHeight="1" x14ac:dyDescent="0.3">
      <c r="C549" s="41">
        <v>0</v>
      </c>
    </row>
    <row r="553" spans="3:3" ht="12.75" customHeight="1" x14ac:dyDescent="0.3">
      <c r="C553" s="41">
        <v>0</v>
      </c>
    </row>
    <row r="557" spans="3:3" ht="12.75" customHeight="1" x14ac:dyDescent="0.3">
      <c r="C557" s="41">
        <v>3</v>
      </c>
    </row>
    <row r="561" spans="3:3" ht="12.75" customHeight="1" x14ac:dyDescent="0.3">
      <c r="C561" s="41">
        <v>19</v>
      </c>
    </row>
    <row r="565" spans="3:3" ht="12.75" customHeight="1" x14ac:dyDescent="0.3">
      <c r="C565" s="41">
        <v>57</v>
      </c>
    </row>
    <row r="569" spans="3:3" ht="12.75" customHeight="1" x14ac:dyDescent="0.3">
      <c r="C569" s="41">
        <v>0</v>
      </c>
    </row>
    <row r="573" spans="3:3" ht="12.75" customHeight="1" x14ac:dyDescent="0.3">
      <c r="C573" s="41">
        <v>0</v>
      </c>
    </row>
    <row r="577" spans="3:3" ht="12.75" customHeight="1" x14ac:dyDescent="0.3">
      <c r="C577" s="41">
        <v>24</v>
      </c>
    </row>
    <row r="581" spans="3:3" ht="12.75" customHeight="1" x14ac:dyDescent="0.3">
      <c r="C581" s="41">
        <v>24</v>
      </c>
    </row>
    <row r="585" spans="3:3" ht="12.75" customHeight="1" x14ac:dyDescent="0.3">
      <c r="C585" s="41">
        <v>24</v>
      </c>
    </row>
    <row r="589" spans="3:3" ht="12.75" customHeight="1" x14ac:dyDescent="0.3">
      <c r="C589" s="41">
        <v>24</v>
      </c>
    </row>
    <row r="593" spans="3:3" ht="12.75" customHeight="1" x14ac:dyDescent="0.3">
      <c r="C593" s="41">
        <v>24</v>
      </c>
    </row>
    <row r="597" spans="3:3" ht="12.75" customHeight="1" x14ac:dyDescent="0.3">
      <c r="C597" s="41">
        <v>24</v>
      </c>
    </row>
    <row r="601" spans="3:3" ht="12.75" customHeight="1" x14ac:dyDescent="0.3">
      <c r="C601" s="41">
        <v>552</v>
      </c>
    </row>
    <row r="605" spans="3:3" ht="12.75" customHeight="1" x14ac:dyDescent="0.3">
      <c r="C605" s="41">
        <v>24</v>
      </c>
    </row>
    <row r="609" spans="3:3" ht="12.75" customHeight="1" x14ac:dyDescent="0.3">
      <c r="C609" s="41">
        <v>24</v>
      </c>
    </row>
    <row r="613" spans="3:3" ht="12.75" customHeight="1" x14ac:dyDescent="0.3">
      <c r="C613" s="41">
        <v>24</v>
      </c>
    </row>
    <row r="617" spans="3:3" ht="12.75" customHeight="1" x14ac:dyDescent="0.3">
      <c r="C617" s="41">
        <v>24</v>
      </c>
    </row>
    <row r="621" spans="3:3" ht="12.75" customHeight="1" x14ac:dyDescent="0.3">
      <c r="C621" s="41">
        <v>24</v>
      </c>
    </row>
    <row r="625" spans="3:3" ht="12.75" customHeight="1" x14ac:dyDescent="0.3">
      <c r="C625" s="41">
        <v>12</v>
      </c>
    </row>
    <row r="629" spans="3:3" ht="12.75" customHeight="1" x14ac:dyDescent="0.3">
      <c r="C629" s="41">
        <v>24</v>
      </c>
    </row>
    <row r="633" spans="3:3" ht="12.75" customHeight="1" x14ac:dyDescent="0.3">
      <c r="C633" s="41">
        <v>24</v>
      </c>
    </row>
    <row r="637" spans="3:3" ht="12.75" customHeight="1" x14ac:dyDescent="0.3">
      <c r="C637" s="41">
        <v>24</v>
      </c>
    </row>
    <row r="641" spans="3:3" ht="12.75" customHeight="1" x14ac:dyDescent="0.3">
      <c r="C641" s="41">
        <v>2</v>
      </c>
    </row>
    <row r="645" spans="3:3" ht="12.75" customHeight="1" x14ac:dyDescent="0.3">
      <c r="C645" s="41">
        <v>2</v>
      </c>
    </row>
    <row r="649" spans="3:3" ht="12.75" customHeight="1" x14ac:dyDescent="0.3">
      <c r="C649" s="41">
        <v>24</v>
      </c>
    </row>
    <row r="653" spans="3:3" ht="12.75" customHeight="1" x14ac:dyDescent="0.3">
      <c r="C653" s="41">
        <v>24</v>
      </c>
    </row>
    <row r="657" spans="3:3" ht="12.75" customHeight="1" x14ac:dyDescent="0.3">
      <c r="C657" s="41">
        <v>0</v>
      </c>
    </row>
    <row r="661" spans="3:3" ht="12.75" customHeight="1" x14ac:dyDescent="0.3">
      <c r="C661" s="41">
        <v>50</v>
      </c>
    </row>
    <row r="665" spans="3:3" ht="12.75" customHeight="1" x14ac:dyDescent="0.3">
      <c r="C665" s="41">
        <v>50</v>
      </c>
    </row>
    <row r="669" spans="3:3" ht="12.75" customHeight="1" x14ac:dyDescent="0.3">
      <c r="C669" s="41">
        <v>50</v>
      </c>
    </row>
    <row r="673" spans="3:3" ht="12.75" customHeight="1" x14ac:dyDescent="0.3">
      <c r="C673" s="41">
        <v>50</v>
      </c>
    </row>
    <row r="677" spans="3:3" ht="12.75" customHeight="1" x14ac:dyDescent="0.3">
      <c r="C677" s="41">
        <v>50</v>
      </c>
    </row>
    <row r="681" spans="3:3" ht="12.75" customHeight="1" x14ac:dyDescent="0.3">
      <c r="C681" s="41">
        <v>100</v>
      </c>
    </row>
    <row r="685" spans="3:3" ht="12.75" customHeight="1" x14ac:dyDescent="0.3">
      <c r="C685" s="41">
        <v>50</v>
      </c>
    </row>
    <row r="689" spans="3:3" ht="12.75" customHeight="1" x14ac:dyDescent="0.3">
      <c r="C689" s="41">
        <v>0</v>
      </c>
    </row>
    <row r="693" spans="3:3" ht="12.75" customHeight="1" x14ac:dyDescent="0.3">
      <c r="C693" s="41">
        <v>50</v>
      </c>
    </row>
    <row r="697" spans="3:3" ht="12.75" customHeight="1" x14ac:dyDescent="0.3">
      <c r="C697" s="41">
        <v>50</v>
      </c>
    </row>
    <row r="701" spans="3:3" ht="12.75" customHeight="1" x14ac:dyDescent="0.3">
      <c r="C701" s="41">
        <v>50</v>
      </c>
    </row>
    <row r="705" spans="3:3" ht="12.75" customHeight="1" x14ac:dyDescent="0.3">
      <c r="C705" s="41">
        <v>100</v>
      </c>
    </row>
    <row r="709" spans="3:3" ht="12.75" customHeight="1" x14ac:dyDescent="0.3">
      <c r="C709" s="41">
        <v>50</v>
      </c>
    </row>
    <row r="713" spans="3:3" ht="12.75" customHeight="1" x14ac:dyDescent="0.3">
      <c r="C713" s="41">
        <v>0</v>
      </c>
    </row>
    <row r="717" spans="3:3" ht="12.75" customHeight="1" x14ac:dyDescent="0.3">
      <c r="C717" s="41">
        <v>50</v>
      </c>
    </row>
    <row r="721" spans="3:3" ht="12.75" customHeight="1" x14ac:dyDescent="0.3">
      <c r="C721" s="41">
        <v>50</v>
      </c>
    </row>
    <row r="725" spans="3:3" ht="12.75" customHeight="1" x14ac:dyDescent="0.3">
      <c r="C725" s="41">
        <v>50</v>
      </c>
    </row>
    <row r="729" spans="3:3" ht="12.75" customHeight="1" x14ac:dyDescent="0.3">
      <c r="C729" s="41">
        <v>50</v>
      </c>
    </row>
    <row r="733" spans="3:3" ht="12.75" customHeight="1" x14ac:dyDescent="0.3">
      <c r="C733" s="41">
        <v>200</v>
      </c>
    </row>
    <row r="737" spans="3:3" ht="12.75" customHeight="1" x14ac:dyDescent="0.3">
      <c r="C737" s="41">
        <v>50</v>
      </c>
    </row>
    <row r="741" spans="3:3" ht="12.75" customHeight="1" x14ac:dyDescent="0.3">
      <c r="C741" s="41">
        <v>50</v>
      </c>
    </row>
    <row r="745" spans="3:3" ht="12.75" customHeight="1" x14ac:dyDescent="0.3">
      <c r="C745" s="41">
        <v>50</v>
      </c>
    </row>
    <row r="749" spans="3:3" ht="12.75" customHeight="1" x14ac:dyDescent="0.3">
      <c r="C749" s="41">
        <v>50</v>
      </c>
    </row>
    <row r="753" spans="3:3" ht="12.75" customHeight="1" x14ac:dyDescent="0.3">
      <c r="C753" s="41">
        <v>50</v>
      </c>
    </row>
    <row r="757" spans="3:3" ht="12.75" customHeight="1" x14ac:dyDescent="0.3">
      <c r="C757" s="41">
        <v>0</v>
      </c>
    </row>
    <row r="761" spans="3:3" ht="12.75" customHeight="1" x14ac:dyDescent="0.3">
      <c r="C761" s="41">
        <v>0</v>
      </c>
    </row>
    <row r="765" spans="3:3" ht="12.75" customHeight="1" x14ac:dyDescent="0.3">
      <c r="C765" s="41">
        <v>24</v>
      </c>
    </row>
    <row r="769" spans="3:3" ht="12.75" customHeight="1" x14ac:dyDescent="0.3">
      <c r="C769" s="41">
        <v>24</v>
      </c>
    </row>
    <row r="773" spans="3:3" ht="12.75" customHeight="1" x14ac:dyDescent="0.3">
      <c r="C773" s="41">
        <v>0</v>
      </c>
    </row>
    <row r="777" spans="3:3" ht="12.75" customHeight="1" x14ac:dyDescent="0.3">
      <c r="C777" s="41">
        <v>0</v>
      </c>
    </row>
    <row r="781" spans="3:3" ht="12.75" customHeight="1" x14ac:dyDescent="0.3">
      <c r="C781" s="41">
        <v>0</v>
      </c>
    </row>
    <row r="785" spans="3:3" ht="12.75" customHeight="1" x14ac:dyDescent="0.3">
      <c r="C785" s="41">
        <v>0</v>
      </c>
    </row>
    <row r="789" spans="3:3" ht="12.75" customHeight="1" x14ac:dyDescent="0.3">
      <c r="C789" s="41">
        <v>0</v>
      </c>
    </row>
    <row r="793" spans="3:3" ht="12.75" customHeight="1" x14ac:dyDescent="0.3">
      <c r="C793" s="41">
        <v>0</v>
      </c>
    </row>
    <row r="797" spans="3:3" ht="12.75" customHeight="1" x14ac:dyDescent="0.3">
      <c r="C797" s="41">
        <v>0</v>
      </c>
    </row>
    <row r="801" spans="3:3" ht="12.75" customHeight="1" x14ac:dyDescent="0.3">
      <c r="C801" s="41">
        <v>0</v>
      </c>
    </row>
    <row r="805" spans="3:3" ht="12.75" customHeight="1" x14ac:dyDescent="0.3">
      <c r="C805" s="41">
        <v>0</v>
      </c>
    </row>
    <row r="809" spans="3:3" ht="12.75" customHeight="1" x14ac:dyDescent="0.3">
      <c r="C809" s="41">
        <v>0</v>
      </c>
    </row>
    <row r="813" spans="3:3" ht="12.75" customHeight="1" x14ac:dyDescent="0.3">
      <c r="C813" s="41">
        <v>0</v>
      </c>
    </row>
    <row r="817" spans="3:3" ht="12.75" customHeight="1" x14ac:dyDescent="0.3">
      <c r="C817" s="41">
        <v>24</v>
      </c>
    </row>
    <row r="821" spans="3:3" ht="12.75" customHeight="1" x14ac:dyDescent="0.3">
      <c r="C821" s="41">
        <v>48</v>
      </c>
    </row>
    <row r="825" spans="3:3" ht="12.75" customHeight="1" x14ac:dyDescent="0.3">
      <c r="C825" s="41">
        <v>48</v>
      </c>
    </row>
    <row r="829" spans="3:3" ht="12.75" customHeight="1" x14ac:dyDescent="0.3">
      <c r="C829" s="41">
        <v>48</v>
      </c>
    </row>
    <row r="833" spans="3:3" ht="12.75" customHeight="1" x14ac:dyDescent="0.3">
      <c r="C833" s="41">
        <v>24</v>
      </c>
    </row>
    <row r="837" spans="3:3" ht="12.75" customHeight="1" x14ac:dyDescent="0.3">
      <c r="C837" s="41">
        <v>24</v>
      </c>
    </row>
    <row r="841" spans="3:3" ht="12.75" customHeight="1" x14ac:dyDescent="0.3">
      <c r="C841" s="41">
        <v>24</v>
      </c>
    </row>
    <row r="845" spans="3:3" ht="12.75" customHeight="1" x14ac:dyDescent="0.3">
      <c r="C845" s="41">
        <v>24</v>
      </c>
    </row>
    <row r="849" spans="3:3" ht="12.75" customHeight="1" x14ac:dyDescent="0.3">
      <c r="C849" s="41">
        <v>24</v>
      </c>
    </row>
    <row r="853" spans="3:3" ht="12.75" customHeight="1" x14ac:dyDescent="0.3">
      <c r="C853" s="41">
        <v>6</v>
      </c>
    </row>
    <row r="857" spans="3:3" ht="12.75" customHeight="1" x14ac:dyDescent="0.3">
      <c r="C857" s="41">
        <v>24</v>
      </c>
    </row>
    <row r="861" spans="3:3" ht="12.75" customHeight="1" x14ac:dyDescent="0.3">
      <c r="C861" s="41">
        <v>24</v>
      </c>
    </row>
    <row r="865" spans="3:3" ht="12.75" customHeight="1" x14ac:dyDescent="0.3">
      <c r="C865" s="41">
        <v>12</v>
      </c>
    </row>
    <row r="869" spans="3:3" ht="12.75" customHeight="1" x14ac:dyDescent="0.3">
      <c r="C869" s="41">
        <v>24</v>
      </c>
    </row>
    <row r="873" spans="3:3" ht="12.75" customHeight="1" x14ac:dyDescent="0.3">
      <c r="C873" s="41">
        <v>24</v>
      </c>
    </row>
    <row r="877" spans="3:3" ht="12.75" customHeight="1" x14ac:dyDescent="0.3">
      <c r="C877" s="41">
        <v>24</v>
      </c>
    </row>
    <row r="881" spans="3:3" ht="12.75" customHeight="1" x14ac:dyDescent="0.3">
      <c r="C881" s="41">
        <v>6</v>
      </c>
    </row>
    <row r="885" spans="3:3" ht="12.75" customHeight="1" x14ac:dyDescent="0.3">
      <c r="C885" s="41">
        <v>24</v>
      </c>
    </row>
    <row r="889" spans="3:3" ht="12.75" customHeight="1" x14ac:dyDescent="0.3">
      <c r="C889" s="41">
        <v>24</v>
      </c>
    </row>
    <row r="893" spans="3:3" ht="12.75" customHeight="1" x14ac:dyDescent="0.3">
      <c r="C893" s="41">
        <v>24</v>
      </c>
    </row>
    <row r="897" spans="3:3" ht="12.75" customHeight="1" x14ac:dyDescent="0.3">
      <c r="C897" s="41">
        <v>24</v>
      </c>
    </row>
    <row r="901" spans="3:3" ht="12.75" customHeight="1" x14ac:dyDescent="0.3">
      <c r="C901" s="41">
        <v>6</v>
      </c>
    </row>
    <row r="905" spans="3:3" ht="12.75" customHeight="1" x14ac:dyDescent="0.3">
      <c r="C905" s="41">
        <v>24</v>
      </c>
    </row>
    <row r="909" spans="3:3" ht="12.75" customHeight="1" x14ac:dyDescent="0.3">
      <c r="C909" s="41">
        <v>48</v>
      </c>
    </row>
    <row r="913" spans="3:3" ht="12.75" customHeight="1" x14ac:dyDescent="0.3">
      <c r="C913" s="41">
        <v>0</v>
      </c>
    </row>
    <row r="917" spans="3:3" ht="12.75" customHeight="1" x14ac:dyDescent="0.3">
      <c r="C917" s="41">
        <v>0</v>
      </c>
    </row>
    <row r="921" spans="3:3" ht="12.75" customHeight="1" x14ac:dyDescent="0.3">
      <c r="C921" s="41">
        <v>0</v>
      </c>
    </row>
    <row r="925" spans="3:3" ht="12.75" customHeight="1" x14ac:dyDescent="0.3">
      <c r="C925" s="41">
        <v>0</v>
      </c>
    </row>
    <row r="929" spans="3:3" ht="12.75" customHeight="1" x14ac:dyDescent="0.3">
      <c r="C929" s="41">
        <v>0</v>
      </c>
    </row>
    <row r="933" spans="3:3" ht="12.75" customHeight="1" x14ac:dyDescent="0.3">
      <c r="C933" s="41">
        <v>0</v>
      </c>
    </row>
    <row r="937" spans="3:3" ht="12.75" customHeight="1" x14ac:dyDescent="0.3">
      <c r="C937" s="41">
        <v>0</v>
      </c>
    </row>
    <row r="941" spans="3:3" ht="12.75" customHeight="1" x14ac:dyDescent="0.3">
      <c r="C941" s="41">
        <v>0</v>
      </c>
    </row>
    <row r="945" spans="3:3" ht="12.75" customHeight="1" x14ac:dyDescent="0.3">
      <c r="C945" s="41">
        <v>0</v>
      </c>
    </row>
    <row r="949" spans="3:3" ht="12.75" customHeight="1" x14ac:dyDescent="0.3">
      <c r="C949" s="41">
        <v>0</v>
      </c>
    </row>
    <row r="953" spans="3:3" ht="12.75" customHeight="1" x14ac:dyDescent="0.3">
      <c r="C953" s="41">
        <v>0</v>
      </c>
    </row>
    <row r="957" spans="3:3" ht="12.75" customHeight="1" x14ac:dyDescent="0.3">
      <c r="C957" s="41">
        <v>0</v>
      </c>
    </row>
    <row r="961" spans="3:3" ht="12.75" customHeight="1" x14ac:dyDescent="0.3">
      <c r="C961" s="41">
        <v>0</v>
      </c>
    </row>
    <row r="965" spans="3:3" ht="12.75" customHeight="1" x14ac:dyDescent="0.3">
      <c r="C965" s="41">
        <v>0</v>
      </c>
    </row>
    <row r="969" spans="3:3" ht="12.75" customHeight="1" x14ac:dyDescent="0.3">
      <c r="C969" s="41">
        <v>0</v>
      </c>
    </row>
    <row r="973" spans="3:3" ht="12.75" customHeight="1" x14ac:dyDescent="0.3">
      <c r="C973" s="41">
        <v>0</v>
      </c>
    </row>
    <row r="977" spans="3:3" ht="12.75" customHeight="1" x14ac:dyDescent="0.3">
      <c r="C977" s="41">
        <v>0</v>
      </c>
    </row>
    <row r="981" spans="3:3" ht="12.75" customHeight="1" x14ac:dyDescent="0.3">
      <c r="C981" s="41">
        <v>0</v>
      </c>
    </row>
    <row r="985" spans="3:3" ht="12.75" customHeight="1" x14ac:dyDescent="0.3">
      <c r="C985" s="41">
        <v>0</v>
      </c>
    </row>
    <row r="989" spans="3:3" ht="12.75" customHeight="1" x14ac:dyDescent="0.3">
      <c r="C989" s="41">
        <v>0</v>
      </c>
    </row>
    <row r="993" spans="3:3" ht="12.75" customHeight="1" x14ac:dyDescent="0.3">
      <c r="C993" s="41">
        <v>0</v>
      </c>
    </row>
    <row r="997" spans="3:3" ht="12.75" customHeight="1" x14ac:dyDescent="0.3">
      <c r="C997" s="41">
        <v>0</v>
      </c>
    </row>
    <row r="1001" spans="3:3" ht="12.75" customHeight="1" x14ac:dyDescent="0.3">
      <c r="C1001" s="41">
        <v>0</v>
      </c>
    </row>
    <row r="1005" spans="3:3" ht="12.75" customHeight="1" x14ac:dyDescent="0.3">
      <c r="C1005" s="41">
        <v>0</v>
      </c>
    </row>
    <row r="1009" spans="3:3" ht="12.75" customHeight="1" x14ac:dyDescent="0.3">
      <c r="C1009" s="41">
        <v>0</v>
      </c>
    </row>
    <row r="1013" spans="3:3" ht="12.75" customHeight="1" x14ac:dyDescent="0.3">
      <c r="C1013" s="41">
        <v>0</v>
      </c>
    </row>
    <row r="1017" spans="3:3" ht="12.75" customHeight="1" x14ac:dyDescent="0.3">
      <c r="C1017" s="41">
        <v>0</v>
      </c>
    </row>
    <row r="1021" spans="3:3" ht="12.75" customHeight="1" x14ac:dyDescent="0.3">
      <c r="C1021" s="41">
        <v>0</v>
      </c>
    </row>
    <row r="1025" spans="3:3" ht="12.75" customHeight="1" x14ac:dyDescent="0.3">
      <c r="C1025" s="41">
        <v>0</v>
      </c>
    </row>
    <row r="1029" spans="3:3" ht="12.75" customHeight="1" x14ac:dyDescent="0.3">
      <c r="C1029" s="41">
        <v>0</v>
      </c>
    </row>
    <row r="1033" spans="3:3" ht="12.75" customHeight="1" x14ac:dyDescent="0.3">
      <c r="C1033" s="41">
        <v>0</v>
      </c>
    </row>
    <row r="1037" spans="3:3" ht="12.75" customHeight="1" x14ac:dyDescent="0.3">
      <c r="C1037" s="41">
        <v>0</v>
      </c>
    </row>
    <row r="1041" spans="3:3" ht="12.75" customHeight="1" x14ac:dyDescent="0.3">
      <c r="C1041" s="41">
        <v>0</v>
      </c>
    </row>
    <row r="1045" spans="3:3" ht="12.75" customHeight="1" x14ac:dyDescent="0.3">
      <c r="C1045" s="41">
        <v>0</v>
      </c>
    </row>
    <row r="1049" spans="3:3" ht="12.75" customHeight="1" x14ac:dyDescent="0.3">
      <c r="C1049" s="41">
        <v>0</v>
      </c>
    </row>
    <row r="1053" spans="3:3" ht="12.75" customHeight="1" x14ac:dyDescent="0.3">
      <c r="C1053" s="41">
        <v>0</v>
      </c>
    </row>
    <row r="1057" spans="3:3" ht="12.75" customHeight="1" x14ac:dyDescent="0.3">
      <c r="C1057" s="41">
        <v>0</v>
      </c>
    </row>
    <row r="1061" spans="3:3" ht="12.75" customHeight="1" x14ac:dyDescent="0.3">
      <c r="C1061" s="41">
        <v>0</v>
      </c>
    </row>
    <row r="1065" spans="3:3" ht="12.75" customHeight="1" x14ac:dyDescent="0.3">
      <c r="C1065" s="41">
        <v>0</v>
      </c>
    </row>
    <row r="1069" spans="3:3" ht="12.75" customHeight="1" x14ac:dyDescent="0.3">
      <c r="C1069" s="41">
        <v>0</v>
      </c>
    </row>
    <row r="1073" spans="3:3" ht="12.75" customHeight="1" x14ac:dyDescent="0.3">
      <c r="C1073" s="41">
        <v>0</v>
      </c>
    </row>
    <row r="1077" spans="3:3" ht="12.75" customHeight="1" x14ac:dyDescent="0.3">
      <c r="C1077" s="41">
        <v>0</v>
      </c>
    </row>
    <row r="1081" spans="3:3" ht="12.75" customHeight="1" x14ac:dyDescent="0.3">
      <c r="C1081" s="41">
        <v>0</v>
      </c>
    </row>
    <row r="1085" spans="3:3" ht="12.75" customHeight="1" x14ac:dyDescent="0.3">
      <c r="C1085" s="41">
        <v>0</v>
      </c>
    </row>
    <row r="1089" spans="3:3" ht="12.75" customHeight="1" x14ac:dyDescent="0.3">
      <c r="C1089" s="41">
        <v>0</v>
      </c>
    </row>
    <row r="1093" spans="3:3" ht="12.75" customHeight="1" x14ac:dyDescent="0.3">
      <c r="C1093" s="41">
        <v>0</v>
      </c>
    </row>
    <row r="1097" spans="3:3" ht="12.75" customHeight="1" x14ac:dyDescent="0.3">
      <c r="C1097" s="41">
        <v>0</v>
      </c>
    </row>
    <row r="1101" spans="3:3" ht="12.75" customHeight="1" x14ac:dyDescent="0.3">
      <c r="C1101" s="41">
        <v>0</v>
      </c>
    </row>
    <row r="1105" spans="3:3" ht="12.75" customHeight="1" x14ac:dyDescent="0.3">
      <c r="C1105" s="41">
        <v>0</v>
      </c>
    </row>
    <row r="1109" spans="3:3" ht="12.75" customHeight="1" x14ac:dyDescent="0.3">
      <c r="C1109" s="41">
        <v>0</v>
      </c>
    </row>
    <row r="1113" spans="3:3" ht="12.75" customHeight="1" x14ac:dyDescent="0.3">
      <c r="C1113" s="41">
        <v>0</v>
      </c>
    </row>
    <row r="1117" spans="3:3" ht="12.75" customHeight="1" x14ac:dyDescent="0.3">
      <c r="C1117" s="41">
        <v>0</v>
      </c>
    </row>
    <row r="1121" spans="3:3" ht="12.75" customHeight="1" x14ac:dyDescent="0.3">
      <c r="C1121" s="41">
        <v>0</v>
      </c>
    </row>
    <row r="1125" spans="3:3" ht="12.75" customHeight="1" x14ac:dyDescent="0.3">
      <c r="C1125" s="41">
        <v>0</v>
      </c>
    </row>
    <row r="1129" spans="3:3" ht="12.75" customHeight="1" x14ac:dyDescent="0.3">
      <c r="C1129" s="41">
        <v>0</v>
      </c>
    </row>
    <row r="1133" spans="3:3" ht="12.75" customHeight="1" x14ac:dyDescent="0.3">
      <c r="C1133" s="41">
        <v>0</v>
      </c>
    </row>
    <row r="1137" spans="3:3" ht="12.75" customHeight="1" x14ac:dyDescent="0.3">
      <c r="C1137" s="41">
        <v>0</v>
      </c>
    </row>
    <row r="1141" spans="3:3" ht="12.75" customHeight="1" x14ac:dyDescent="0.3">
      <c r="C1141" s="41">
        <v>0</v>
      </c>
    </row>
    <row r="1145" spans="3:3" ht="12.75" customHeight="1" x14ac:dyDescent="0.3">
      <c r="C1145" s="41">
        <v>0</v>
      </c>
    </row>
    <row r="1149" spans="3:3" ht="12.75" customHeight="1" x14ac:dyDescent="0.3">
      <c r="C1149" s="41">
        <v>0</v>
      </c>
    </row>
    <row r="1153" spans="3:3" ht="12.75" customHeight="1" x14ac:dyDescent="0.3">
      <c r="C1153" s="41">
        <v>0</v>
      </c>
    </row>
    <row r="1157" spans="3:3" ht="12.75" customHeight="1" x14ac:dyDescent="0.3">
      <c r="C1157" s="41">
        <v>0</v>
      </c>
    </row>
    <row r="1161" spans="3:3" ht="12.75" customHeight="1" x14ac:dyDescent="0.3">
      <c r="C1161" s="41">
        <v>0</v>
      </c>
    </row>
    <row r="1165" spans="3:3" ht="12.75" customHeight="1" x14ac:dyDescent="0.3">
      <c r="C1165" s="41">
        <v>0</v>
      </c>
    </row>
    <row r="1169" spans="3:3" ht="12.75" customHeight="1" x14ac:dyDescent="0.3">
      <c r="C1169" s="41">
        <v>0</v>
      </c>
    </row>
    <row r="1173" spans="3:3" ht="12.75" customHeight="1" x14ac:dyDescent="0.3">
      <c r="C1173" s="41">
        <v>0</v>
      </c>
    </row>
    <row r="1177" spans="3:3" ht="12.75" customHeight="1" x14ac:dyDescent="0.3">
      <c r="C1177" s="41">
        <v>0</v>
      </c>
    </row>
    <row r="1181" spans="3:3" ht="12.75" customHeight="1" x14ac:dyDescent="0.3">
      <c r="C1181" s="41">
        <v>0</v>
      </c>
    </row>
    <row r="1185" spans="3:3" ht="12.75" customHeight="1" x14ac:dyDescent="0.3">
      <c r="C1185" s="41">
        <v>0</v>
      </c>
    </row>
    <row r="1189" spans="3:3" ht="12.75" customHeight="1" x14ac:dyDescent="0.3">
      <c r="C1189" s="41">
        <v>0</v>
      </c>
    </row>
    <row r="1193" spans="3:3" ht="12.75" customHeight="1" x14ac:dyDescent="0.3">
      <c r="C1193" s="41">
        <v>0</v>
      </c>
    </row>
    <row r="1197" spans="3:3" ht="12.75" customHeight="1" x14ac:dyDescent="0.3">
      <c r="C1197" s="41">
        <v>0</v>
      </c>
    </row>
    <row r="1201" spans="3:3" ht="12.75" customHeight="1" x14ac:dyDescent="0.3">
      <c r="C1201" s="41">
        <v>0</v>
      </c>
    </row>
    <row r="1205" spans="3:3" ht="12.75" customHeight="1" x14ac:dyDescent="0.3">
      <c r="C1205" s="41">
        <v>0</v>
      </c>
    </row>
    <row r="1209" spans="3:3" ht="12.75" customHeight="1" x14ac:dyDescent="0.3">
      <c r="C1209" s="41">
        <v>0</v>
      </c>
    </row>
    <row r="1213" spans="3:3" ht="12.75" customHeight="1" x14ac:dyDescent="0.3">
      <c r="C1213" s="41">
        <v>0</v>
      </c>
    </row>
    <row r="1217" spans="3:3" ht="12.75" customHeight="1" x14ac:dyDescent="0.3">
      <c r="C1217" s="41">
        <v>0</v>
      </c>
    </row>
    <row r="1221" spans="3:3" ht="12.75" customHeight="1" x14ac:dyDescent="0.3">
      <c r="C1221" s="41">
        <v>0</v>
      </c>
    </row>
    <row r="1225" spans="3:3" ht="12.75" customHeight="1" x14ac:dyDescent="0.3">
      <c r="C1225" s="41">
        <v>0</v>
      </c>
    </row>
    <row r="1229" spans="3:3" ht="12.75" customHeight="1" x14ac:dyDescent="0.3">
      <c r="C1229" s="41">
        <v>0</v>
      </c>
    </row>
    <row r="1233" spans="3:3" ht="12.75" customHeight="1" x14ac:dyDescent="0.3">
      <c r="C1233" s="41">
        <v>0</v>
      </c>
    </row>
    <row r="1237" spans="3:3" ht="12.75" customHeight="1" x14ac:dyDescent="0.3">
      <c r="C1237" s="41">
        <v>0</v>
      </c>
    </row>
    <row r="1241" spans="3:3" ht="12.75" customHeight="1" x14ac:dyDescent="0.3">
      <c r="C1241" s="41">
        <v>0</v>
      </c>
    </row>
    <row r="1245" spans="3:3" ht="12.75" customHeight="1" x14ac:dyDescent="0.3">
      <c r="C1245" s="41">
        <v>0</v>
      </c>
    </row>
    <row r="1249" spans="3:3" ht="12.75" customHeight="1" x14ac:dyDescent="0.3">
      <c r="C1249" s="41">
        <v>0</v>
      </c>
    </row>
    <row r="1253" spans="3:3" ht="12.75" customHeight="1" x14ac:dyDescent="0.3">
      <c r="C1253" s="41">
        <v>0</v>
      </c>
    </row>
    <row r="1257" spans="3:3" ht="12.75" customHeight="1" x14ac:dyDescent="0.3">
      <c r="C1257" s="41">
        <v>0</v>
      </c>
    </row>
    <row r="1261" spans="3:3" ht="12.75" customHeight="1" x14ac:dyDescent="0.3">
      <c r="C1261" s="41">
        <v>0</v>
      </c>
    </row>
    <row r="1265" spans="3:3" ht="12.75" customHeight="1" x14ac:dyDescent="0.3">
      <c r="C1265" s="41">
        <v>0</v>
      </c>
    </row>
    <row r="1269" spans="3:3" ht="12.75" customHeight="1" x14ac:dyDescent="0.3">
      <c r="C1269" s="41">
        <v>0</v>
      </c>
    </row>
    <row r="1273" spans="3:3" ht="12.75" customHeight="1" x14ac:dyDescent="0.3">
      <c r="C1273" s="41">
        <v>0</v>
      </c>
    </row>
    <row r="1277" spans="3:3" ht="12.75" customHeight="1" x14ac:dyDescent="0.3">
      <c r="C1277" s="41">
        <v>0</v>
      </c>
    </row>
    <row r="1281" spans="3:3" ht="12.75" customHeight="1" x14ac:dyDescent="0.3">
      <c r="C1281" s="41">
        <v>0</v>
      </c>
    </row>
    <row r="1285" spans="3:3" ht="12.75" customHeight="1" x14ac:dyDescent="0.3">
      <c r="C1285" s="41">
        <v>0</v>
      </c>
    </row>
    <row r="1289" spans="3:3" ht="12.75" customHeight="1" x14ac:dyDescent="0.3">
      <c r="C1289" s="41">
        <v>0</v>
      </c>
    </row>
    <row r="1293" spans="3:3" ht="12.75" customHeight="1" x14ac:dyDescent="0.3">
      <c r="C1293" s="41">
        <v>0</v>
      </c>
    </row>
    <row r="1297" spans="3:3" ht="12.75" customHeight="1" x14ac:dyDescent="0.3">
      <c r="C1297" s="41">
        <v>0</v>
      </c>
    </row>
    <row r="1301" spans="3:3" ht="12.75" customHeight="1" x14ac:dyDescent="0.3">
      <c r="C1301" s="41">
        <v>0</v>
      </c>
    </row>
    <row r="1305" spans="3:3" ht="12.75" customHeight="1" x14ac:dyDescent="0.3">
      <c r="C1305" s="41">
        <v>0</v>
      </c>
    </row>
    <row r="1309" spans="3:3" ht="12.75" customHeight="1" x14ac:dyDescent="0.3">
      <c r="C1309" s="41">
        <v>0</v>
      </c>
    </row>
    <row r="1313" spans="3:3" ht="12.75" customHeight="1" x14ac:dyDescent="0.3">
      <c r="C1313" s="41">
        <v>0</v>
      </c>
    </row>
    <row r="1317" spans="3:3" ht="12.75" customHeight="1" x14ac:dyDescent="0.3">
      <c r="C1317" s="41">
        <v>0</v>
      </c>
    </row>
    <row r="1321" spans="3:3" ht="12.75" customHeight="1" x14ac:dyDescent="0.3">
      <c r="C1321" s="41">
        <v>0</v>
      </c>
    </row>
    <row r="1325" spans="3:3" ht="12.75" customHeight="1" x14ac:dyDescent="0.3">
      <c r="C1325" s="41">
        <v>0</v>
      </c>
    </row>
    <row r="1329" spans="3:3" ht="12.75" customHeight="1" x14ac:dyDescent="0.3">
      <c r="C1329" s="41">
        <v>0</v>
      </c>
    </row>
    <row r="1333" spans="3:3" ht="12.75" customHeight="1" x14ac:dyDescent="0.3">
      <c r="C1333" s="41">
        <v>0</v>
      </c>
    </row>
    <row r="1337" spans="3:3" ht="12.75" customHeight="1" x14ac:dyDescent="0.3">
      <c r="C1337" s="41">
        <v>0</v>
      </c>
    </row>
    <row r="1341" spans="3:3" ht="12.75" customHeight="1" x14ac:dyDescent="0.3">
      <c r="C1341" s="41">
        <v>0</v>
      </c>
    </row>
    <row r="1345" spans="3:3" ht="12.75" customHeight="1" x14ac:dyDescent="0.3">
      <c r="C1345" s="41">
        <v>0</v>
      </c>
    </row>
    <row r="1349" spans="3:3" ht="12.75" customHeight="1" x14ac:dyDescent="0.3">
      <c r="C1349" s="41">
        <v>0</v>
      </c>
    </row>
    <row r="1353" spans="3:3" ht="12.75" customHeight="1" x14ac:dyDescent="0.3">
      <c r="C1353" s="41">
        <v>0</v>
      </c>
    </row>
    <row r="1357" spans="3:3" ht="12.75" customHeight="1" x14ac:dyDescent="0.3">
      <c r="C1357" s="41">
        <v>0</v>
      </c>
    </row>
    <row r="1361" spans="3:3" ht="12.75" customHeight="1" x14ac:dyDescent="0.3">
      <c r="C1361" s="41">
        <v>0</v>
      </c>
    </row>
    <row r="1365" spans="3:3" ht="12.75" customHeight="1" x14ac:dyDescent="0.3">
      <c r="C1365" s="41">
        <v>0</v>
      </c>
    </row>
    <row r="1369" spans="3:3" ht="12.75" customHeight="1" x14ac:dyDescent="0.3">
      <c r="C1369" s="41">
        <v>0</v>
      </c>
    </row>
    <row r="1373" spans="3:3" ht="12.75" customHeight="1" x14ac:dyDescent="0.3">
      <c r="C1373" s="41">
        <v>0</v>
      </c>
    </row>
    <row r="1377" spans="3:3" ht="12.75" customHeight="1" x14ac:dyDescent="0.3">
      <c r="C1377" s="41">
        <v>0</v>
      </c>
    </row>
    <row r="1381" spans="3:3" ht="12.75" customHeight="1" x14ac:dyDescent="0.3">
      <c r="C1381" s="41">
        <v>0</v>
      </c>
    </row>
    <row r="1385" spans="3:3" ht="12.75" customHeight="1" x14ac:dyDescent="0.3">
      <c r="C1385" s="41">
        <v>0</v>
      </c>
    </row>
    <row r="1389" spans="3:3" ht="12.75" customHeight="1" x14ac:dyDescent="0.3">
      <c r="C1389" s="41">
        <v>0</v>
      </c>
    </row>
    <row r="1393" spans="3:3" ht="12.75" customHeight="1" x14ac:dyDescent="0.3">
      <c r="C1393" s="41">
        <v>0</v>
      </c>
    </row>
    <row r="1397" spans="3:3" ht="12.75" customHeight="1" x14ac:dyDescent="0.3">
      <c r="C1397" s="41">
        <v>0</v>
      </c>
    </row>
    <row r="1401" spans="3:3" ht="12.75" customHeight="1" x14ac:dyDescent="0.3">
      <c r="C1401" s="41">
        <v>0</v>
      </c>
    </row>
    <row r="1405" spans="3:3" ht="12.75" customHeight="1" x14ac:dyDescent="0.3">
      <c r="C1405" s="41">
        <v>0</v>
      </c>
    </row>
    <row r="1409" spans="3:3" ht="12.75" customHeight="1" x14ac:dyDescent="0.3">
      <c r="C1409" s="41">
        <v>0</v>
      </c>
    </row>
    <row r="1413" spans="3:3" ht="12.75" customHeight="1" x14ac:dyDescent="0.3">
      <c r="C1413" s="41">
        <v>0</v>
      </c>
    </row>
    <row r="1417" spans="3:3" ht="12.75" customHeight="1" x14ac:dyDescent="0.3">
      <c r="C1417" s="41">
        <v>0</v>
      </c>
    </row>
    <row r="1421" spans="3:3" ht="12.75" customHeight="1" x14ac:dyDescent="0.3">
      <c r="C1421" s="41">
        <v>0</v>
      </c>
    </row>
    <row r="1423" spans="3:3" ht="12.75" customHeight="1" x14ac:dyDescent="0.3">
      <c r="C1423" s="41">
        <v>4343</v>
      </c>
    </row>
  </sheetData>
  <autoFilter ref="A1:D1" xr:uid="{27151D64-FC6B-4DD6-9909-655D96479914}"/>
  <sortState ref="A2:D1424">
    <sortCondition ref="A2:A1424"/>
  </sortState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OrgDatos1">
                <anchor>
                  <from>
                    <xdr:col>9</xdr:col>
                    <xdr:colOff>22860</xdr:colOff>
                    <xdr:row>2</xdr:row>
                    <xdr:rowOff>175260</xdr:rowOff>
                  </from>
                  <to>
                    <xdr:col>12</xdr:col>
                    <xdr:colOff>182880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Recepcion de Producto</vt:lpstr>
      <vt:lpstr>Salida de Producto</vt:lpstr>
      <vt:lpstr>Balance de Inventarios</vt:lpstr>
      <vt:lpstr>Inventario Profit</vt:lpstr>
      <vt:lpstr>Hoja1</vt:lpstr>
      <vt:lpstr>Org Datos 1</vt:lpstr>
      <vt:lpstr>Org Datos 2</vt:lpstr>
      <vt:lpstr>'Balance de Inventarios'!Área_de_impresión</vt:lpstr>
      <vt:lpstr>'Salida de Producto'!Área_de_impresión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Orta</dc:creator>
  <cp:lastModifiedBy>Duglas Ledezma</cp:lastModifiedBy>
  <cp:lastPrinted>2023-07-17T16:45:51Z</cp:lastPrinted>
  <dcterms:created xsi:type="dcterms:W3CDTF">2019-09-11T14:34:39Z</dcterms:created>
  <dcterms:modified xsi:type="dcterms:W3CDTF">2023-07-17T16:47:59Z</dcterms:modified>
</cp:coreProperties>
</file>