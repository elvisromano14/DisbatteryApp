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9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O:\Inventarios 2023\Lubricantes\Almacén Fulgor\"/>
    </mc:Choice>
  </mc:AlternateContent>
  <xr:revisionPtr revIDLastSave="0" documentId="13_ncr:1_{8538BE11-1CFA-46FC-A7A5-6D260B5A2CC0}" xr6:coauthVersionLast="36" xr6:coauthVersionMax="36" xr10:uidLastSave="{00000000-0000-0000-0000-000000000000}"/>
  <bookViews>
    <workbookView xWindow="0" yWindow="0" windowWidth="20496" windowHeight="7548" tabRatio="882" activeTab="2" xr2:uid="{00000000-000D-0000-FFFF-FFFF00000000}"/>
  </bookViews>
  <sheets>
    <sheet name="Recepcion de Producto" sheetId="1" r:id="rId1"/>
    <sheet name="Salida de Producto" sheetId="2" r:id="rId2"/>
    <sheet name="Balance de Inventarios" sheetId="3" r:id="rId3"/>
    <sheet name="Inventario Profit" sheetId="4" r:id="rId4"/>
    <sheet name="Hoja1" sheetId="9" r:id="rId5"/>
    <sheet name="Org Datos 1" sheetId="5" r:id="rId6"/>
    <sheet name="Org Datos 2" sheetId="8" r:id="rId7"/>
  </sheets>
  <definedNames>
    <definedName name="_xlnm._FilterDatabase" localSheetId="2" hidden="1">'Balance de Inventarios'!$B$3:$T$79</definedName>
    <definedName name="_xlnm._FilterDatabase" localSheetId="3" hidden="1">'Inventario Profit'!$A$1:$G$351</definedName>
    <definedName name="_xlnm._FilterDatabase" localSheetId="5" hidden="1">'Org Datos 1'!$A$1:$D$1439</definedName>
    <definedName name="_xlnm._FilterDatabase" localSheetId="6" hidden="1">'Org Datos 2'!$A$1:$D$1</definedName>
    <definedName name="_xlnm._FilterDatabase" localSheetId="0" hidden="1">'Recepcion de Producto'!$A$3:$K$78</definedName>
    <definedName name="_xlnm._FilterDatabase" localSheetId="1" hidden="1">'Salida de Producto'!$A$3:$U$78</definedName>
    <definedName name="_xlnm.Print_Area" localSheetId="2">'Balance de Inventarios'!$C$3:$D$75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8" i="3" l="1"/>
  <c r="S58" i="3" s="1"/>
  <c r="I58" i="3"/>
  <c r="P55" i="2"/>
  <c r="F50" i="3"/>
  <c r="E50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R58" i="3"/>
  <c r="P58" i="3"/>
  <c r="O58" i="3"/>
  <c r="S50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1" i="3"/>
  <c r="F52" i="3"/>
  <c r="F53" i="3"/>
  <c r="F54" i="3"/>
  <c r="F55" i="3"/>
  <c r="F56" i="3"/>
  <c r="F57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4" i="3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F58" i="3" s="1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4" i="2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7" i="1"/>
  <c r="K28" i="1"/>
  <c r="K29" i="1"/>
  <c r="K30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3" i="1"/>
  <c r="K54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E55" i="1"/>
  <c r="K55" i="1" s="1"/>
  <c r="L58" i="3" l="1"/>
  <c r="M58" i="3" s="1"/>
  <c r="H58" i="3"/>
  <c r="Q58" i="3" s="1"/>
  <c r="O55" i="2" l="1"/>
  <c r="J57" i="3" l="1"/>
  <c r="K52" i="2" l="1"/>
  <c r="R5" i="3" l="1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4" i="3"/>
  <c r="H52" i="2" l="1"/>
  <c r="G52" i="2"/>
  <c r="F53" i="2" l="1"/>
  <c r="L57" i="3" l="1"/>
  <c r="M57" i="3" s="1"/>
  <c r="P57" i="3"/>
  <c r="S57" i="3" l="1"/>
  <c r="D52" i="1" l="1"/>
  <c r="E52" i="1"/>
  <c r="K52" i="1" l="1"/>
  <c r="F31" i="1"/>
  <c r="K31" i="1" s="1"/>
  <c r="F26" i="1"/>
  <c r="K26" i="1" s="1"/>
  <c r="C84" i="3" l="1"/>
  <c r="J5" i="3" l="1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4" i="3"/>
  <c r="K4" i="1" l="1"/>
  <c r="H57" i="3"/>
  <c r="Q57" i="3" s="1"/>
  <c r="S25" i="3" l="1"/>
  <c r="S53" i="3" l="1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1" i="3"/>
  <c r="P52" i="3"/>
  <c r="P53" i="3"/>
  <c r="P54" i="3"/>
  <c r="P56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H4" i="3"/>
  <c r="S30" i="3" l="1"/>
  <c r="P55" i="3"/>
  <c r="S10" i="3" l="1"/>
  <c r="S34" i="3"/>
  <c r="H24" i="3" l="1"/>
  <c r="Q24" i="3" s="1"/>
  <c r="S24" i="3"/>
  <c r="H74" i="3" l="1"/>
  <c r="Q74" i="3" s="1"/>
  <c r="H45" i="3" l="1"/>
  <c r="H46" i="3"/>
  <c r="H54" i="3"/>
  <c r="Q54" i="3" s="1"/>
  <c r="H61" i="3"/>
  <c r="Q61" i="3" s="1"/>
  <c r="H77" i="3"/>
  <c r="Q77" i="3" s="1"/>
  <c r="H16" i="3" l="1"/>
  <c r="H15" i="3"/>
  <c r="H12" i="3"/>
  <c r="H26" i="3" l="1"/>
  <c r="S26" i="3" l="1"/>
  <c r="Q26" i="3" l="1"/>
  <c r="S27" i="3" l="1"/>
  <c r="P4" i="3" l="1"/>
  <c r="S5" i="3"/>
  <c r="S6" i="3"/>
  <c r="S7" i="3"/>
  <c r="S8" i="3"/>
  <c r="S9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8" i="3"/>
  <c r="S29" i="3"/>
  <c r="S31" i="3"/>
  <c r="S32" i="3"/>
  <c r="S33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2" i="3"/>
  <c r="S56" i="3"/>
  <c r="S4" i="3"/>
  <c r="S54" i="3" l="1"/>
  <c r="L54" i="3" l="1"/>
  <c r="M54" i="3" s="1"/>
  <c r="S55" i="3" l="1"/>
  <c r="S51" i="3" l="1"/>
  <c r="H9" i="3" l="1"/>
  <c r="L35" i="3" l="1"/>
  <c r="L36" i="3"/>
  <c r="L38" i="3"/>
  <c r="L39" i="3"/>
  <c r="L43" i="3"/>
  <c r="L66" i="3"/>
  <c r="L25" i="3"/>
  <c r="L42" i="3"/>
  <c r="L34" i="3"/>
  <c r="L32" i="3"/>
  <c r="L10" i="3" l="1"/>
  <c r="L30" i="3" l="1"/>
  <c r="L52" i="3"/>
  <c r="L53" i="3"/>
  <c r="L55" i="3"/>
  <c r="L33" i="3"/>
  <c r="L18" i="3"/>
  <c r="L29" i="3"/>
  <c r="H31" i="3" l="1"/>
  <c r="K31" i="3"/>
  <c r="L31" i="3" s="1"/>
  <c r="M31" i="3" s="1"/>
  <c r="H17" i="3"/>
  <c r="Q31" i="3" l="1"/>
  <c r="L47" i="3" l="1"/>
  <c r="L59" i="3" l="1"/>
  <c r="H78" i="3" l="1"/>
  <c r="Q78" i="3" s="1"/>
  <c r="L75" i="3" l="1"/>
  <c r="L72" i="3" l="1"/>
  <c r="L56" i="3"/>
  <c r="H6" i="3" l="1"/>
  <c r="L44" i="3" l="1"/>
  <c r="M44" i="3" s="1"/>
  <c r="H7" i="3"/>
  <c r="L16" i="3"/>
  <c r="L17" i="3"/>
  <c r="L23" i="3"/>
  <c r="M23" i="3" s="1"/>
  <c r="L15" i="3" l="1"/>
  <c r="M15" i="3" s="1"/>
  <c r="H36" i="3"/>
  <c r="H44" i="3" l="1"/>
  <c r="H70" i="3" l="1"/>
  <c r="Q70" i="3" s="1"/>
  <c r="L78" i="3" l="1"/>
  <c r="L22" i="3"/>
  <c r="L19" i="3"/>
  <c r="H23" i="3" l="1"/>
  <c r="Q44" i="3" l="1"/>
  <c r="Q23" i="3"/>
  <c r="H69" i="3"/>
  <c r="Q69" i="3" s="1"/>
  <c r="H14" i="3" l="1"/>
  <c r="Q15" i="3" l="1"/>
  <c r="L21" i="3"/>
  <c r="H40" i="3" l="1"/>
  <c r="H76" i="3" l="1"/>
  <c r="Q76" i="3" s="1"/>
  <c r="H38" i="3" l="1"/>
  <c r="M59" i="3" l="1"/>
  <c r="H59" i="3"/>
  <c r="Q59" i="3" s="1"/>
  <c r="L7" i="3" l="1"/>
  <c r="M7" i="3" s="1"/>
  <c r="M55" i="3" l="1"/>
  <c r="L51" i="3"/>
  <c r="M51" i="3" s="1"/>
  <c r="L9" i="3"/>
  <c r="M9" i="3" s="1"/>
  <c r="L76" i="3"/>
  <c r="M76" i="3" s="1"/>
  <c r="L6" i="3"/>
  <c r="M6" i="3" s="1"/>
  <c r="L8" i="3"/>
  <c r="M8" i="3" s="1"/>
  <c r="M10" i="3"/>
  <c r="L11" i="3"/>
  <c r="M11" i="3" s="1"/>
  <c r="L13" i="3"/>
  <c r="M13" i="3" s="1"/>
  <c r="M18" i="3"/>
  <c r="M17" i="3"/>
  <c r="M19" i="3"/>
  <c r="M21" i="3"/>
  <c r="M22" i="3"/>
  <c r="M25" i="3"/>
  <c r="M29" i="3"/>
  <c r="M30" i="3"/>
  <c r="L28" i="3"/>
  <c r="M28" i="3" s="1"/>
  <c r="M32" i="3"/>
  <c r="M33" i="3"/>
  <c r="M34" i="3"/>
  <c r="M35" i="3"/>
  <c r="M36" i="3"/>
  <c r="M38" i="3"/>
  <c r="M39" i="3"/>
  <c r="M42" i="3"/>
  <c r="L41" i="3"/>
  <c r="M41" i="3" s="1"/>
  <c r="M47" i="3"/>
  <c r="L50" i="3"/>
  <c r="M50" i="3" s="1"/>
  <c r="L49" i="3"/>
  <c r="M49" i="3" s="1"/>
  <c r="L48" i="3"/>
  <c r="M48" i="3" s="1"/>
  <c r="M53" i="3"/>
  <c r="M52" i="3"/>
  <c r="L60" i="3"/>
  <c r="M60" i="3" s="1"/>
  <c r="M56" i="3"/>
  <c r="L62" i="3"/>
  <c r="M62" i="3" s="1"/>
  <c r="L67" i="3"/>
  <c r="M67" i="3" s="1"/>
  <c r="L63" i="3"/>
  <c r="M63" i="3" s="1"/>
  <c r="M66" i="3"/>
  <c r="L65" i="3"/>
  <c r="M65" i="3" s="1"/>
  <c r="L64" i="3"/>
  <c r="M64" i="3" s="1"/>
  <c r="L68" i="3"/>
  <c r="M68" i="3" s="1"/>
  <c r="L69" i="3"/>
  <c r="M69" i="3" s="1"/>
  <c r="L70" i="3"/>
  <c r="M70" i="3" s="1"/>
  <c r="L71" i="3"/>
  <c r="M71" i="3" s="1"/>
  <c r="M72" i="3"/>
  <c r="M75" i="3"/>
  <c r="L5" i="3"/>
  <c r="M5" i="3" s="1"/>
  <c r="L4" i="3"/>
  <c r="M4" i="3" s="1"/>
  <c r="H75" i="3"/>
  <c r="Q75" i="3" s="1"/>
  <c r="M16" i="3" l="1"/>
  <c r="Q38" i="3" l="1"/>
  <c r="H13" i="3" l="1"/>
  <c r="L40" i="3" l="1"/>
  <c r="M40" i="3" s="1"/>
  <c r="M78" i="3"/>
  <c r="Q13" i="3" l="1"/>
  <c r="H56" i="3"/>
  <c r="Q56" i="3" s="1"/>
  <c r="H34" i="3" l="1"/>
  <c r="L14" i="3" l="1"/>
  <c r="M14" i="3" s="1"/>
  <c r="L12" i="3"/>
  <c r="M12" i="3" s="1"/>
  <c r="L46" i="3"/>
  <c r="M46" i="3" s="1"/>
  <c r="Q34" i="3" l="1"/>
  <c r="H18" i="3" l="1"/>
  <c r="L61" i="3" l="1"/>
  <c r="M61" i="3" s="1"/>
  <c r="Q16" i="3" l="1"/>
  <c r="L20" i="3" l="1"/>
  <c r="L37" i="3" l="1"/>
  <c r="M37" i="3" s="1"/>
  <c r="M20" i="3"/>
  <c r="H41" i="3"/>
  <c r="L45" i="3" l="1"/>
  <c r="M45" i="3" s="1"/>
  <c r="M43" i="3" l="1"/>
  <c r="L73" i="3" l="1"/>
  <c r="M73" i="3" s="1"/>
  <c r="H67" i="3" l="1"/>
  <c r="Q67" i="3" s="1"/>
  <c r="H65" i="3" l="1"/>
  <c r="Q65" i="3" s="1"/>
  <c r="Q6" i="3" l="1"/>
  <c r="H51" i="3" l="1"/>
  <c r="Q51" i="3" s="1"/>
  <c r="H48" i="3" l="1"/>
  <c r="Q9" i="3" l="1"/>
  <c r="Q4" i="3"/>
  <c r="Q14" i="3" l="1"/>
  <c r="Q12" i="3"/>
  <c r="L27" i="3" l="1"/>
  <c r="M27" i="3" s="1"/>
  <c r="Q40" i="3" l="1"/>
  <c r="H42" i="3" l="1"/>
  <c r="H49" i="3"/>
  <c r="H43" i="3" l="1"/>
  <c r="Q41" i="3" l="1"/>
  <c r="Q43" i="3"/>
  <c r="Q49" i="3"/>
  <c r="Q42" i="3"/>
  <c r="H63" i="3" l="1"/>
  <c r="Q63" i="3" s="1"/>
  <c r="H72" i="3" l="1"/>
  <c r="Q72" i="3" s="1"/>
  <c r="H71" i="3"/>
  <c r="Q71" i="3" s="1"/>
  <c r="H50" i="3"/>
  <c r="Q50" i="3" s="1"/>
  <c r="Q48" i="3" l="1"/>
  <c r="H19" i="3" l="1"/>
  <c r="H8" i="3"/>
  <c r="H35" i="3" l="1"/>
  <c r="H22" i="3"/>
  <c r="H21" i="3"/>
  <c r="Q19" i="3" l="1"/>
  <c r="Q18" i="3" l="1"/>
  <c r="Q45" i="3" l="1"/>
  <c r="Q21" i="3"/>
  <c r="Q22" i="3"/>
  <c r="H28" i="3" l="1"/>
  <c r="H20" i="3" l="1"/>
  <c r="H66" i="3" l="1"/>
  <c r="Q66" i="3" s="1"/>
  <c r="H55" i="3" l="1"/>
  <c r="Q55" i="3" s="1"/>
  <c r="H27" i="3" l="1"/>
  <c r="H11" i="3"/>
  <c r="H5" i="3" l="1"/>
  <c r="Q5" i="3" l="1"/>
  <c r="Q27" i="3"/>
  <c r="Q7" i="3"/>
  <c r="Q8" i="3"/>
  <c r="H47" i="3" l="1"/>
  <c r="Q46" i="3" l="1"/>
  <c r="H37" i="3" l="1"/>
  <c r="Q35" i="3" l="1"/>
  <c r="Q36" i="3"/>
  <c r="H62" i="3"/>
  <c r="Q62" i="3" s="1"/>
  <c r="H52" i="3" l="1"/>
  <c r="Q52" i="3" s="1"/>
  <c r="H64" i="3"/>
  <c r="Q64" i="3" s="1"/>
  <c r="H73" i="3"/>
  <c r="Q73" i="3" s="1"/>
  <c r="H32" i="3"/>
  <c r="H60" i="3" l="1"/>
  <c r="Q60" i="3" s="1"/>
  <c r="Q11" i="3"/>
  <c r="H68" i="3" l="1"/>
  <c r="Q68" i="3" s="1"/>
  <c r="H29" i="3"/>
  <c r="U3" i="2"/>
  <c r="H10" i="3" l="1"/>
  <c r="H39" i="3"/>
  <c r="Q28" i="3"/>
  <c r="H25" i="3"/>
  <c r="H30" i="3"/>
  <c r="H33" i="3"/>
  <c r="Q32" i="3"/>
  <c r="Q37" i="3"/>
  <c r="Q47" i="3"/>
  <c r="Q20" i="3"/>
  <c r="K3" i="1"/>
  <c r="H53" i="3" l="1"/>
  <c r="Q53" i="3" s="1"/>
  <c r="Q30" i="3"/>
  <c r="Q39" i="3"/>
  <c r="Q10" i="3"/>
  <c r="Q33" i="3"/>
  <c r="Q25" i="3" l="1"/>
  <c r="Q29" i="3"/>
  <c r="Q17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 Lugo</author>
  </authors>
  <commentList>
    <comment ref="I3" authorId="0" shapeId="0" xr:uid="{4FA28A63-9309-4B31-AA92-39F9D502214B}">
      <text>
        <r>
          <rPr>
            <b/>
            <sz val="9"/>
            <color indexed="81"/>
            <rFont val="Tahoma"/>
            <family val="2"/>
          </rPr>
          <t>Daniel Lugo:</t>
        </r>
        <r>
          <rPr>
            <sz val="9"/>
            <color indexed="81"/>
            <rFont val="Tahoma"/>
            <family val="2"/>
          </rPr>
          <t xml:space="preserve">
Diciembre 2022 Verde Triangular
</t>
        </r>
      </text>
    </comment>
  </commentList>
</comments>
</file>

<file path=xl/sharedStrings.xml><?xml version="1.0" encoding="utf-8"?>
<sst xmlns="http://schemas.openxmlformats.org/spreadsheetml/2006/main" count="3600" uniqueCount="1165">
  <si>
    <t>Producto</t>
  </si>
  <si>
    <t>3x4</t>
  </si>
  <si>
    <t>6x1</t>
  </si>
  <si>
    <t>12x1</t>
  </si>
  <si>
    <t>20L</t>
  </si>
  <si>
    <t>5gx1</t>
  </si>
  <si>
    <t>UMB</t>
  </si>
  <si>
    <t>10x1</t>
  </si>
  <si>
    <t>Entrada</t>
  </si>
  <si>
    <t>Salidas</t>
  </si>
  <si>
    <t>Diferencia</t>
  </si>
  <si>
    <t>Fecha</t>
  </si>
  <si>
    <t>Total Despachado</t>
  </si>
  <si>
    <t>Total Recibido</t>
  </si>
  <si>
    <t>Teórico</t>
  </si>
  <si>
    <t>Físico APLV</t>
  </si>
  <si>
    <t>Físico NAPLV</t>
  </si>
  <si>
    <t>1x18Kg</t>
  </si>
  <si>
    <t>1x55g</t>
  </si>
  <si>
    <t>209 L</t>
  </si>
  <si>
    <t>Cantidad de M3</t>
  </si>
  <si>
    <t>M3 por unidad</t>
  </si>
  <si>
    <t xml:space="preserve">Toneladas </t>
  </si>
  <si>
    <t xml:space="preserve">TIPO </t>
  </si>
  <si>
    <t>A</t>
  </si>
  <si>
    <t>B</t>
  </si>
  <si>
    <t>C</t>
  </si>
  <si>
    <t xml:space="preserve">verde </t>
  </si>
  <si>
    <t>Asertividad  del Inventario 
de la clasificación C</t>
  </si>
  <si>
    <t>45657855</t>
  </si>
  <si>
    <t>SHELL OMALA S2 G 100 1x20L</t>
  </si>
  <si>
    <t>45659855</t>
  </si>
  <si>
    <t>SHELL OMALA S2 G 220 1x20L</t>
  </si>
  <si>
    <t>45683809</t>
  </si>
  <si>
    <t>SHELL OMALA S2 G 220 EXPO TB 209L</t>
  </si>
  <si>
    <t>45660855</t>
  </si>
  <si>
    <t>SHELL OMALA S2 G 320 1x20L</t>
  </si>
  <si>
    <t>45684809</t>
  </si>
  <si>
    <t>SHELL OMALA S2 G 320 EXPO TB 209L</t>
  </si>
  <si>
    <t>45685855</t>
  </si>
  <si>
    <t>SHELL OMALA S2 G 460 1x20L</t>
  </si>
  <si>
    <t>45312905</t>
  </si>
  <si>
    <t>SHELL ADVANCE 4T AX5 20W-50 SL/MA CX 12x1L</t>
  </si>
  <si>
    <t>44774905</t>
  </si>
  <si>
    <t>SHELL ADVANCE 4T AX7 10W-40 SM/MA2 CX 12x1L</t>
  </si>
  <si>
    <t>550052774</t>
  </si>
  <si>
    <t>SHELL ALEXIA 40 1x55GAL</t>
  </si>
  <si>
    <t>550052775</t>
  </si>
  <si>
    <t>SHELL ALEXIA 70 1x55GAL</t>
  </si>
  <si>
    <t>550054547</t>
  </si>
  <si>
    <t>SHELL ARGINA S2 40 1x55GAL</t>
  </si>
  <si>
    <t>550047079</t>
  </si>
  <si>
    <t>SHELL ARGINA S4 40 1x55GAL</t>
  </si>
  <si>
    <t>550014136</t>
  </si>
  <si>
    <t>SHELL CATENEX T 121 1x209L</t>
  </si>
  <si>
    <t>550027265</t>
  </si>
  <si>
    <t>SHELL CORENA S4 P 100 1x20L</t>
  </si>
  <si>
    <t>550026300</t>
  </si>
  <si>
    <t>SHELL CORENA S4 R 68 1x5GAL</t>
  </si>
  <si>
    <t>550047075</t>
  </si>
  <si>
    <t>SHELL GADINIA S3 40 1x55GAL</t>
  </si>
  <si>
    <t>550027631</t>
  </si>
  <si>
    <t>SHELL GADUS S2 V220 2 AIWJ 10x0.4KG</t>
  </si>
  <si>
    <t>550050706</t>
  </si>
  <si>
    <t>SHELL GADUS S2 V220AC 2 1x18KG</t>
  </si>
  <si>
    <t>550050708</t>
  </si>
  <si>
    <t>SHELL GADUS S2 V220AD 2 1x18KG</t>
  </si>
  <si>
    <t>550025731</t>
  </si>
  <si>
    <t>SHELL HEAT TRANSFER S2  1x209L</t>
  </si>
  <si>
    <t>43512905</t>
  </si>
  <si>
    <t>SHELL HELIX HX5 15W-40 SL 12x1L</t>
  </si>
  <si>
    <t>43509809</t>
  </si>
  <si>
    <t>SHELL HELIX HX5 15W-40 SL TB 209L</t>
  </si>
  <si>
    <t>550053426</t>
  </si>
  <si>
    <t>SHELL HELIX HX5 20W-50 SN 1x209L</t>
  </si>
  <si>
    <t>550045853</t>
  </si>
  <si>
    <t>SHELL HELIX HX5 20W-50 SN 3x4L</t>
  </si>
  <si>
    <t>550045885</t>
  </si>
  <si>
    <t>SHELL HELIX HX5 20W-50 SN 6x1L</t>
  </si>
  <si>
    <t>550057749</t>
  </si>
  <si>
    <t>SHELL HELIX HX7 SP 10W-30 6x1L</t>
  </si>
  <si>
    <t>550052038</t>
  </si>
  <si>
    <t>SHELL HELIX HX7 10W-30 SN PLUS 6x1L</t>
  </si>
  <si>
    <t>550045905</t>
  </si>
  <si>
    <t>SHELL HELIX HX7 10W-40 A1W9 6x1L</t>
  </si>
  <si>
    <t>550057767</t>
  </si>
  <si>
    <t>SHELL HELIX HX7 SP 10W-40 6x1L</t>
  </si>
  <si>
    <t>41051905</t>
  </si>
  <si>
    <t>SHELL HELIX HX8 PRO AG 0W-20 CX 12x1L</t>
  </si>
  <si>
    <t>40926905</t>
  </si>
  <si>
    <t>SHELL HELIX HX8 PRO AG 0W-20 EXPO 12x1L</t>
  </si>
  <si>
    <t>550049041</t>
  </si>
  <si>
    <t>SHELL HELIX HX8 PRO AG 0W-20 LATA 3x4L</t>
  </si>
  <si>
    <t>550050102</t>
  </si>
  <si>
    <t>SHELL HELIX HX8 PROFESSIONAL AG 5W-30 6x1L</t>
  </si>
  <si>
    <t>550057742</t>
  </si>
  <si>
    <t>SHELL HELIX ULTRA 5W-40 6x1L</t>
  </si>
  <si>
    <t>550026710</t>
  </si>
  <si>
    <t>SHELL HYDRAULIC S1 M 46 1x55GAL</t>
  </si>
  <si>
    <t>550026700</t>
  </si>
  <si>
    <t>SHELL HYDRAULIC S1 M 46 1x5GAL</t>
  </si>
  <si>
    <t>550026699</t>
  </si>
  <si>
    <t>SHELL HYDRAULIC S1 M 68 1x55GAL</t>
  </si>
  <si>
    <t>550026697</t>
  </si>
  <si>
    <t>SHELL HYDRAULIC S1 M 68 1x5GAL</t>
  </si>
  <si>
    <t>550022488</t>
  </si>
  <si>
    <t>SHELL MELINA S 30 1x55GAL</t>
  </si>
  <si>
    <t>550036571</t>
  </si>
  <si>
    <t>SHELL MYSELLA S2 Z 40 1x55GAL</t>
  </si>
  <si>
    <t>550036183</t>
  </si>
  <si>
    <t>SHELL MYSELLA S3 N 40 1x55GAL</t>
  </si>
  <si>
    <t>550049771</t>
  </si>
  <si>
    <t>SHELL NAUTILUS PREMIUM OUTB 2T 6x1L</t>
  </si>
  <si>
    <t>550025692</t>
  </si>
  <si>
    <t>SHELL REFRIGERATION OIL S2 FR-A 68 1x20L</t>
  </si>
  <si>
    <t>550026834</t>
  </si>
  <si>
    <t>SHELL REFRIGERATION OIL S2 FR-A 68 1x55GAL</t>
  </si>
  <si>
    <t>550025702</t>
  </si>
  <si>
    <t>SHELL REFRIGERATION OIL S4 FR-V 68 1x20L</t>
  </si>
  <si>
    <t>44245809</t>
  </si>
  <si>
    <t>SHELL RIMULA R2 50 TB 209L EXPO</t>
  </si>
  <si>
    <t>44245855</t>
  </si>
  <si>
    <t>SHELL RIMULA R2 50 FR 1x20L EXPO</t>
  </si>
  <si>
    <t>44243855</t>
  </si>
  <si>
    <t>SHELL RIMULA R4 X 15W-40 CI-4 1x20L</t>
  </si>
  <si>
    <t>550045436</t>
  </si>
  <si>
    <t>SHELL RIMULA R4 X 15W-40 3x4L</t>
  </si>
  <si>
    <t>44243809</t>
  </si>
  <si>
    <t>SHELL RIMULA R4X 15W-40 TB 209L EXPO</t>
  </si>
  <si>
    <t>550045438</t>
  </si>
  <si>
    <t>SHELL RIMULA R5 E 10W-40 3x4L</t>
  </si>
  <si>
    <t>44414855</t>
  </si>
  <si>
    <t>SHELL RIMULA RT4 X 15W-40 CI-4 1x20L</t>
  </si>
  <si>
    <t>550032121</t>
  </si>
  <si>
    <t>SHELL RISELLA X 415 1x209L</t>
  </si>
  <si>
    <t>45387905</t>
  </si>
  <si>
    <t>SHELL SPIRAX S2 A 80W-90 12x1L EXPO</t>
  </si>
  <si>
    <t>550029925</t>
  </si>
  <si>
    <t>SHELL SPIRAX S2 A 80W-90 1x55GAL</t>
  </si>
  <si>
    <t>45372905</t>
  </si>
  <si>
    <t>SHELL SPIRAX S2 A 85W-140 12x1L EXPO</t>
  </si>
  <si>
    <t>45372855</t>
  </si>
  <si>
    <t>SHELL SPIRAX S2 A 85W-140 1x20L</t>
  </si>
  <si>
    <t>45372809</t>
  </si>
  <si>
    <t>SHELL SPIRAX S2 A 85W-140 TB 209L EXPO</t>
  </si>
  <si>
    <t>43592855</t>
  </si>
  <si>
    <t>SHELL SPIRAX S2 A 90 1x20L</t>
  </si>
  <si>
    <t>550049814</t>
  </si>
  <si>
    <t>SHELL SPIRAX S3 ATF MD3 6x1L</t>
  </si>
  <si>
    <t>550026900</t>
  </si>
  <si>
    <t>SHELL SPIRAX S4 CX 30 1x55GAL</t>
  </si>
  <si>
    <t>550026907</t>
  </si>
  <si>
    <t>SHELL SPIRAX S4 CX 50 1x55GAL</t>
  </si>
  <si>
    <t>550026891</t>
  </si>
  <si>
    <t>SHELL SPIRAX S4 TXM 1x5GAL</t>
  </si>
  <si>
    <t>550050052</t>
  </si>
  <si>
    <t>SHELL SPIRAX S6 ATF X 6x1L</t>
  </si>
  <si>
    <t>550045415</t>
  </si>
  <si>
    <t>SHELL TELLUS S2 MX 68 1x5GAL</t>
  </si>
  <si>
    <t>6560200055</t>
  </si>
  <si>
    <t>SHELL TURBO OIL T 32 1x55GAL</t>
  </si>
  <si>
    <t>6560500055</t>
  </si>
  <si>
    <t>SHELL TURBO T OIL 68 1x55GAL</t>
  </si>
  <si>
    <t>550043380</t>
  </si>
  <si>
    <t>SHELL TURBO S4 GX 32 1x55GAL</t>
  </si>
  <si>
    <t>Codigo</t>
  </si>
  <si>
    <t>SHELL REFRIGERATION OIL S4 FR-V 68</t>
  </si>
  <si>
    <t>Shell Rimula R4 X 15w40 1x5g</t>
  </si>
  <si>
    <t>Inventario Profit</t>
  </si>
  <si>
    <t>Código</t>
  </si>
  <si>
    <t>Descripción</t>
  </si>
  <si>
    <t>Actual</t>
  </si>
  <si>
    <t>CAJA</t>
  </si>
  <si>
    <t>41068905</t>
  </si>
  <si>
    <t>SHELL HELIX ULTRA 5W-40 SN 12x1L</t>
  </si>
  <si>
    <t>TAMBOR</t>
  </si>
  <si>
    <t>43509905</t>
  </si>
  <si>
    <t>PAILA</t>
  </si>
  <si>
    <t>500000214</t>
  </si>
  <si>
    <t>SHELL CATENEX T 121 BULK</t>
  </si>
  <si>
    <t>LTR</t>
  </si>
  <si>
    <t>550052035</t>
  </si>
  <si>
    <t>SHELL HELIX ULTRA 5W-40 SN CX 6x1L</t>
  </si>
  <si>
    <t>550054282</t>
  </si>
  <si>
    <t>SHELL RIMULA R4 X 15W40 1X5G</t>
  </si>
  <si>
    <t>QA-1010</t>
  </si>
  <si>
    <t>QUALID FILTRO PARA AIRE 1010</t>
  </si>
  <si>
    <t>UND</t>
  </si>
  <si>
    <t>QA-10190</t>
  </si>
  <si>
    <t>QUALID FILTRO PARA AIRE 10190</t>
  </si>
  <si>
    <t>QA-10242</t>
  </si>
  <si>
    <t>QUALID FILTRO PARA AIRE 10242</t>
  </si>
  <si>
    <t>QA-10262</t>
  </si>
  <si>
    <t>QUALID FILTRO PARA AIRE 10262</t>
  </si>
  <si>
    <t>QA-10755</t>
  </si>
  <si>
    <t>QUALID FILTRO PARA AIRE 10755</t>
  </si>
  <si>
    <t>QA-10835</t>
  </si>
  <si>
    <t>QUALID FILTRO PARA AIRE 10835</t>
  </si>
  <si>
    <t>QA-1111</t>
  </si>
  <si>
    <t>QUALID FILTRO PARA AIRE 1111</t>
  </si>
  <si>
    <t>QA-1211</t>
  </si>
  <si>
    <t>QUALID FILTRO PARA AIRE 1211</t>
  </si>
  <si>
    <t>QA-2222</t>
  </si>
  <si>
    <t>QUALID FILTRO PARA AIRE 2222</t>
  </si>
  <si>
    <t>QA-5700</t>
  </si>
  <si>
    <t>QUALID FILTRO PARA AIRE 5700</t>
  </si>
  <si>
    <t>QA-6558</t>
  </si>
  <si>
    <t>QUALID FILTRO PARA AIRE 6558</t>
  </si>
  <si>
    <t>QA-8000</t>
  </si>
  <si>
    <t>QUALID FILTRO PARA AIRE 8000</t>
  </si>
  <si>
    <t>QA-8004</t>
  </si>
  <si>
    <t>QUALID FILTRO PARA AIRE 8004</t>
  </si>
  <si>
    <t>QA-8208</t>
  </si>
  <si>
    <t>QUALID FILTRO PARA AIRE 8208</t>
  </si>
  <si>
    <t>QA-9074</t>
  </si>
  <si>
    <t>QUALID FILTRO PARA AIRE 9074</t>
  </si>
  <si>
    <t>QA-91485</t>
  </si>
  <si>
    <t>QUALID FILTRO PARA AIRE 91485</t>
  </si>
  <si>
    <t>QA-9430</t>
  </si>
  <si>
    <t>QUALID FILTRO PARA AIRE 9430</t>
  </si>
  <si>
    <t>QA-9683</t>
  </si>
  <si>
    <t>QUALID FILTRO PARA AIRE 9683</t>
  </si>
  <si>
    <t>QA-9687</t>
  </si>
  <si>
    <t>QUALID FILTRO PARA AIRE 9687</t>
  </si>
  <si>
    <t>QA-9902</t>
  </si>
  <si>
    <t>QUALID FILTRO PARA AIRE 9902</t>
  </si>
  <si>
    <t>QAC-L</t>
  </si>
  <si>
    <t>QUALID ABRILLANTADOR DE CAUCHOS 12x1L</t>
  </si>
  <si>
    <t>QC-1010</t>
  </si>
  <si>
    <t>QUALID FILTRO PARA COMBUSTIBLE 1010</t>
  </si>
  <si>
    <t>QC-1036</t>
  </si>
  <si>
    <t>QUALID FILTRO PARA COMBUSTIBLE 1036</t>
  </si>
  <si>
    <t>QC-1083</t>
  </si>
  <si>
    <t>QUALID FILTRO PARA COMBUSTIBLE 1083</t>
  </si>
  <si>
    <t>QC-1100</t>
  </si>
  <si>
    <t>QUALID FILTRO PARA COMBUSTIBLE 1100</t>
  </si>
  <si>
    <t>QC-1120</t>
  </si>
  <si>
    <t>QUALID FILTRO PARA COMBUSTIBLE 1120</t>
  </si>
  <si>
    <t>QC-2</t>
  </si>
  <si>
    <t>QUALID FILTRO PARA COMBUSTIBLE 2</t>
  </si>
  <si>
    <t>QC-3583</t>
  </si>
  <si>
    <t>QUALID FILTRO PARA COMBUSTIBLE 3583</t>
  </si>
  <si>
    <t>QC-3641</t>
  </si>
  <si>
    <t>QUALID FILTRO PARA COMBUSTIBLE 3641</t>
  </si>
  <si>
    <t>QC-3727</t>
  </si>
  <si>
    <t>QUALID FILTRO PARA COMBUSTIBLE 3727</t>
  </si>
  <si>
    <t>QC-3802</t>
  </si>
  <si>
    <t>QUALID FILTRO PARA COMBUSTIBLE 3802</t>
  </si>
  <si>
    <t>QC-3850</t>
  </si>
  <si>
    <t>QUALID FILTRO PARA COMBUSTIBLE 3850</t>
  </si>
  <si>
    <t>QC-5010</t>
  </si>
  <si>
    <t>QUALID FILTRO PARA COMBUSTIBLE 5010</t>
  </si>
  <si>
    <t>QC-5110</t>
  </si>
  <si>
    <t>QUALID FILTRO PARA COMBUSTIBLE 5110</t>
  </si>
  <si>
    <t>QC-511A</t>
  </si>
  <si>
    <t>QUALID FILTRO PARA COMBUSTIBLE 511A</t>
  </si>
  <si>
    <t>QC-5961</t>
  </si>
  <si>
    <t>QUALID FILTRO PARA COMBUSTIBLE 5961</t>
  </si>
  <si>
    <t>QC-618</t>
  </si>
  <si>
    <t>QUALID FILTRO PARA COMBUSTIBLE 618</t>
  </si>
  <si>
    <t>QC-619</t>
  </si>
  <si>
    <t>QUALID FILTRO PARA COMBUSTIBLE 619</t>
  </si>
  <si>
    <t>QC-645A</t>
  </si>
  <si>
    <t>QUALID FILTRO PARA COMBUSTIBLE 645A</t>
  </si>
  <si>
    <t>QC-6680</t>
  </si>
  <si>
    <t>QUALID FILTRO PARA COMBUSTIBLE 6680</t>
  </si>
  <si>
    <t>QC-7110</t>
  </si>
  <si>
    <t>QUALID FILTRO PARA COMBUSTIBLE 7110</t>
  </si>
  <si>
    <t>QC-7194</t>
  </si>
  <si>
    <t>QUALID FILTRO PARA COMBUSTIBLE 7194</t>
  </si>
  <si>
    <t>QC-7612</t>
  </si>
  <si>
    <t>QUALID FILTRO PARA COMBUSTIBLE 7612</t>
  </si>
  <si>
    <t>QC-7729</t>
  </si>
  <si>
    <t>QUALID FILTRO PARA COMBUSTIBLE 7729</t>
  </si>
  <si>
    <t>QC-9292</t>
  </si>
  <si>
    <t>QUALID FILTRO PARA COMBUSTIBLE 9292</t>
  </si>
  <si>
    <t>QC-986</t>
  </si>
  <si>
    <t>QUALID FILTRO PARA COMBUSTIBLE 986</t>
  </si>
  <si>
    <t>QC-991</t>
  </si>
  <si>
    <t>QUALID FILTRO PARA COMBUSTIBLE 991</t>
  </si>
  <si>
    <t>QD-6904</t>
  </si>
  <si>
    <t>QUALID FILTRO PARA DIESEL 6904</t>
  </si>
  <si>
    <t>QD-6905</t>
  </si>
  <si>
    <t>QUALID FILTRO PARA DIESEL 6905</t>
  </si>
  <si>
    <t>QDI-T</t>
  </si>
  <si>
    <t>QUALID DESENGRASANTE INDUSTRIAL 1x200L</t>
  </si>
  <si>
    <t>QDM-G</t>
  </si>
  <si>
    <t>QUALID DESENGRASANTE MULTIPROPOSITO 4x3.785L</t>
  </si>
  <si>
    <t>QDM-L</t>
  </si>
  <si>
    <t>QUALID DESENGRASANTE MULTIPROPOSITO 12x1L</t>
  </si>
  <si>
    <t>QDM-T</t>
  </si>
  <si>
    <t>QUALID DESENGRASANTE MULTIPROPOSITO 1x200L</t>
  </si>
  <si>
    <t>QDOT3-290</t>
  </si>
  <si>
    <t>QUALID LIQUIDO DE FRENOS DOT 3 12x290ML</t>
  </si>
  <si>
    <t>QDOT3-946</t>
  </si>
  <si>
    <t>QUALID LIQUIDO DE FRENOS DOT 3 12x946ML</t>
  </si>
  <si>
    <t>QDOT4-290</t>
  </si>
  <si>
    <t>QUALID LIQUIDO DE FRENOS DOT 4 12x290ML</t>
  </si>
  <si>
    <t>QDOT4-946</t>
  </si>
  <si>
    <t>QUALID LIQUIDO DE FRENOS DOT 4 12x946ML</t>
  </si>
  <si>
    <t>QEO-350</t>
  </si>
  <si>
    <t>QUALID ELEVADOR DE OCTANAJE 12x350ML</t>
  </si>
  <si>
    <t>QFM-G</t>
  </si>
  <si>
    <t>QUALID FORMULA MARINA 4x3.785L</t>
  </si>
  <si>
    <t>QFM-L</t>
  </si>
  <si>
    <t>QUALID FORMULA MARINA 12x1L</t>
  </si>
  <si>
    <t>QL-10060</t>
  </si>
  <si>
    <t>QUALID FILTRO PARA ACEITE 10060</t>
  </si>
  <si>
    <t>QL-10158</t>
  </si>
  <si>
    <t>QUALID FILTRO PARA ACEITE 10158</t>
  </si>
  <si>
    <t>QL-10295</t>
  </si>
  <si>
    <t>QUALID FILTRO PARA ACEITE 10295</t>
  </si>
  <si>
    <t>QL-10358</t>
  </si>
  <si>
    <t>QUALID FILTRO PARA ACEITE 10358</t>
  </si>
  <si>
    <t>QL-10575</t>
  </si>
  <si>
    <t>QUALID FILTRO PARA ACEITE 10575</t>
  </si>
  <si>
    <t>QL-13</t>
  </si>
  <si>
    <t>QUALID FILTRO PARA ACEITE 13</t>
  </si>
  <si>
    <t>QL-16</t>
  </si>
  <si>
    <t>QUALID FILTRO PARA ACEITE 16</t>
  </si>
  <si>
    <t>QL-2</t>
  </si>
  <si>
    <t>QUALID FILTRO PARA ACEITE 2</t>
  </si>
  <si>
    <t>QL-2004</t>
  </si>
  <si>
    <t>QUALID FILTRO PARA ACEITE 2004</t>
  </si>
  <si>
    <t>QL-3387</t>
  </si>
  <si>
    <t>QUALID FILTRO PARA ACEITE 3387</t>
  </si>
  <si>
    <t>QL-3600</t>
  </si>
  <si>
    <t>QUALID FILTRO PARA ACEITE 3600</t>
  </si>
  <si>
    <t>QL-3614</t>
  </si>
  <si>
    <t>QUALID FILTRO PARA ACEITE 3614</t>
  </si>
  <si>
    <t>QL-3690</t>
  </si>
  <si>
    <t>QUALID FILTRO PARA ACEITE 3690</t>
  </si>
  <si>
    <t>QL-3807</t>
  </si>
  <si>
    <t>QUALID FILTRO PARA ACEITE 3807</t>
  </si>
  <si>
    <t>QL-3980</t>
  </si>
  <si>
    <t>QUALID FILTRO PARA ACEITE 3980</t>
  </si>
  <si>
    <t>QL-4558</t>
  </si>
  <si>
    <t>QUALID FILTRO PARA ACEITE 4558</t>
  </si>
  <si>
    <t>QL-4967</t>
  </si>
  <si>
    <t>QUALID FILTRO PARA ACEITE 4967</t>
  </si>
  <si>
    <t>QL-5103</t>
  </si>
  <si>
    <t>QUALID FILTRO PARA ACEITE 5103</t>
  </si>
  <si>
    <t>QL-5113</t>
  </si>
  <si>
    <t>QUALID FILTRO PARA ACEITE 5113</t>
  </si>
  <si>
    <t>QL-5548</t>
  </si>
  <si>
    <t>QUALID FILTRO PARA ACEITE 5548</t>
  </si>
  <si>
    <t>QL-6607</t>
  </si>
  <si>
    <t>QUALID FILTRO PARA ACEITE 6607</t>
  </si>
  <si>
    <t>QL-7317</t>
  </si>
  <si>
    <t>QUALID FILTRO PARA ACEITE 7317</t>
  </si>
  <si>
    <t>QL-8</t>
  </si>
  <si>
    <t>QUALID FILTRO PARA ACEITE 8</t>
  </si>
  <si>
    <t>QL-9814</t>
  </si>
  <si>
    <t>QUALID FILTRO PARA ACEITE 9814</t>
  </si>
  <si>
    <t>QRHTR-G</t>
  </si>
  <si>
    <t>QUALID REFRIGERANTE HIGH TEMP ROJO 4x3.785L</t>
  </si>
  <si>
    <t>QRHTR-T</t>
  </si>
  <si>
    <t>QUALID REFRIGERANTE HIGH TEMP ROJO 1x200L</t>
  </si>
  <si>
    <t>QRHTV-G</t>
  </si>
  <si>
    <t>QUALID REFRIGERANTE HIGH TEMP VERDE  4x3.785L</t>
  </si>
  <si>
    <t>QRHTV-T</t>
  </si>
  <si>
    <t>QUALID REFRIGERANTE HIGH TEMP VERDE 1x200L</t>
  </si>
  <si>
    <t>QRPR50-G</t>
  </si>
  <si>
    <t>QUALID REFRIGERANTE PREMIUM ROJO 50% 4x3.785L</t>
  </si>
  <si>
    <t>QRPR50-T</t>
  </si>
  <si>
    <t>QUALID REFRIGERANTE PREMIUM ROJO 50% 1x200L</t>
  </si>
  <si>
    <t>QSH-G</t>
  </si>
  <si>
    <t>QUALID SHAMPOO 4x3.785L</t>
  </si>
  <si>
    <t>QSH-L</t>
  </si>
  <si>
    <t>QUALID SHAMPOO 12x1L</t>
  </si>
  <si>
    <t>QSH-T</t>
  </si>
  <si>
    <t>QUALID SHAMPOO 1x200L</t>
  </si>
  <si>
    <t>Z0000042</t>
  </si>
  <si>
    <t>INVENTARIO DE HERRAMIENTAS</t>
  </si>
  <si>
    <t>Z0000045</t>
  </si>
  <si>
    <t>PRESTUL JUEGO DE DADO</t>
  </si>
  <si>
    <t>Z0000046</t>
  </si>
  <si>
    <t>BESTLY LLAVE AJUST 12</t>
  </si>
  <si>
    <t>Z0000047</t>
  </si>
  <si>
    <t>AMPRO LLAVE COMBiNADA 25 MM</t>
  </si>
  <si>
    <t>Z0000048</t>
  </si>
  <si>
    <t>AMPRO LLAVE COMBINADA 27 MM</t>
  </si>
  <si>
    <t>Z0000049</t>
  </si>
  <si>
    <t>AMPRO LLAVE COMBINADA 26 MM</t>
  </si>
  <si>
    <t>Z0000050</t>
  </si>
  <si>
    <t>CARRITO PORTA FLEJE</t>
  </si>
  <si>
    <t>Z0000051</t>
  </si>
  <si>
    <t>TENAZA - TENZOR PARA FLEJE PLASTICO</t>
  </si>
  <si>
    <t>Z0000052</t>
  </si>
  <si>
    <t>BOBINAS DE FLEJE</t>
  </si>
  <si>
    <t>Z0000053</t>
  </si>
  <si>
    <t>ROLLO DE PLASTICO FILM STRECH</t>
  </si>
  <si>
    <t>Z0000054</t>
  </si>
  <si>
    <t>BOLSA DE GRAPAS PARA FLEJE PLASTICO</t>
  </si>
  <si>
    <t>Z0000055</t>
  </si>
  <si>
    <t>FORROS</t>
  </si>
  <si>
    <t>Z0000063</t>
  </si>
  <si>
    <t>BROCHAS</t>
  </si>
  <si>
    <t>Z0000066</t>
  </si>
  <si>
    <t>IMPRESORA CANON MF264DW</t>
  </si>
  <si>
    <t>Z0000067</t>
  </si>
  <si>
    <t>SERVIDOR DELL T140</t>
  </si>
  <si>
    <t>Z0000068</t>
  </si>
  <si>
    <t>LICENCIA PROFIT PLUS 2KDOCE NOMINA</t>
  </si>
  <si>
    <t>Z0000069</t>
  </si>
  <si>
    <t>LAPTOP 17.3 RYZEN 12GB 128GB 1 TB HDD</t>
  </si>
  <si>
    <t>Z0000070</t>
  </si>
  <si>
    <t>LAPTOP LENOVO 15.6 13 8GB 256 GB SSD</t>
  </si>
  <si>
    <t>Z0000071</t>
  </si>
  <si>
    <t>XIAOMI REDMI 9</t>
  </si>
  <si>
    <t>Z0000072</t>
  </si>
  <si>
    <t>XIAOMI REDMI 9S</t>
  </si>
  <si>
    <t>Z0000073</t>
  </si>
  <si>
    <t>ETIQUETA FIFO</t>
  </si>
  <si>
    <t>Z0000074</t>
  </si>
  <si>
    <t>REDMI 9C</t>
  </si>
  <si>
    <t>Z0000075</t>
  </si>
  <si>
    <t>MICROONDAS 20L</t>
  </si>
  <si>
    <t>Z0000076</t>
  </si>
  <si>
    <t>MICROONDAS 25L</t>
  </si>
  <si>
    <t>Z0000079</t>
  </si>
  <si>
    <t>PANTALLA LED 32 NTSC</t>
  </si>
  <si>
    <t>Z0000080</t>
  </si>
  <si>
    <t>PANTALLA 39 FHD SMART/ NETFLIX TV</t>
  </si>
  <si>
    <t>Z0000081</t>
  </si>
  <si>
    <t>BASE DE TIPO MENSULA PARA TV DE 26 A 42</t>
  </si>
  <si>
    <t>Z0000082</t>
  </si>
  <si>
    <t>MESA DE CONFERENCIA</t>
  </si>
  <si>
    <t>Z0000083</t>
  </si>
  <si>
    <t>MANGUERA ESP 14" X 15 MTS</t>
  </si>
  <si>
    <t>Z0000085</t>
  </si>
  <si>
    <t>ESPATULA XITELI 2"</t>
  </si>
  <si>
    <t>Z0000086</t>
  </si>
  <si>
    <t>ALICATE ELECTRICISTA</t>
  </si>
  <si>
    <t>Z0000087</t>
  </si>
  <si>
    <t>PISTOLA DE PINTAR</t>
  </si>
  <si>
    <t>Z0000088</t>
  </si>
  <si>
    <t>LAPTOP 15.6 345U 256GB</t>
  </si>
  <si>
    <t>Z0000089</t>
  </si>
  <si>
    <t>REDMI NOTE 8 4/64 9B</t>
  </si>
  <si>
    <t>Z0000093</t>
  </si>
  <si>
    <t>TRACTOR 17.5 HP CORTE 42 MOTOR B&amp;S</t>
  </si>
  <si>
    <t>Z0000094</t>
  </si>
  <si>
    <t>REDMI 9T GRAY</t>
  </si>
  <si>
    <t>Z0000095</t>
  </si>
  <si>
    <t>LAPTOP DELL 15.6 TOUCH RYZEN 5 3450U 12GB RAM 256GB SSD 1TB</t>
  </si>
  <si>
    <t>Z0000096</t>
  </si>
  <si>
    <t>REFRIGERADORA MEDIUM</t>
  </si>
  <si>
    <t>Z0000097</t>
  </si>
  <si>
    <t>NEVERA EJECUTIVA 1PTA 93L VIDRIO DORADO</t>
  </si>
  <si>
    <t>Z0000098</t>
  </si>
  <si>
    <t>RESPALDO ELECTRICO APC 1500W 900VA</t>
  </si>
  <si>
    <t>Z0000099</t>
  </si>
  <si>
    <t>PC MONITOREO CORE I3 10TH 8GB RAM SSD 250GB MSI 730 2GB</t>
  </si>
  <si>
    <t>Z0000100</t>
  </si>
  <si>
    <t>RADIOS BAOFENG UV 5R</t>
  </si>
  <si>
    <t>Z0000102</t>
  </si>
  <si>
    <t>VIDEO BEAM EPSOM</t>
  </si>
  <si>
    <t>Z0000103</t>
  </si>
  <si>
    <t>SWITCH CISCO SG 300 24PTS</t>
  </si>
  <si>
    <t>Z0000104</t>
  </si>
  <si>
    <t>DVR DAHUA DE 8CH HD 5 EN 1 1080P</t>
  </si>
  <si>
    <t>Z0000105</t>
  </si>
  <si>
    <t>DISCO DURO WD PURPURA 2T DVR</t>
  </si>
  <si>
    <t>Z0000106</t>
  </si>
  <si>
    <t>CAMARAS BULLER 1080P VERIFOCAL</t>
  </si>
  <si>
    <t>Z0000107</t>
  </si>
  <si>
    <t>CAMARAS DOMO 720P</t>
  </si>
  <si>
    <t>Z0000108</t>
  </si>
  <si>
    <t>FUENTE DE PODER CENTRALIZADA 8CH 25A</t>
  </si>
  <si>
    <t>Z0000110</t>
  </si>
  <si>
    <t>LAPTOP ACER ASPIRE 11TH GRN 8GB 512GB</t>
  </si>
  <si>
    <t>Z0000118</t>
  </si>
  <si>
    <t>LICENCIA WINDOWS 10 PRO. 64 BITS</t>
  </si>
  <si>
    <t>Z0000119</t>
  </si>
  <si>
    <t>LICENCIA OFFICE 2019 STAND. 64 BITS</t>
  </si>
  <si>
    <t>Z0000120</t>
  </si>
  <si>
    <t>ENVOPLAST</t>
  </si>
  <si>
    <t>Z0000123</t>
  </si>
  <si>
    <t>SOLDADORA</t>
  </si>
  <si>
    <t>Z0000125</t>
  </si>
  <si>
    <t>LLAVE ALLEN SET 8 PZAS</t>
  </si>
  <si>
    <t>Z0000126</t>
  </si>
  <si>
    <t>DADO 30MM X 12</t>
  </si>
  <si>
    <t>Z0000127</t>
  </si>
  <si>
    <t>LINTERNA LED</t>
  </si>
  <si>
    <t>Z0000128</t>
  </si>
  <si>
    <t>PICO HEMBRA</t>
  </si>
  <si>
    <t>Z0000129</t>
  </si>
  <si>
    <t>LICENCIA PROFIT PLUS 2KDOCE ADMINISTRATIVO</t>
  </si>
  <si>
    <t>Z0000130</t>
  </si>
  <si>
    <t>LICENCIA PROFIT PLUS 2KDOCE CONTABILIDAD</t>
  </si>
  <si>
    <t>Z0000131</t>
  </si>
  <si>
    <t>PTFE STIRRING BAR 25 MM</t>
  </si>
  <si>
    <t>Z0000132</t>
  </si>
  <si>
    <t>MONITOR 18.5 PULGADAS</t>
  </si>
  <si>
    <t>Z0000133</t>
  </si>
  <si>
    <t>CAMARAS VARIFOCAL 2.8 720P BULLER INDOOR</t>
  </si>
  <si>
    <t>Z0000134</t>
  </si>
  <si>
    <t>CAMIONETA DONGFENG RICH 6 BLANCA 2021</t>
  </si>
  <si>
    <t>Z0000136</t>
  </si>
  <si>
    <t>SET DE PUNTAS</t>
  </si>
  <si>
    <t>Z0000137</t>
  </si>
  <si>
    <t>LICUADORA OSTER</t>
  </si>
  <si>
    <t>Z0000143</t>
  </si>
  <si>
    <t>TERRAJA</t>
  </si>
  <si>
    <t>Z0000144</t>
  </si>
  <si>
    <t>DISCO DURO PARA CCTV</t>
  </si>
  <si>
    <t>Z0000145</t>
  </si>
  <si>
    <t>SPLIT 18000 BTU</t>
  </si>
  <si>
    <t>Z0000146</t>
  </si>
  <si>
    <t>MESA AUXILIAR D/METAL</t>
  </si>
  <si>
    <t>Z0000147</t>
  </si>
  <si>
    <t>MUEBLE DE TELA ACOLCHADO</t>
  </si>
  <si>
    <t>Z0000148</t>
  </si>
  <si>
    <t>SOFA DE DOS PUESTOS</t>
  </si>
  <si>
    <t>Z0000149</t>
  </si>
  <si>
    <t>MONITOR ACCER 19.5</t>
  </si>
  <si>
    <t>Z0000150</t>
  </si>
  <si>
    <t>MONITOR LOGAN 19</t>
  </si>
  <si>
    <t>Z0000152</t>
  </si>
  <si>
    <t>POCO M3</t>
  </si>
  <si>
    <t>Z0000153</t>
  </si>
  <si>
    <t>LICENCIA ANTI-VIRUS KARSPESKY END POINT SECURITY</t>
  </si>
  <si>
    <t>Z0000154</t>
  </si>
  <si>
    <t>SERVIDOR HP PROLIANT ML 110 G9</t>
  </si>
  <si>
    <t>Z0000155</t>
  </si>
  <si>
    <t>CONSOLA</t>
  </si>
  <si>
    <t>Z0000156</t>
  </si>
  <si>
    <t>HIDROJET 220V</t>
  </si>
  <si>
    <t>Z0000157</t>
  </si>
  <si>
    <t>ETQ QUALID REFRIGERANTE VERDE HIGH TEMP - G</t>
  </si>
  <si>
    <t>Z0000158</t>
  </si>
  <si>
    <t>ETQ QUALID REFRIGERANTE ROJO HIGH TEMP - G</t>
  </si>
  <si>
    <t>Z0000159</t>
  </si>
  <si>
    <t>ETQ QUALID REFRIGERANTE PREMIUM 50% - G</t>
  </si>
  <si>
    <t>Z0000160</t>
  </si>
  <si>
    <t>ETQ QUALID SHAMPOO AUTOMOTRIZ CONCENTRADO - G</t>
  </si>
  <si>
    <t>Z0000161</t>
  </si>
  <si>
    <t>ETQ QUALID FORMULA MARINA - G</t>
  </si>
  <si>
    <t>Z0000162</t>
  </si>
  <si>
    <t>ETQ QUALID DESENGRASANTE MULTIPROPOSITO - G</t>
  </si>
  <si>
    <t>Z0000163</t>
  </si>
  <si>
    <t>ETQ QUALID SHAMPOO AUTOMOTRIZ CONCENTRADO - L</t>
  </si>
  <si>
    <t>Z0000164</t>
  </si>
  <si>
    <t>ETQ QUALID FORMULA MARINA - L</t>
  </si>
  <si>
    <t>Z0000165</t>
  </si>
  <si>
    <t>ETQ QUALID DESENGRASANTE MULTIPROPOSITO - L</t>
  </si>
  <si>
    <t>Z0000166</t>
  </si>
  <si>
    <t>ETQ QUALID ABRILLANTADOR DE CAUCHOS - L</t>
  </si>
  <si>
    <t>Z0000167</t>
  </si>
  <si>
    <t>ETQ QUALID ELEVADOR DE OCTANAJE - 350</t>
  </si>
  <si>
    <t>Z0000168</t>
  </si>
  <si>
    <t>UPS APC 1500VA 900W</t>
  </si>
  <si>
    <t>Z0000170</t>
  </si>
  <si>
    <t>CLISHE - LINEA QUALID</t>
  </si>
  <si>
    <t>Z0000171</t>
  </si>
  <si>
    <t>LAPTOP HACER INSPIRE 5</t>
  </si>
  <si>
    <t>Z0000173</t>
  </si>
  <si>
    <t>GALONES CUADRADOS 3,785ML ROJOS - QUALID</t>
  </si>
  <si>
    <t>Z0000176</t>
  </si>
  <si>
    <t>SWITCH CISCO 24P 10/100/1000</t>
  </si>
  <si>
    <t>Z0000177</t>
  </si>
  <si>
    <t>LAPTOP ACCER 12GB RAM 15,6" 256SSD+512 RIGIDO DD</t>
  </si>
  <si>
    <t>Z0000179</t>
  </si>
  <si>
    <t>TRANSPALETA MANUAL MEGALIFT 2.5 T</t>
  </si>
  <si>
    <t>Z0000180</t>
  </si>
  <si>
    <t xml:space="preserve"> FILTRO DE AGUA</t>
  </si>
  <si>
    <t>Z0000181</t>
  </si>
  <si>
    <t>RADIOS BAOFENG UV-82</t>
  </si>
  <si>
    <t>Z0000182</t>
  </si>
  <si>
    <t>LICENCIA DOMINIO  DISBATTERYLUBRICANTES.COM</t>
  </si>
  <si>
    <t>Z0000183</t>
  </si>
  <si>
    <t>QLED 65 SAMSUNG</t>
  </si>
  <si>
    <t>Z0000184</t>
  </si>
  <si>
    <t>VIDEO PORTERO DAJHUA IP</t>
  </si>
  <si>
    <t>Z0000186</t>
  </si>
  <si>
    <t>LICENCIA CASCADE TEAMS</t>
  </si>
  <si>
    <t>Z0000187</t>
  </si>
  <si>
    <t>LICENCIA ONLINE SERVICES POWER BI</t>
  </si>
  <si>
    <t>Z0000188</t>
  </si>
  <si>
    <t>UPS 3000VA 2700W APC</t>
  </si>
  <si>
    <t>Z0000189</t>
  </si>
  <si>
    <t>CAMARA 1080P CCTV</t>
  </si>
  <si>
    <t>Z0000190</t>
  </si>
  <si>
    <t>MODULO RAM 31GB 3500GHZ</t>
  </si>
  <si>
    <t>Z0000191</t>
  </si>
  <si>
    <t>MINIGALON 1.000 CC (1 LTS) ROJOS - QUALID</t>
  </si>
  <si>
    <t>Z0000192</t>
  </si>
  <si>
    <t>TAPA 28MMPP NEGRA P/ ENVASE DE 1  LTS- QUALID</t>
  </si>
  <si>
    <t>Z0000193</t>
  </si>
  <si>
    <t>CANON EOS M50 M50 EF-M15-15 IS STM KIT</t>
  </si>
  <si>
    <t>Z0000194</t>
  </si>
  <si>
    <t>A/A 24000 BTU SPLIT DAEWOO</t>
  </si>
  <si>
    <t>Z0000195</t>
  </si>
  <si>
    <t>MONITOR 19 PULG LED SAMSUNG</t>
  </si>
  <si>
    <t>Z0000196</t>
  </si>
  <si>
    <t>MONITOR 23.8 PULG LED XIAOMI</t>
  </si>
  <si>
    <t>Z0000200</t>
  </si>
  <si>
    <t>S-FLOW IV+ VISCOSIMETRO DE VISCOSIDAD 115/230V 50/60HZ</t>
  </si>
  <si>
    <t>Z0000202</t>
  </si>
  <si>
    <t>LAPTOP ASUS X515 15,6" 12GB</t>
  </si>
  <si>
    <t>Z0000203</t>
  </si>
  <si>
    <t>MONTACARGAS TOYOTA 2,5 - MODELO 32-8FG25  - SERIAL 30-8FG25/36851</t>
  </si>
  <si>
    <t>Unidad</t>
  </si>
  <si>
    <t xml:space="preserve">40926905                      </t>
  </si>
  <si>
    <t xml:space="preserve">41051905                      </t>
  </si>
  <si>
    <t xml:space="preserve">41068905                      </t>
  </si>
  <si>
    <t xml:space="preserve">43509809                      </t>
  </si>
  <si>
    <t xml:space="preserve">43509905                      </t>
  </si>
  <si>
    <t xml:space="preserve">43512905                      </t>
  </si>
  <si>
    <t xml:space="preserve">43592855                      </t>
  </si>
  <si>
    <t xml:space="preserve">44243809                      </t>
  </si>
  <si>
    <t xml:space="preserve">44243855                      </t>
  </si>
  <si>
    <t xml:space="preserve">44245809                      </t>
  </si>
  <si>
    <t xml:space="preserve">44245855                      </t>
  </si>
  <si>
    <t xml:space="preserve">44414855                      </t>
  </si>
  <si>
    <t xml:space="preserve">44774905                      </t>
  </si>
  <si>
    <t xml:space="preserve">45312905                      </t>
  </si>
  <si>
    <t xml:space="preserve">45372809                      </t>
  </si>
  <si>
    <t xml:space="preserve">45372855                      </t>
  </si>
  <si>
    <t xml:space="preserve">45372905                      </t>
  </si>
  <si>
    <t xml:space="preserve">45387905                      </t>
  </si>
  <si>
    <t xml:space="preserve">45657855                      </t>
  </si>
  <si>
    <t xml:space="preserve">45659855                      </t>
  </si>
  <si>
    <t xml:space="preserve">45660855                      </t>
  </si>
  <si>
    <t xml:space="preserve">45683809                      </t>
  </si>
  <si>
    <t xml:space="preserve">45684809                      </t>
  </si>
  <si>
    <t xml:space="preserve">45685855                      </t>
  </si>
  <si>
    <t xml:space="preserve">500000214                     </t>
  </si>
  <si>
    <t xml:space="preserve">550014136                     </t>
  </si>
  <si>
    <t xml:space="preserve">550022488                     </t>
  </si>
  <si>
    <t xml:space="preserve">550025692                     </t>
  </si>
  <si>
    <t xml:space="preserve">550025702                     </t>
  </si>
  <si>
    <t xml:space="preserve">550025731                     </t>
  </si>
  <si>
    <t xml:space="preserve">550026300                     </t>
  </si>
  <si>
    <t xml:space="preserve">550026697                     </t>
  </si>
  <si>
    <t xml:space="preserve">550026699                     </t>
  </si>
  <si>
    <t xml:space="preserve">550026700                     </t>
  </si>
  <si>
    <t xml:space="preserve">550026710                     </t>
  </si>
  <si>
    <t xml:space="preserve">550026834                     </t>
  </si>
  <si>
    <t xml:space="preserve">550026891                     </t>
  </si>
  <si>
    <t xml:space="preserve">550026900                     </t>
  </si>
  <si>
    <t xml:space="preserve">550026907                     </t>
  </si>
  <si>
    <t xml:space="preserve">550027265                     </t>
  </si>
  <si>
    <t xml:space="preserve">550027631                     </t>
  </si>
  <si>
    <t xml:space="preserve">550029925                     </t>
  </si>
  <si>
    <t xml:space="preserve">550032121                     </t>
  </si>
  <si>
    <t xml:space="preserve">550036183                     </t>
  </si>
  <si>
    <t xml:space="preserve">550036571                     </t>
  </si>
  <si>
    <t xml:space="preserve">550043380                     </t>
  </si>
  <si>
    <t xml:space="preserve">550045415                     </t>
  </si>
  <si>
    <t xml:space="preserve">550045436                     </t>
  </si>
  <si>
    <t xml:space="preserve">550045438                     </t>
  </si>
  <si>
    <t xml:space="preserve">550045853                     </t>
  </si>
  <si>
    <t xml:space="preserve">550045885                     </t>
  </si>
  <si>
    <t xml:space="preserve">550045905                     </t>
  </si>
  <si>
    <t xml:space="preserve">550047075                     </t>
  </si>
  <si>
    <t xml:space="preserve">550047079                     </t>
  </si>
  <si>
    <t xml:space="preserve">550049041                     </t>
  </si>
  <si>
    <t xml:space="preserve">550049771                     </t>
  </si>
  <si>
    <t xml:space="preserve">550049814                     </t>
  </si>
  <si>
    <t xml:space="preserve">550050052                     </t>
  </si>
  <si>
    <t xml:space="preserve">550050102                     </t>
  </si>
  <si>
    <t xml:space="preserve">550050706                     </t>
  </si>
  <si>
    <t xml:space="preserve">550050708                     </t>
  </si>
  <si>
    <t xml:space="preserve">550052035                     </t>
  </si>
  <si>
    <t xml:space="preserve">550052038                     </t>
  </si>
  <si>
    <t xml:space="preserve">550052774                     </t>
  </si>
  <si>
    <t xml:space="preserve">550052775                     </t>
  </si>
  <si>
    <t xml:space="preserve">550053426                     </t>
  </si>
  <si>
    <t xml:space="preserve">550054282                     </t>
  </si>
  <si>
    <t xml:space="preserve">550054547                     </t>
  </si>
  <si>
    <t xml:space="preserve">550057742                     </t>
  </si>
  <si>
    <t xml:space="preserve">550057749                     </t>
  </si>
  <si>
    <t xml:space="preserve">550057767                     </t>
  </si>
  <si>
    <t xml:space="preserve">6560200055                    </t>
  </si>
  <si>
    <t xml:space="preserve">6560500055                    </t>
  </si>
  <si>
    <t xml:space="preserve">QA-1010                       </t>
  </si>
  <si>
    <t xml:space="preserve">QA-10190                      </t>
  </si>
  <si>
    <t xml:space="preserve">QA-10242                      </t>
  </si>
  <si>
    <t xml:space="preserve">QA-10262                      </t>
  </si>
  <si>
    <t xml:space="preserve">QA-10755                      </t>
  </si>
  <si>
    <t xml:space="preserve">QA-10835                      </t>
  </si>
  <si>
    <t xml:space="preserve">QA-1111                       </t>
  </si>
  <si>
    <t xml:space="preserve">QA-1211                       </t>
  </si>
  <si>
    <t xml:space="preserve">QA-2222                       </t>
  </si>
  <si>
    <t xml:space="preserve">QA-5700                       </t>
  </si>
  <si>
    <t xml:space="preserve">QA-6558                       </t>
  </si>
  <si>
    <t xml:space="preserve">QA-8000                       </t>
  </si>
  <si>
    <t xml:space="preserve">QA-8004                       </t>
  </si>
  <si>
    <t xml:space="preserve">QA-8208                       </t>
  </si>
  <si>
    <t xml:space="preserve">QA-9074                       </t>
  </si>
  <si>
    <t xml:space="preserve">QA-91485                      </t>
  </si>
  <si>
    <t xml:space="preserve">QA-9430                       </t>
  </si>
  <si>
    <t xml:space="preserve">QA-9683                       </t>
  </si>
  <si>
    <t xml:space="preserve">QA-9687                       </t>
  </si>
  <si>
    <t xml:space="preserve">QA-9902                       </t>
  </si>
  <si>
    <t xml:space="preserve">QAC-L                         </t>
  </si>
  <si>
    <t xml:space="preserve">QC-1010                       </t>
  </si>
  <si>
    <t xml:space="preserve">QC-1036                       </t>
  </si>
  <si>
    <t xml:space="preserve">QC-1083                       </t>
  </si>
  <si>
    <t xml:space="preserve">QC-1100                       </t>
  </si>
  <si>
    <t xml:space="preserve">QC-1120                       </t>
  </si>
  <si>
    <t xml:space="preserve">QC-2                          </t>
  </si>
  <si>
    <t xml:space="preserve">QC-3583                       </t>
  </si>
  <si>
    <t xml:space="preserve">QC-3641                       </t>
  </si>
  <si>
    <t xml:space="preserve">QC-3727                       </t>
  </si>
  <si>
    <t xml:space="preserve">QC-3802                       </t>
  </si>
  <si>
    <t xml:space="preserve">QC-3850                       </t>
  </si>
  <si>
    <t xml:space="preserve">QC-5010                       </t>
  </si>
  <si>
    <t xml:space="preserve">QC-5110                       </t>
  </si>
  <si>
    <t xml:space="preserve">QC-511A                       </t>
  </si>
  <si>
    <t xml:space="preserve">QC-5961                       </t>
  </si>
  <si>
    <t xml:space="preserve">QC-618                        </t>
  </si>
  <si>
    <t xml:space="preserve">QC-619                        </t>
  </si>
  <si>
    <t xml:space="preserve">QC-645A                       </t>
  </si>
  <si>
    <t xml:space="preserve">QC-6680                       </t>
  </si>
  <si>
    <t xml:space="preserve">QC-7110                       </t>
  </si>
  <si>
    <t xml:space="preserve">QC-7194                       </t>
  </si>
  <si>
    <t xml:space="preserve">QC-7612                       </t>
  </si>
  <si>
    <t xml:space="preserve">QC-7729                       </t>
  </si>
  <si>
    <t xml:space="preserve">QC-9292                       </t>
  </si>
  <si>
    <t xml:space="preserve">QC-986                        </t>
  </si>
  <si>
    <t xml:space="preserve">QC-991                        </t>
  </si>
  <si>
    <t xml:space="preserve">QD-6904                       </t>
  </si>
  <si>
    <t xml:space="preserve">QD-6905                       </t>
  </si>
  <si>
    <t xml:space="preserve">QDI-T                         </t>
  </si>
  <si>
    <t xml:space="preserve">QDM-G                         </t>
  </si>
  <si>
    <t xml:space="preserve">QDM-L                         </t>
  </si>
  <si>
    <t xml:space="preserve">QDM-T                         </t>
  </si>
  <si>
    <t xml:space="preserve">QDOT3-290                     </t>
  </si>
  <si>
    <t xml:space="preserve">QDOT3-946                     </t>
  </si>
  <si>
    <t xml:space="preserve">QDOT4-290                     </t>
  </si>
  <si>
    <t xml:space="preserve">QDOT4-946                     </t>
  </si>
  <si>
    <t xml:space="preserve">QEO-350                       </t>
  </si>
  <si>
    <t xml:space="preserve">QFM-G                         </t>
  </si>
  <si>
    <t xml:space="preserve">QFM-L                         </t>
  </si>
  <si>
    <t xml:space="preserve">QL-10060                      </t>
  </si>
  <si>
    <t xml:space="preserve">QL-10158                      </t>
  </si>
  <si>
    <t xml:space="preserve">QL-10295                      </t>
  </si>
  <si>
    <t xml:space="preserve">QL-10358                      </t>
  </si>
  <si>
    <t xml:space="preserve">QL-10575                      </t>
  </si>
  <si>
    <t xml:space="preserve">QL-13                         </t>
  </si>
  <si>
    <t xml:space="preserve">QL-16                         </t>
  </si>
  <si>
    <t xml:space="preserve">QL-2                          </t>
  </si>
  <si>
    <t xml:space="preserve">QL-2004                       </t>
  </si>
  <si>
    <t xml:space="preserve">QL-3387                       </t>
  </si>
  <si>
    <t xml:space="preserve">QL-3600                       </t>
  </si>
  <si>
    <t xml:space="preserve">QL-3614                       </t>
  </si>
  <si>
    <t xml:space="preserve">QL-3690                       </t>
  </si>
  <si>
    <t xml:space="preserve">QL-3807                       </t>
  </si>
  <si>
    <t xml:space="preserve">QL-3980                       </t>
  </si>
  <si>
    <t xml:space="preserve">QL-4558                       </t>
  </si>
  <si>
    <t xml:space="preserve">QL-4967                       </t>
  </si>
  <si>
    <t xml:space="preserve">QL-5103                       </t>
  </si>
  <si>
    <t xml:space="preserve">QL-5113                       </t>
  </si>
  <si>
    <t xml:space="preserve">QL-5548                       </t>
  </si>
  <si>
    <t xml:space="preserve">QL-6607                       </t>
  </si>
  <si>
    <t xml:space="preserve">QL-7317                       </t>
  </si>
  <si>
    <t xml:space="preserve">QL-8                          </t>
  </si>
  <si>
    <t xml:space="preserve">QL-9814                       </t>
  </si>
  <si>
    <t xml:space="preserve">QRHTR-G                       </t>
  </si>
  <si>
    <t xml:space="preserve">QRHTR-T                       </t>
  </si>
  <si>
    <t xml:space="preserve">QRHTV-G                       </t>
  </si>
  <si>
    <t xml:space="preserve">QRHTV-T                       </t>
  </si>
  <si>
    <t xml:space="preserve">QRPR50-G                      </t>
  </si>
  <si>
    <t xml:space="preserve">QRPR50-T                      </t>
  </si>
  <si>
    <t xml:space="preserve">QSH-G                         </t>
  </si>
  <si>
    <t xml:space="preserve">QSH-L                         </t>
  </si>
  <si>
    <t xml:space="preserve">QSH-T                         </t>
  </si>
  <si>
    <t xml:space="preserve">Z0000042                      </t>
  </si>
  <si>
    <t xml:space="preserve">Z0000045                      </t>
  </si>
  <si>
    <t xml:space="preserve">Z0000046                      </t>
  </si>
  <si>
    <t xml:space="preserve">Z0000047                      </t>
  </si>
  <si>
    <t xml:space="preserve">Z0000048                      </t>
  </si>
  <si>
    <t xml:space="preserve">Z0000049                      </t>
  </si>
  <si>
    <t xml:space="preserve">Z0000050                      </t>
  </si>
  <si>
    <t xml:space="preserve">Z0000051                      </t>
  </si>
  <si>
    <t xml:space="preserve">Z0000052                      </t>
  </si>
  <si>
    <t xml:space="preserve">Z0000053                      </t>
  </si>
  <si>
    <t xml:space="preserve">Z0000054                      </t>
  </si>
  <si>
    <t xml:space="preserve">Z0000055                      </t>
  </si>
  <si>
    <t xml:space="preserve">Z0000063                      </t>
  </si>
  <si>
    <t xml:space="preserve">Z0000066                      </t>
  </si>
  <si>
    <t xml:space="preserve">Z0000067                      </t>
  </si>
  <si>
    <t xml:space="preserve">Z0000068                      </t>
  </si>
  <si>
    <t xml:space="preserve">Z0000069                      </t>
  </si>
  <si>
    <t xml:space="preserve">Z0000070                      </t>
  </si>
  <si>
    <t xml:space="preserve">Z0000071                      </t>
  </si>
  <si>
    <t xml:space="preserve">Z0000072                      </t>
  </si>
  <si>
    <t xml:space="preserve">Z0000073                      </t>
  </si>
  <si>
    <t xml:space="preserve">Z0000074                      </t>
  </si>
  <si>
    <t xml:space="preserve">Z0000075                      </t>
  </si>
  <si>
    <t xml:space="preserve">Z0000076                      </t>
  </si>
  <si>
    <t xml:space="preserve">Z0000079                      </t>
  </si>
  <si>
    <t xml:space="preserve">Z0000080                      </t>
  </si>
  <si>
    <t xml:space="preserve">Z0000081                      </t>
  </si>
  <si>
    <t xml:space="preserve">Z0000082                      </t>
  </si>
  <si>
    <t xml:space="preserve">Z0000083                      </t>
  </si>
  <si>
    <t xml:space="preserve">Z0000085                      </t>
  </si>
  <si>
    <t xml:space="preserve">Z0000086                      </t>
  </si>
  <si>
    <t xml:space="preserve">Z0000087                      </t>
  </si>
  <si>
    <t xml:space="preserve">Z0000088                      </t>
  </si>
  <si>
    <t xml:space="preserve">Z0000089                      </t>
  </si>
  <si>
    <t xml:space="preserve">Z0000093                      </t>
  </si>
  <si>
    <t xml:space="preserve">Z0000094                      </t>
  </si>
  <si>
    <t xml:space="preserve">Z0000095                      </t>
  </si>
  <si>
    <t xml:space="preserve">Z0000096                      </t>
  </si>
  <si>
    <t xml:space="preserve">Z0000097                      </t>
  </si>
  <si>
    <t xml:space="preserve">Z0000098                      </t>
  </si>
  <si>
    <t xml:space="preserve">Z0000099                      </t>
  </si>
  <si>
    <t xml:space="preserve">Z0000100                      </t>
  </si>
  <si>
    <t xml:space="preserve">Z0000102                      </t>
  </si>
  <si>
    <t xml:space="preserve">Z0000103                      </t>
  </si>
  <si>
    <t xml:space="preserve">Z0000104                      </t>
  </si>
  <si>
    <t xml:space="preserve">Z0000105                      </t>
  </si>
  <si>
    <t xml:space="preserve">Z0000106                      </t>
  </si>
  <si>
    <t xml:space="preserve">Z0000107                      </t>
  </si>
  <si>
    <t xml:space="preserve">Z0000108                      </t>
  </si>
  <si>
    <t xml:space="preserve">Z0000110                      </t>
  </si>
  <si>
    <t xml:space="preserve">Z0000118                      </t>
  </si>
  <si>
    <t xml:space="preserve">Z0000119                      </t>
  </si>
  <si>
    <t xml:space="preserve">Z0000120                      </t>
  </si>
  <si>
    <t xml:space="preserve">Z0000123                      </t>
  </si>
  <si>
    <t xml:space="preserve">Z0000125                      </t>
  </si>
  <si>
    <t xml:space="preserve">Z0000126                      </t>
  </si>
  <si>
    <t xml:space="preserve">Z0000127                      </t>
  </si>
  <si>
    <t xml:space="preserve">Z0000128                      </t>
  </si>
  <si>
    <t xml:space="preserve">Z0000129                      </t>
  </si>
  <si>
    <t xml:space="preserve">Z0000130                      </t>
  </si>
  <si>
    <t xml:space="preserve">Z0000131                      </t>
  </si>
  <si>
    <t xml:space="preserve">Z0000132                      </t>
  </si>
  <si>
    <t xml:space="preserve">Z0000133                      </t>
  </si>
  <si>
    <t xml:space="preserve">Z0000134                      </t>
  </si>
  <si>
    <t xml:space="preserve">Z0000136                      </t>
  </si>
  <si>
    <t xml:space="preserve">Z0000137                      </t>
  </si>
  <si>
    <t xml:space="preserve">Z0000143                      </t>
  </si>
  <si>
    <t xml:space="preserve">Z0000144                      </t>
  </si>
  <si>
    <t xml:space="preserve">Z0000145                      </t>
  </si>
  <si>
    <t xml:space="preserve">Z0000146                      </t>
  </si>
  <si>
    <t xml:space="preserve">Z0000147                      </t>
  </si>
  <si>
    <t xml:space="preserve">Z0000148                      </t>
  </si>
  <si>
    <t xml:space="preserve">Z0000149                      </t>
  </si>
  <si>
    <t xml:space="preserve">Z0000150                      </t>
  </si>
  <si>
    <t xml:space="preserve">Z0000152                      </t>
  </si>
  <si>
    <t xml:space="preserve">Z0000153                      </t>
  </si>
  <si>
    <t xml:space="preserve">Z0000154                      </t>
  </si>
  <si>
    <t xml:space="preserve">Z0000155                      </t>
  </si>
  <si>
    <t xml:space="preserve">Z0000156                      </t>
  </si>
  <si>
    <t xml:space="preserve">Z0000157                      </t>
  </si>
  <si>
    <t xml:space="preserve">Z0000158                      </t>
  </si>
  <si>
    <t xml:space="preserve">Z0000159                      </t>
  </si>
  <si>
    <t xml:space="preserve">Z0000160                      </t>
  </si>
  <si>
    <t xml:space="preserve">Z0000161                      </t>
  </si>
  <si>
    <t xml:space="preserve">Z0000162                      </t>
  </si>
  <si>
    <t xml:space="preserve">Z0000163                      </t>
  </si>
  <si>
    <t xml:space="preserve">Z0000164                      </t>
  </si>
  <si>
    <t xml:space="preserve">Z0000165                      </t>
  </si>
  <si>
    <t xml:space="preserve">Z0000166                      </t>
  </si>
  <si>
    <t xml:space="preserve">Z0000167                      </t>
  </si>
  <si>
    <t xml:space="preserve">Z0000168                      </t>
  </si>
  <si>
    <t xml:space="preserve">Z0000170                      </t>
  </si>
  <si>
    <t xml:space="preserve">Z0000171                      </t>
  </si>
  <si>
    <t xml:space="preserve">Z0000173                      </t>
  </si>
  <si>
    <t xml:space="preserve">Z0000176                      </t>
  </si>
  <si>
    <t xml:space="preserve">Z0000177                      </t>
  </si>
  <si>
    <t xml:space="preserve">Z0000179                      </t>
  </si>
  <si>
    <t xml:space="preserve">Z0000180                      </t>
  </si>
  <si>
    <t xml:space="preserve">Z0000181                      </t>
  </si>
  <si>
    <t xml:space="preserve">Z0000182                      </t>
  </si>
  <si>
    <t xml:space="preserve">Z0000183                      </t>
  </si>
  <si>
    <t xml:space="preserve">Z0000184                      </t>
  </si>
  <si>
    <t xml:space="preserve">Z0000186                      </t>
  </si>
  <si>
    <t xml:space="preserve">Z0000187                      </t>
  </si>
  <si>
    <t xml:space="preserve">Z0000188                      </t>
  </si>
  <si>
    <t xml:space="preserve">Z0000189                      </t>
  </si>
  <si>
    <t xml:space="preserve">Z0000190                      </t>
  </si>
  <si>
    <t xml:space="preserve">Z0000191                      </t>
  </si>
  <si>
    <t xml:space="preserve">Z0000192                      </t>
  </si>
  <si>
    <t xml:space="preserve">Z0000193                      </t>
  </si>
  <si>
    <t xml:space="preserve">Z0000194                      </t>
  </si>
  <si>
    <t xml:space="preserve">Z0000195                      </t>
  </si>
  <si>
    <t xml:space="preserve">Z0000196                      </t>
  </si>
  <si>
    <t xml:space="preserve">Z0000200                      </t>
  </si>
  <si>
    <t xml:space="preserve">Z0000202                      </t>
  </si>
  <si>
    <t xml:space="preserve">Z0000203                      </t>
  </si>
  <si>
    <t xml:space="preserve">Z0000204                      </t>
  </si>
  <si>
    <t>JGO BAHCO DADOS 1/4 SBSL25 MM</t>
  </si>
  <si>
    <t xml:space="preserve">Z0000205                      </t>
  </si>
  <si>
    <t>ALICATE TRUPER PRESION RECTO 12 - 12R</t>
  </si>
  <si>
    <t xml:space="preserve">Z0000206                      </t>
  </si>
  <si>
    <t>KRIP K 57</t>
  </si>
  <si>
    <t>SHELL TURBO OIL T 46 1X55GAL</t>
  </si>
  <si>
    <t>209L</t>
  </si>
  <si>
    <t>Profit NAPLV</t>
  </si>
  <si>
    <t>Diferencia profit Vs  Fisico NAPLV</t>
  </si>
  <si>
    <t>SHELL HELIX HX5 15W40 3X4L</t>
  </si>
  <si>
    <t>Observación</t>
  </si>
  <si>
    <t>10x0.4kg</t>
  </si>
  <si>
    <t>TELLUS S2 VX 68 1*975L</t>
  </si>
  <si>
    <t>AOT185R14</t>
  </si>
  <si>
    <t>DK1856514</t>
  </si>
  <si>
    <t>DK1956015</t>
  </si>
  <si>
    <t>QBD29580</t>
  </si>
  <si>
    <t>QBD31580</t>
  </si>
  <si>
    <t>QPD29580</t>
  </si>
  <si>
    <t>QVU12R225</t>
  </si>
  <si>
    <t>QWK750</t>
  </si>
  <si>
    <t xml:space="preserve"> 1X975L</t>
  </si>
  <si>
    <t>SHELL HELIX HX5 15W-40 SL 6x1L</t>
  </si>
  <si>
    <t>Diferencia Físico vs Profit</t>
  </si>
  <si>
    <t>AOTELI 185/65R14 P307</t>
  </si>
  <si>
    <t>DOUBLE KING 185/65R14 DK298</t>
  </si>
  <si>
    <t>DOUBLE KING 195/60R15 DK558</t>
  </si>
  <si>
    <t>QUALID 295/80R22.5 18 PR BULLDOG</t>
  </si>
  <si>
    <t>QUALID 315/80R22.5 20PR  BULLDOG</t>
  </si>
  <si>
    <t>QUALID 295/80R22.5 18 PR PREDATOR</t>
  </si>
  <si>
    <t>QUALID 12R22.5 18PR VULCANO</t>
  </si>
  <si>
    <t>QAE80317525</t>
  </si>
  <si>
    <t>QUALID 17.5-25 24PR AE803</t>
  </si>
  <si>
    <t>QAB70028X915</t>
  </si>
  <si>
    <t>QUALID 28X-9-15 16PR AB700</t>
  </si>
  <si>
    <t>QAB7005008</t>
  </si>
  <si>
    <t>QUALID 5.00-8 10PR AB700</t>
  </si>
  <si>
    <t>QAB7006009</t>
  </si>
  <si>
    <t>QUALID 6.00-9  12 PR AB700</t>
  </si>
  <si>
    <t>QAB70065010</t>
  </si>
  <si>
    <t>QUALID 6.50-10 12PR AB700</t>
  </si>
  <si>
    <t>QAB70070012</t>
  </si>
  <si>
    <t>QAE80320525</t>
  </si>
  <si>
    <t>QUALID 20.5-25 24PR AE803</t>
  </si>
  <si>
    <t>QAE80323525</t>
  </si>
  <si>
    <t>QUALID 23.5-25 24PR AE803</t>
  </si>
  <si>
    <t>QAE80326525</t>
  </si>
  <si>
    <t>QUALID 26.5-25 32PR AE803</t>
  </si>
  <si>
    <t>QAE804140024</t>
  </si>
  <si>
    <t xml:space="preserve"> 14.00-24 36PR AE804</t>
  </si>
  <si>
    <t>QAE80623126</t>
  </si>
  <si>
    <t>QUALID 23.1-26 16PR AE806</t>
  </si>
  <si>
    <t>QAL70210165</t>
  </si>
  <si>
    <t>QAL70212165</t>
  </si>
  <si>
    <t>QUALID 12-16.5 14PR AL702</t>
  </si>
  <si>
    <t>QUALID 7.50R16 14PR WORKER SET</t>
  </si>
  <si>
    <t>QUALID 7.00-12 12PR AB700</t>
  </si>
  <si>
    <t>QUALID 10-16.5 12PR AL702</t>
  </si>
  <si>
    <t>QC18560R14</t>
  </si>
  <si>
    <t>QUALID 185/60R14 CITADINO</t>
  </si>
  <si>
    <t>QC19560R15</t>
  </si>
  <si>
    <t>QUALID 195/60R15 CITADINO</t>
  </si>
  <si>
    <t>QU18565R14</t>
  </si>
  <si>
    <t>QUALID 185/65 R14 URBANO</t>
  </si>
  <si>
    <t>SHELL HELIX HX5 15W-40 SN 3x4L</t>
  </si>
  <si>
    <t>co_art</t>
  </si>
  <si>
    <t>art_des</t>
  </si>
  <si>
    <t>unidad_base</t>
  </si>
  <si>
    <t>StockActual 0000002</t>
  </si>
  <si>
    <t>Cajas 000002</t>
  </si>
  <si>
    <t>StockActual 000003</t>
  </si>
  <si>
    <t>Cajas 000003</t>
  </si>
  <si>
    <t>StockActual</t>
  </si>
  <si>
    <t>stock_unid_CAJA</t>
  </si>
  <si>
    <t>equivalencia_CAJA</t>
  </si>
  <si>
    <t>LITROS</t>
  </si>
  <si>
    <t>SHELL CORENA S2 P 100 1X5GAL</t>
  </si>
  <si>
    <t>SHELL SPIRAX S4 TXM 1x55GAL</t>
  </si>
  <si>
    <t>SHELL SPIRAX S3 ATF MD3 1x55GAL</t>
  </si>
  <si>
    <t>SHELL GADUS S3 V460D 2 1x180KG</t>
  </si>
  <si>
    <t>SHELL RIMULA R2 50 TB 209L</t>
  </si>
  <si>
    <t>SHELL HELIX HX5 15W-40 SN 6x1L</t>
  </si>
  <si>
    <t>TOTE</t>
  </si>
  <si>
    <t>SHELL SPIRAX S2 A 80W-90 6x1L</t>
  </si>
  <si>
    <t>SHELL SPIRAX S2 A 85W-140 6x1L</t>
  </si>
  <si>
    <t>SHELL GADUS S2 OG 40 1x190KG</t>
  </si>
  <si>
    <t>SHELL ADVANCE 4T ULTRA 15W-50 12x1L</t>
  </si>
  <si>
    <t>SHELL RIMULA R4 X 15W-40 1x5GAL</t>
  </si>
  <si>
    <t>SHELL HELIX HX7 SP 10W-30 1x209L</t>
  </si>
  <si>
    <t>SHELL ADVANCE 4T AX7 10W-40 SN/MA2 6x1L</t>
  </si>
  <si>
    <t>SHELL ADVANCE AX7 15W-50 SN/MA2 6x1L</t>
  </si>
  <si>
    <t>SHELL TURBO OIL T 46 1x55GAL</t>
  </si>
  <si>
    <t>QAT28570R17</t>
  </si>
  <si>
    <t>QUALID LT285/70R17 ALL TERRAIN Q01</t>
  </si>
  <si>
    <t>QFM-T</t>
  </si>
  <si>
    <t>QUALID FORMULA MARINA 1x200L</t>
  </si>
  <si>
    <t>WS175R13</t>
  </si>
  <si>
    <t>SAFEWAY 175/70R13</t>
  </si>
  <si>
    <t>Z0000228</t>
  </si>
  <si>
    <t>TAMBOR L-RING PLUS 208 LTS</t>
  </si>
  <si>
    <t>SHELL CAPRINUS XR 40 1x209L</t>
  </si>
  <si>
    <t>SHELL SPIRAX S5 CVT X 12x1L</t>
  </si>
  <si>
    <t>QAT28575R16</t>
  </si>
  <si>
    <t>QUALID LT285/75R16 ALL TERRAIN Q01</t>
  </si>
  <si>
    <t>QRHTR-L</t>
  </si>
  <si>
    <t>QUALID REFRIGERANTE HIGH TEMP ROJO 12x1</t>
  </si>
  <si>
    <t>QRHTV-L</t>
  </si>
  <si>
    <t>QUALID REFRIGERANTE HIGH TEMP VERDE 12x1</t>
  </si>
  <si>
    <t>QRPV50-G</t>
  </si>
  <si>
    <t>QUALID REFRIGERANTE PREMIUM VERDE 50% 4x3.785L</t>
  </si>
  <si>
    <t>QRPV50-T</t>
  </si>
  <si>
    <t>QUALID REFRIGERANTE PREMIUM VERDE 50% 1x200L</t>
  </si>
  <si>
    <t>SHELL OMALA S2 G 460 1x209L</t>
  </si>
  <si>
    <t>TOYOTA TERIOS BE-GO</t>
  </si>
  <si>
    <t>TOYOTA COROLLA XEI / GLI 2008-2012</t>
  </si>
  <si>
    <t>FORD EXPLORER 2011-2013</t>
  </si>
  <si>
    <t>FORD EXPEDITION 2009/ F-150 / F-250 / F-350 2007-2012</t>
  </si>
  <si>
    <t>JEEP GRAND CHEROKEE 2011-2014, MITSUBISHI L200 DIESEL</t>
  </si>
  <si>
    <t>TOYOTA 4RUNNER 2014-2018</t>
  </si>
  <si>
    <t>CHERY ORINOCO 4L 1.8L (AUTOMÁTICO)</t>
  </si>
  <si>
    <t>CHERY ARAUCA A1 4L 1.3L</t>
  </si>
  <si>
    <t>FORD ECOSPORT 1.6L /FIESTA POWER 1.6L, MOVE, MAX</t>
  </si>
  <si>
    <t>QA-46357</t>
  </si>
  <si>
    <t>NKR (SIN TURBO), NPR 3.9, NPR 66L CABIN</t>
  </si>
  <si>
    <t>QA-46932</t>
  </si>
  <si>
    <t>NPR (CON TURBO), MITSUBISHI CANTER (CON TURBO)</t>
  </si>
  <si>
    <t>NISSAN FRONTIER 2005 - 2014</t>
  </si>
  <si>
    <t>MAZDA BT-50</t>
  </si>
  <si>
    <t>HYUNDAI TUCSON (2005-2009) / KIA SPORTAGE (2005-2009)</t>
  </si>
  <si>
    <t>FORD EXPEDITION / F-150 / F-350</t>
  </si>
  <si>
    <t>MITSUBISHI LANCER TOURING 2003-2015/ MIRAGE</t>
  </si>
  <si>
    <t>RENAULT LOGAN / KANGOO /SYMBOL</t>
  </si>
  <si>
    <t>CHEVROLET SPARK</t>
  </si>
  <si>
    <t>CHEVROLET LUV-DMAX (GASOLINA)</t>
  </si>
  <si>
    <t>TOYOTA 4RUNNER 2008/ FORTUNER / HILUX KAVAK / FJ CRUISER</t>
  </si>
  <si>
    <t>FORD EXPEDITION EDDIE PICK-UP F-SERIES SUPER DUTY (TODOS)</t>
  </si>
  <si>
    <t>CHEVROLET AVEO (TODOS)</t>
  </si>
  <si>
    <t>TOYOTA COROLLA 1.6 / 1.8 VVL-I</t>
  </si>
  <si>
    <t>FORD EXPLORER</t>
  </si>
  <si>
    <t>FORD F150/ FX4/ F350</t>
  </si>
  <si>
    <t>TOYOTA PRADO, 4RUNNER, FJ CRUISER</t>
  </si>
  <si>
    <t>TOYOTA HILUX / FORTUNER</t>
  </si>
  <si>
    <t>FILTRO UNIVERSAL</t>
  </si>
  <si>
    <t>JEEP CJ SERIES / WAGONEER / WRANGLER (CON RETORNO)</t>
  </si>
  <si>
    <t>DODGE PICK-UP RAM 2500. JEEP COMANCHE / CHEROKEE / WRANGLER</t>
  </si>
  <si>
    <t>CHEVROLET BLAZER / C - 1500 / CHEYENNE / CELEBRITY / CORVETTE / GRAND BLAZER / 2WD / 4WD / LUMINA / C10</t>
  </si>
  <si>
    <t>FORD BRONCO PICO CORTO</t>
  </si>
  <si>
    <t>FORD BRONCO / EXPLORER / F-150 / F-350</t>
  </si>
  <si>
    <t>TOYOTA STARLET, ARAYA, SKY, COROLLA CARBURADO</t>
  </si>
  <si>
    <t>TOYOTA HILUX (INYECCIÓN)</t>
  </si>
  <si>
    <t>VOLKSWAGEN, GOL / GOLF/ CROSSFOX / FOX/ SPACE FOX / POLO/ BORA</t>
  </si>
  <si>
    <t>RENAULT MEGANE, SCENIC, TWINGO, LOGAN, KANGOO, SYMBOL</t>
  </si>
  <si>
    <t>CHEVROLET CORSA / LUV D-MAX/ MONTANA/ MERIVA</t>
  </si>
  <si>
    <t>CHEVROLET OPTRA / AVEO / CAPTIVA (TESTIGO)</t>
  </si>
  <si>
    <t>CHEVROLET BLAZER (ROSCA PICO)</t>
  </si>
  <si>
    <t>HYUNDAI SONATA . TOYOTA 4 RUNNER / MERÚ / PRADO</t>
  </si>
  <si>
    <t>CHERY ORINOCO / ARAUCA / X1 / TIGGER / TIUNA</t>
  </si>
  <si>
    <t>MITSUBISHI ECLIPSE / LANCER / MF / MONTERO / MX . TOYOTA CAMRY / CELICA / PASEO</t>
  </si>
  <si>
    <t>TOYOTA COROLLA 1.8/1.6 (1994-2008)</t>
  </si>
  <si>
    <t>FIAT SIENA / PALIO (TODOS )</t>
  </si>
  <si>
    <t>FIESTA POWER 4L, 1.6 LT (00-07), ECOSPORT 4L, 1.6 (04-05) Y 2.0 LT (04-05), MAZDA 2</t>
  </si>
  <si>
    <t>FORD EXPLORER / FORTALEZA / RANGER</t>
  </si>
  <si>
    <t>FORD EXPLORER 1999-2002 / SPORT TRAC</t>
  </si>
  <si>
    <t>QD-10224</t>
  </si>
  <si>
    <t>FORD RANGER, MAZDA BT50 W/ 2.2L AND 3.2L DIESEL, TOYOTA HILUX 2.5 DIESEL / MITSUBISHI L200</t>
  </si>
  <si>
    <t>QD-10231</t>
  </si>
  <si>
    <t>TOYOYA LAND CRUISER DIESEL 70, HZJ7, 200, 202</t>
  </si>
  <si>
    <t>QD-10372</t>
  </si>
  <si>
    <t>TOYOTA DYNA TURBO</t>
  </si>
  <si>
    <t>QD-10379</t>
  </si>
  <si>
    <t>MITSUBISHI HINO 3.5T 155 195 FUEL FILTER ELEMENT OE 23304-78091  TOYOTA DYNA (23304-78090)</t>
  </si>
  <si>
    <t>QD-10416</t>
  </si>
  <si>
    <t>MITSUBISHI, HINO, ISUZU, CHEVROLET FVR, TOYOTA DYNA 4.0</t>
  </si>
  <si>
    <t>QD-33166</t>
  </si>
  <si>
    <t>JHON DEER / INGERSOLL RAND / MASSEY FERGUSON</t>
  </si>
  <si>
    <t>QD-33218</t>
  </si>
  <si>
    <t>MACK 673 / 675 / 676 SECUNDARIO</t>
  </si>
  <si>
    <t>QD-33219</t>
  </si>
  <si>
    <t>MACK 673 / 675 / 676 PRIMARIO</t>
  </si>
  <si>
    <t>QD-33242</t>
  </si>
  <si>
    <t>TRAMPA CARGO 1721</t>
  </si>
  <si>
    <t>QD-33260</t>
  </si>
  <si>
    <t>DAEWOO, HITACHI EQUIPMENT; HINO, ISUZU TRUCKS; KAWASAKI LOADERS</t>
  </si>
  <si>
    <t>QD-33386</t>
  </si>
  <si>
    <t>CHEVROLET NPR / NKR</t>
  </si>
  <si>
    <t>QD-33393</t>
  </si>
  <si>
    <t>CHEVROLET NPR / NKR / ENCAVA</t>
  </si>
  <si>
    <t>QD-33399</t>
  </si>
  <si>
    <t>MITSUBISHI FUSO CANTER</t>
  </si>
  <si>
    <t>QD-33587</t>
  </si>
  <si>
    <t>MACK GRANITE Y VISION</t>
  </si>
  <si>
    <t>QD-33588</t>
  </si>
  <si>
    <t>QD-33742</t>
  </si>
  <si>
    <t>CAT EQUIPMENT (CARTEPILLAR ENGINES)</t>
  </si>
  <si>
    <t>QD-33777</t>
  </si>
  <si>
    <t>TRAMPA CUMMINS</t>
  </si>
  <si>
    <t>QD-8429</t>
  </si>
  <si>
    <t>TOYOTA HILUX / HIACE / TACOMA</t>
  </si>
  <si>
    <t>CHEVROLET EXPRESS VAN/ AVALANCHE / TAHOE/  SILVERADO. DODGE CALIBER. JEEP LIBERTY KK/ COMPASS</t>
  </si>
  <si>
    <t>TOYOTA 4RUNNER 2010-2021 / TUNDRA V6 4.OL 2012-2014</t>
  </si>
  <si>
    <t>TOYOTA TUNDRA 2010-2021 / LAND CRUISER 2008-2021/ SEQUOIA 2001-2021</t>
  </si>
  <si>
    <t>TOYOTA COROLLA 2013-2018</t>
  </si>
  <si>
    <t>FORD EXPLORER 2011-2021 / F150 2011-2021 / JEEP CHEROKEE LIBERTY 2008 -2014</t>
  </si>
  <si>
    <t>CHEVROLET GRAND BLAZER / 2WD / 4WD / C-1500 / C30 / C3500 / GMC YUKON / PICK-UPS (TODAS) / SILVERADO</t>
  </si>
  <si>
    <t>DODGE INTREPID / PICK-UP RAM 2500 / SPIRIT / STRATUS / CARAVAN / DURANGO / CIRRUS</t>
  </si>
  <si>
    <t>FORD TRITON 8CIL / EXPEDITION V8 / ESCAPE 3.0L / EXPLORER SPORT / SPORT TRAC/ JEEP GRAND CHEROKEE 2010-2013</t>
  </si>
  <si>
    <t>TOYOTA PRADO/ HILUX/ FORTUNER / 4RUNNER HASTA 2009. DONGFENG RICH 6</t>
  </si>
  <si>
    <t>CHEVROLET AVEO (TODOS) /  OPTRA (TODOS) / CORSA (TODOS). FIAT PALIO 1.8 (2005-2009) / SIENA 1.8 (2005-2009). DAEWOO CIEL</t>
  </si>
  <si>
    <t>FORD FIESTA (TODOS) / RANGER / FOCUS. JEEP CHEROKEE LIBERTY 2007. MAZDA B-2300 /B-2500</t>
  </si>
  <si>
    <t>CHERY ARAUCA A1 / X1, CHEVROLET GRAND VITARA (TODAS) / JIMNY. FORD ECOSPORT</t>
  </si>
  <si>
    <t>CHEVROLET LUV D-MAX (TODAS). HONDA ACCORD / CIVIC / FIT / LEGEND / ODISSEY. HYUNDAI ACCENT / ELANTRA / TUCSON / GETZ</t>
  </si>
  <si>
    <t>CHEVROLET BLAZER / CELEBRITY / CORSICA / CORVETTE / IMPALA / LUMINA / C10</t>
  </si>
  <si>
    <t>FIAT BRAVA / PALIO / PREMIO / SIENA / UNO / FORZA</t>
  </si>
  <si>
    <t>TOYOTA CAMRY / CELICA / COROLLA / SKY / STARLET / TERIOS / YARIS. DAEWOO MATIZ / TICO. CHEVROLET SPARK(TODOS)</t>
  </si>
  <si>
    <t>CHERY ORINOCO (A3)</t>
  </si>
  <si>
    <t>RENAULT CLIO / GALA / KANGOO / TWINGO 1.2L / MEGANE / LOGAN / SCENIC</t>
  </si>
  <si>
    <t>QL-51429</t>
  </si>
  <si>
    <t>IVECO EUROCARGO</t>
  </si>
  <si>
    <t>QL-51431</t>
  </si>
  <si>
    <t>FIAT IVECO DAILY TURBO</t>
  </si>
  <si>
    <t>QL-51602</t>
  </si>
  <si>
    <t>FORD CARGO 815 MOTOR CUMMINS 3.9L</t>
  </si>
  <si>
    <t>QL-51649</t>
  </si>
  <si>
    <t>CHEVROLET FVR / FTR / FSR</t>
  </si>
  <si>
    <t>QL-51660</t>
  </si>
  <si>
    <t>VOLVO / MACK BY PASS</t>
  </si>
  <si>
    <t>QL-51669</t>
  </si>
  <si>
    <t>FORD MOTORES CUMMINS</t>
  </si>
  <si>
    <t>QL-51675</t>
  </si>
  <si>
    <t>QL-51748</t>
  </si>
  <si>
    <t>FORD F-9000 / CARGO 1721</t>
  </si>
  <si>
    <t>QL-51749</t>
  </si>
  <si>
    <t>SUPERBRIGADIER 185 / 229</t>
  </si>
  <si>
    <t>QL-51791</t>
  </si>
  <si>
    <t>CHEVROLET KODIAK CATERPILLAR 3126 ELECTRONICO</t>
  </si>
  <si>
    <t>QL-51810</t>
  </si>
  <si>
    <t>QL-51832</t>
  </si>
  <si>
    <t>FORD F-7000</t>
  </si>
  <si>
    <t>QL-51971</t>
  </si>
  <si>
    <t>FREIGHTLINER CL120 / FDL120</t>
  </si>
  <si>
    <t>VOLKSWAGEN FOX / CROSSFOX 2006-2008 / GOL 1997-2018 / SPACE FOX 2006-2008.  SEAT IBIZA CORDOBA</t>
  </si>
  <si>
    <t>QL-57746</t>
  </si>
  <si>
    <t>CUMMINS ISX</t>
  </si>
  <si>
    <t>FORD KA / LASER. MAZDA ALLEGRO / 323 / 626 KIA PICANTO</t>
  </si>
  <si>
    <t>HONDA ACCORD / CIVIC, LEGEND / FIT / DODGE BRISA. MITSUBISHI LANCER</t>
  </si>
  <si>
    <t>FORD MUSTANG 91-03 / FORD BRONCO 92-96 / EXPLORER 92-01 / PICK UP F150-350. TOYOTA LAND CRUISER / MACHO / PICK UP</t>
  </si>
  <si>
    <t>PEUGEOT 206/207/307/408, CENTAURO 1.6, DONGFENG S30</t>
  </si>
  <si>
    <t>SHELL TELLUS S2 VX 68 1x975L</t>
  </si>
  <si>
    <t>SHELL OMALA S2 G 150 1x209L</t>
  </si>
  <si>
    <t>QA-8756</t>
  </si>
  <si>
    <t>Chevrolet C-1500 Cheyenne / Grand Blazer / Silverado</t>
  </si>
  <si>
    <t>QL-10246</t>
  </si>
  <si>
    <t>Chevrolet Cruze</t>
  </si>
  <si>
    <t>PNEUS 185/60R14 VANTAGE CLASSIC</t>
  </si>
  <si>
    <t>PNEUS P195/75R14 FORMULA GT</t>
  </si>
  <si>
    <t>PNEUS P225/75R15 FORMULA GT</t>
  </si>
  <si>
    <t>PNEUS P195/75R14 VANTAGE</t>
  </si>
  <si>
    <t>PNEUS P225/75R15</t>
  </si>
  <si>
    <t>PNEUS 195/65R15 VANTAGE EVOLUTION</t>
  </si>
  <si>
    <t>PNEUS LT265/75R16TL VANTAGE SUV A/T</t>
  </si>
  <si>
    <t>PNEUS 235/55R17 VANTAGE SPORT</t>
  </si>
  <si>
    <t>PNEUS P265/65R17 VANTAGE SUV A/T</t>
  </si>
  <si>
    <t>PNEUS 31X10.50R15LT VANTAGE SUV A/T</t>
  </si>
  <si>
    <t>PNEUS 90/90-18M/C 51P FORMULA</t>
  </si>
  <si>
    <t>PNEUS 205/55R14 VANTAGE SPORT</t>
  </si>
  <si>
    <t>PNEUS 165/60R13 F. SPIDER</t>
  </si>
  <si>
    <t>PNEUS 175/70R13 F. SPIDER</t>
  </si>
  <si>
    <t>PNEUS 195/60R13 VANTAGE SPORT</t>
  </si>
  <si>
    <t>PNEUS P255/60R15 VANTAGE SPORT</t>
  </si>
  <si>
    <t>PNEUS P235/60R16 VANTAGE SPORT</t>
  </si>
  <si>
    <t>PNEUS 205/55R16 VANTAGE EVOLUTION</t>
  </si>
  <si>
    <t>PNEUS 30X9.50R15TL VANTAGE SUV A/T</t>
  </si>
  <si>
    <t>PNEUS P235/75R15TL VANTAGE SUV A/T</t>
  </si>
  <si>
    <t>SHELL HELIX HX7 SP 5W-20 3x4L</t>
  </si>
  <si>
    <t>QF21575R175</t>
  </si>
  <si>
    <t>215/75R17.5 16PR FALCON</t>
  </si>
  <si>
    <t>28 DIFERENCIA SE DEBE QUE EN PROFIT ESTA CARGADO EN EL CODIGO 44243809 Y DEBE ESTA CARGADO EN EL CODIGO 550038020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</si>
</sst>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00"/>
  </numFmts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000000"/>
      <name val="Calibri"/>
      <family val="2"/>
    </font>
    <font>
      <sz val="1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2A276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2060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18">
    <xf numFmtId="0" fontId="0" fillId="0" borderId="0" xfId="0"/>
    <xf numFmtId="0" fontId="1" fillId="2" borderId="2" xfId="0" applyFont="1" applyFill="1" applyBorder="1" applyAlignment="1">
      <alignment horizontal="center" vertical="center" wrapText="1"/>
    </xf>
    <xf numFmtId="0" fontId="0" fillId="0" borderId="1" xfId="0" applyBorder="1"/>
    <xf numFmtId="0" fontId="0" fillId="0" borderId="4" xfId="0" applyBorder="1"/>
    <xf numFmtId="0" fontId="0" fillId="0" borderId="6" xfId="0" applyBorder="1"/>
    <xf numFmtId="0" fontId="1" fillId="2" borderId="3" xfId="0" applyFont="1" applyFill="1" applyBorder="1" applyAlignment="1">
      <alignment horizontal="center" vertical="center" wrapText="1"/>
    </xf>
    <xf numFmtId="0" fontId="0" fillId="0" borderId="0" xfId="0"/>
    <xf numFmtId="0" fontId="1" fillId="2" borderId="7" xfId="0" applyFont="1" applyFill="1" applyBorder="1" applyAlignment="1">
      <alignment horizontal="center" vertical="center" wrapText="1"/>
    </xf>
    <xf numFmtId="0" fontId="0" fillId="0" borderId="8" xfId="0" applyBorder="1"/>
    <xf numFmtId="0" fontId="0" fillId="0" borderId="9" xfId="0" applyBorder="1"/>
    <xf numFmtId="0" fontId="1" fillId="2" borderId="10" xfId="0" applyFont="1" applyFill="1" applyBorder="1" applyAlignment="1">
      <alignment horizontal="center" vertical="center" wrapText="1"/>
    </xf>
    <xf numFmtId="0" fontId="0" fillId="0" borderId="1" xfId="0" applyFill="1" applyBorder="1"/>
    <xf numFmtId="0" fontId="0" fillId="3" borderId="14" xfId="0" applyFill="1" applyBorder="1"/>
    <xf numFmtId="0" fontId="0" fillId="0" borderId="14" xfId="0" applyBorder="1" applyAlignment="1">
      <alignment horizontal="center" vertical="center"/>
    </xf>
    <xf numFmtId="0" fontId="0" fillId="0" borderId="0" xfId="0"/>
    <xf numFmtId="0" fontId="0" fillId="0" borderId="18" xfId="0" applyBorder="1"/>
    <xf numFmtId="0" fontId="0" fillId="0" borderId="19" xfId="0" applyBorder="1"/>
    <xf numFmtId="0" fontId="0" fillId="3" borderId="20" xfId="0" applyFill="1" applyBorder="1"/>
    <xf numFmtId="0" fontId="0" fillId="3" borderId="16" xfId="0" applyFill="1" applyBorder="1"/>
    <xf numFmtId="0" fontId="0" fillId="7" borderId="18" xfId="0" applyFill="1" applyBorder="1"/>
    <xf numFmtId="0" fontId="0" fillId="7" borderId="0" xfId="0" applyFill="1"/>
    <xf numFmtId="0" fontId="0" fillId="3" borderId="22" xfId="0" applyFill="1" applyBorder="1"/>
    <xf numFmtId="0" fontId="0" fillId="3" borderId="13" xfId="0" applyFill="1" applyBorder="1"/>
    <xf numFmtId="0" fontId="0" fillId="0" borderId="18" xfId="0" applyFill="1" applyBorder="1"/>
    <xf numFmtId="0" fontId="0" fillId="7" borderId="0" xfId="0" applyFill="1" applyBorder="1"/>
    <xf numFmtId="2" fontId="0" fillId="7" borderId="0" xfId="0" applyNumberFormat="1" applyFill="1" applyBorder="1"/>
    <xf numFmtId="0" fontId="0" fillId="0" borderId="0" xfId="0" applyAlignment="1">
      <alignment horizontal="center"/>
    </xf>
    <xf numFmtId="0" fontId="6" fillId="0" borderId="0" xfId="0" applyFont="1"/>
    <xf numFmtId="164" fontId="6" fillId="0" borderId="0" xfId="1" applyNumberFormat="1" applyFont="1"/>
    <xf numFmtId="0" fontId="6" fillId="0" borderId="0" xfId="0" applyFont="1" applyAlignment="1">
      <alignment horizontal="center"/>
    </xf>
    <xf numFmtId="0" fontId="6" fillId="0" borderId="0" xfId="0" applyFont="1" applyAlignment="1">
      <alignment wrapText="1"/>
    </xf>
    <xf numFmtId="0" fontId="7" fillId="9" borderId="1" xfId="0" applyFont="1" applyFill="1" applyBorder="1" applyAlignment="1">
      <alignment wrapText="1"/>
    </xf>
    <xf numFmtId="164" fontId="6" fillId="6" borderId="1" xfId="1" applyNumberFormat="1" applyFont="1" applyFill="1" applyBorder="1" applyAlignment="1">
      <alignment horizontal="left"/>
    </xf>
    <xf numFmtId="14" fontId="1" fillId="2" borderId="10" xfId="0" applyNumberFormat="1" applyFont="1" applyFill="1" applyBorder="1" applyAlignment="1">
      <alignment horizontal="center" vertical="center" wrapText="1"/>
    </xf>
    <xf numFmtId="0" fontId="0" fillId="0" borderId="0" xfId="0" applyNumberFormat="1"/>
    <xf numFmtId="165" fontId="0" fillId="0" borderId="0" xfId="0" applyNumberFormat="1"/>
    <xf numFmtId="165" fontId="1" fillId="2" borderId="3" xfId="0" applyNumberFormat="1" applyFont="1" applyFill="1" applyBorder="1" applyAlignment="1">
      <alignment horizontal="center" vertical="center" wrapText="1"/>
    </xf>
    <xf numFmtId="0" fontId="0" fillId="0" borderId="25" xfId="0" applyBorder="1"/>
    <xf numFmtId="2" fontId="0" fillId="8" borderId="13" xfId="0" applyNumberFormat="1" applyFill="1" applyBorder="1"/>
    <xf numFmtId="2" fontId="0" fillId="8" borderId="14" xfId="0" applyNumberFormat="1" applyFill="1" applyBorder="1"/>
    <xf numFmtId="0" fontId="0" fillId="8" borderId="14" xfId="0" applyNumberFormat="1" applyFill="1" applyBorder="1"/>
    <xf numFmtId="0" fontId="0" fillId="8" borderId="15" xfId="0" applyNumberFormat="1" applyFill="1" applyBorder="1"/>
    <xf numFmtId="0" fontId="1" fillId="2" borderId="3" xfId="0" applyNumberFormat="1" applyFont="1" applyFill="1" applyBorder="1" applyAlignment="1">
      <alignment horizontal="center" vertical="center" wrapText="1"/>
    </xf>
    <xf numFmtId="0" fontId="0" fillId="0" borderId="11" xfId="0" applyFill="1" applyBorder="1"/>
    <xf numFmtId="0" fontId="1" fillId="2" borderId="27" xfId="0" applyFont="1" applyFill="1" applyBorder="1" applyAlignment="1">
      <alignment horizontal="center" vertical="center" wrapText="1"/>
    </xf>
    <xf numFmtId="0" fontId="0" fillId="0" borderId="25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6" xfId="0" applyBorder="1"/>
    <xf numFmtId="14" fontId="1" fillId="2" borderId="28" xfId="0" applyNumberFormat="1" applyFont="1" applyFill="1" applyBorder="1" applyAlignment="1">
      <alignment horizontal="center" vertical="center" wrapText="1"/>
    </xf>
    <xf numFmtId="0" fontId="0" fillId="3" borderId="28" xfId="0" applyFill="1" applyBorder="1"/>
    <xf numFmtId="165" fontId="0" fillId="3" borderId="20" xfId="0" applyNumberFormat="1" applyFill="1" applyBorder="1"/>
    <xf numFmtId="165" fontId="0" fillId="3" borderId="16" xfId="0" applyNumberFormat="1" applyFill="1" applyBorder="1"/>
    <xf numFmtId="165" fontId="0" fillId="3" borderId="17" xfId="0" applyNumberFormat="1" applyFill="1" applyBorder="1"/>
    <xf numFmtId="0" fontId="0" fillId="0" borderId="11" xfId="0" applyBorder="1"/>
    <xf numFmtId="0" fontId="0" fillId="0" borderId="13" xfId="0" applyBorder="1"/>
    <xf numFmtId="0" fontId="0" fillId="0" borderId="30" xfId="0" applyBorder="1"/>
    <xf numFmtId="0" fontId="0" fillId="0" borderId="31" xfId="0" applyBorder="1"/>
    <xf numFmtId="0" fontId="0" fillId="0" borderId="0" xfId="0" applyAlignment="1">
      <alignment vertical="top"/>
    </xf>
    <xf numFmtId="0" fontId="0" fillId="0" borderId="0" xfId="0" applyFill="1" applyBorder="1"/>
    <xf numFmtId="0" fontId="0" fillId="0" borderId="14" xfId="0" applyNumberFormat="1" applyBorder="1" applyAlignment="1">
      <alignment horizontal="center" vertical="center"/>
    </xf>
    <xf numFmtId="0" fontId="0" fillId="0" borderId="15" xfId="0" applyNumberFormat="1" applyBorder="1" applyAlignment="1">
      <alignment horizontal="center" vertical="center"/>
    </xf>
    <xf numFmtId="0" fontId="0" fillId="4" borderId="24" xfId="0" applyFill="1" applyBorder="1"/>
    <xf numFmtId="0" fontId="0" fillId="4" borderId="1" xfId="0" applyFill="1" applyBorder="1"/>
    <xf numFmtId="2" fontId="0" fillId="8" borderId="21" xfId="0" applyNumberFormat="1" applyFill="1" applyBorder="1"/>
    <xf numFmtId="0" fontId="0" fillId="0" borderId="13" xfId="0" applyNumberFormat="1" applyFill="1" applyBorder="1" applyAlignment="1">
      <alignment horizontal="center" vertical="center"/>
    </xf>
    <xf numFmtId="0" fontId="0" fillId="0" borderId="14" xfId="0" applyNumberFormat="1" applyFill="1" applyBorder="1" applyAlignment="1">
      <alignment horizontal="center" vertical="center"/>
    </xf>
    <xf numFmtId="0" fontId="1" fillId="2" borderId="28" xfId="0" applyFont="1" applyFill="1" applyBorder="1" applyAlignment="1">
      <alignment horizontal="center" vertical="center" wrapText="1"/>
    </xf>
    <xf numFmtId="0" fontId="0" fillId="0" borderId="29" xfId="0" applyFill="1" applyBorder="1"/>
    <xf numFmtId="0" fontId="0" fillId="0" borderId="13" xfId="0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31" xfId="0" applyFill="1" applyBorder="1"/>
    <xf numFmtId="0" fontId="4" fillId="0" borderId="1" xfId="0" applyFont="1" applyBorder="1"/>
    <xf numFmtId="2" fontId="0" fillId="8" borderId="25" xfId="0" applyNumberFormat="1" applyFill="1" applyBorder="1"/>
    <xf numFmtId="2" fontId="0" fillId="8" borderId="23" xfId="0" applyNumberFormat="1" applyFill="1" applyBorder="1"/>
    <xf numFmtId="2" fontId="0" fillId="8" borderId="37" xfId="0" applyNumberFormat="1" applyFill="1" applyBorder="1"/>
    <xf numFmtId="2" fontId="0" fillId="8" borderId="19" xfId="0" applyNumberFormat="1" applyFill="1" applyBorder="1"/>
    <xf numFmtId="0" fontId="0" fillId="0" borderId="14" xfId="0" applyBorder="1"/>
    <xf numFmtId="0" fontId="0" fillId="0" borderId="14" xfId="0" applyFill="1" applyBorder="1"/>
    <xf numFmtId="0" fontId="0" fillId="7" borderId="14" xfId="0" applyFill="1" applyBorder="1"/>
    <xf numFmtId="0" fontId="0" fillId="0" borderId="15" xfId="0" applyBorder="1"/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0" xfId="0" applyBorder="1"/>
    <xf numFmtId="0" fontId="4" fillId="0" borderId="26" xfId="0" applyFont="1" applyFill="1" applyBorder="1" applyAlignment="1">
      <alignment horizontal="center"/>
    </xf>
    <xf numFmtId="0" fontId="4" fillId="0" borderId="24" xfId="0" applyFont="1" applyFill="1" applyBorder="1" applyAlignment="1">
      <alignment horizontal="center"/>
    </xf>
    <xf numFmtId="0" fontId="4" fillId="0" borderId="24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0" fillId="3" borderId="1" xfId="0" applyFill="1" applyBorder="1"/>
    <xf numFmtId="0" fontId="0" fillId="3" borderId="29" xfId="0" applyFill="1" applyBorder="1"/>
    <xf numFmtId="0" fontId="1" fillId="6" borderId="10" xfId="0" applyFont="1" applyFill="1" applyBorder="1" applyAlignment="1">
      <alignment horizontal="center" vertical="center" wrapText="1"/>
    </xf>
    <xf numFmtId="49" fontId="0" fillId="0" borderId="1" xfId="0" applyNumberFormat="1" applyFont="1" applyFill="1" applyBorder="1" applyAlignment="1">
      <alignment wrapText="1"/>
    </xf>
    <xf numFmtId="0" fontId="0" fillId="0" borderId="1" xfId="0" applyBorder="1" applyAlignment="1">
      <alignment wrapText="1"/>
    </xf>
    <xf numFmtId="0" fontId="0" fillId="0" borderId="1" xfId="0" applyFill="1" applyBorder="1" applyAlignment="1">
      <alignment wrapText="1"/>
    </xf>
    <xf numFmtId="0" fontId="0" fillId="0" borderId="4" xfId="0" applyFill="1" applyBorder="1"/>
    <xf numFmtId="0" fontId="0" fillId="0" borderId="35" xfId="0" applyFill="1" applyBorder="1"/>
    <xf numFmtId="0" fontId="0" fillId="0" borderId="36" xfId="0" applyFill="1" applyBorder="1"/>
    <xf numFmtId="0" fontId="0" fillId="0" borderId="3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32" xfId="0" applyFill="1" applyBorder="1"/>
    <xf numFmtId="0" fontId="0" fillId="0" borderId="38" xfId="0" applyFill="1" applyBorder="1"/>
    <xf numFmtId="0" fontId="0" fillId="0" borderId="9" xfId="0" applyFill="1" applyBorder="1"/>
    <xf numFmtId="0" fontId="0" fillId="0" borderId="33" xfId="0" applyFill="1" applyBorder="1"/>
    <xf numFmtId="0" fontId="0" fillId="0" borderId="38" xfId="0" applyBorder="1"/>
    <xf numFmtId="0" fontId="0" fillId="0" borderId="29" xfId="0" applyBorder="1"/>
    <xf numFmtId="0" fontId="0" fillId="0" borderId="39" xfId="0" applyFill="1" applyBorder="1"/>
    <xf numFmtId="0" fontId="0" fillId="0" borderId="40" xfId="0" applyFill="1" applyBorder="1"/>
    <xf numFmtId="1" fontId="0" fillId="0" borderId="0" xfId="0" applyNumberFormat="1"/>
    <xf numFmtId="0" fontId="6" fillId="0" borderId="0" xfId="0" applyFont="1" applyAlignment="1">
      <alignment horizontal="center" vertical="center"/>
    </xf>
    <xf numFmtId="0" fontId="9" fillId="0" borderId="0" xfId="0" applyFont="1"/>
    <xf numFmtId="0" fontId="9" fillId="0" borderId="0" xfId="0" applyNumberFormat="1" applyFont="1"/>
    <xf numFmtId="4" fontId="9" fillId="0" borderId="0" xfId="0" applyNumberFormat="1" applyFont="1"/>
    <xf numFmtId="0" fontId="0" fillId="5" borderId="14" xfId="0" applyFill="1" applyBorder="1"/>
    <xf numFmtId="0" fontId="0" fillId="0" borderId="25" xfId="0" applyNumberFormat="1" applyBorder="1" applyAlignment="1">
      <alignment horizontal="center" vertical="center"/>
    </xf>
    <xf numFmtId="0" fontId="0" fillId="0" borderId="18" xfId="0" applyNumberFormat="1" applyBorder="1" applyAlignment="1">
      <alignment horizontal="center" vertical="center"/>
    </xf>
    <xf numFmtId="0" fontId="0" fillId="0" borderId="19" xfId="0" applyNumberFormat="1" applyBorder="1" applyAlignment="1">
      <alignment horizontal="center" vertical="center"/>
    </xf>
  </cellXfs>
  <cellStyles count="2">
    <cellStyle name="Normal" xfId="0" builtinId="0"/>
    <cellStyle name="Porcentaje" xfId="1" builtinId="5"/>
  </cellStyles>
  <dxfs count="10"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76B1D"/>
        </patternFill>
      </fill>
    </dxf>
    <dxf>
      <font>
        <color auto="1"/>
      </font>
      <fill>
        <gradientFill>
          <stop position="0">
            <color rgb="FFFFFF00"/>
          </stop>
          <stop position="1">
            <color rgb="FFFF6600"/>
          </stop>
        </gradientFill>
      </fill>
    </dxf>
    <dxf>
      <font>
        <color rgb="FF9C0006"/>
      </font>
      <fill>
        <gradientFill>
          <stop position="0">
            <color rgb="FFFFFF00"/>
          </stop>
          <stop position="1">
            <color rgb="FFF76B1D"/>
          </stop>
        </gradientFill>
      </fill>
    </dxf>
    <dxf>
      <font>
        <color auto="1"/>
      </font>
      <fill>
        <gradientFill>
          <stop position="0">
            <color rgb="FFFFFF00"/>
          </stop>
          <stop position="1">
            <color rgb="FFFF6600"/>
          </stop>
        </gradient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922DA3"/>
      <color rgb="FFF76B1D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</xdr:colOff>
          <xdr:row>2</xdr:row>
          <xdr:rowOff>0</xdr:rowOff>
        </xdr:from>
        <xdr:to>
          <xdr:col>7</xdr:col>
          <xdr:colOff>754380</xdr:colOff>
          <xdr:row>3</xdr:row>
          <xdr:rowOff>182880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V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Organizar Datos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22860</xdr:colOff>
          <xdr:row>2</xdr:row>
          <xdr:rowOff>175260</xdr:rowOff>
        </xdr:from>
        <xdr:to>
          <xdr:col>12</xdr:col>
          <xdr:colOff>182880</xdr:colOff>
          <xdr:row>5</xdr:row>
          <xdr:rowOff>7620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V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Organizar Datos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N78"/>
  <sheetViews>
    <sheetView showGridLines="0" zoomScaleNormal="100" workbookViewId="0">
      <pane xSplit="3" ySplit="3" topLeftCell="D55" activePane="bottomRight" state="frozen"/>
      <selection pane="topRight" activeCell="D1" sqref="D1"/>
      <selection pane="bottomLeft" activeCell="A4" sqref="A4"/>
      <selection pane="bottomRight" activeCell="A4" sqref="A4:A78"/>
    </sheetView>
  </sheetViews>
  <sheetFormatPr baseColWidth="10" defaultRowHeight="14.4" x14ac:dyDescent="0.3"/>
  <cols>
    <col min="1" max="1" width="18.33203125" customWidth="1"/>
    <col min="2" max="2" width="48.5546875" customWidth="1"/>
    <col min="3" max="3" width="7.44140625" style="6" customWidth="1"/>
    <col min="4" max="4" width="15.6640625" customWidth="1"/>
    <col min="5" max="5" width="15.6640625" style="14" customWidth="1"/>
    <col min="6" max="6" width="16.88671875" customWidth="1"/>
    <col min="7" max="7" width="15.6640625" customWidth="1"/>
    <col min="8" max="10" width="15.6640625" style="14" customWidth="1"/>
    <col min="11" max="11" width="15.6640625" customWidth="1"/>
  </cols>
  <sheetData>
    <row r="1" spans="1:11" s="14" customFormat="1" ht="15" thickBot="1" x14ac:dyDescent="0.35"/>
    <row r="2" spans="1:11" ht="15" thickBot="1" x14ac:dyDescent="0.35">
      <c r="D2" s="1" t="s">
        <v>11</v>
      </c>
      <c r="E2" s="1" t="s">
        <v>11</v>
      </c>
      <c r="F2" s="1" t="s">
        <v>11</v>
      </c>
      <c r="G2" s="1" t="s">
        <v>11</v>
      </c>
      <c r="H2" s="1"/>
      <c r="I2" s="1"/>
      <c r="J2" s="44"/>
      <c r="K2" s="7" t="s">
        <v>13</v>
      </c>
    </row>
    <row r="3" spans="1:11" ht="15" thickBot="1" x14ac:dyDescent="0.35">
      <c r="A3" s="44" t="s">
        <v>165</v>
      </c>
      <c r="B3" s="44" t="s">
        <v>0</v>
      </c>
      <c r="C3" s="10" t="s">
        <v>6</v>
      </c>
      <c r="D3" s="49">
        <v>44915</v>
      </c>
      <c r="E3" s="49">
        <v>44917</v>
      </c>
      <c r="F3" s="33">
        <v>45283</v>
      </c>
      <c r="G3" s="33"/>
      <c r="H3" s="33"/>
      <c r="I3" s="33"/>
      <c r="J3" s="33"/>
      <c r="K3" s="33">
        <f ca="1">TODAY()</f>
        <v>45121</v>
      </c>
    </row>
    <row r="4" spans="1:11" s="14" customFormat="1" x14ac:dyDescent="0.3">
      <c r="A4" s="115">
        <v>45657855</v>
      </c>
      <c r="B4" s="37" t="s">
        <v>30</v>
      </c>
      <c r="C4" s="45" t="s">
        <v>4</v>
      </c>
      <c r="D4" s="8"/>
      <c r="E4" s="105"/>
      <c r="F4" s="9"/>
      <c r="G4" s="9"/>
      <c r="H4" s="9"/>
      <c r="I4" s="9"/>
      <c r="J4" s="56"/>
      <c r="K4" s="2">
        <f t="shared" ref="K4:K35" si="0">SUM(D4:J4)</f>
        <v>0</v>
      </c>
    </row>
    <row r="5" spans="1:11" s="6" customFormat="1" x14ac:dyDescent="0.3">
      <c r="A5" s="116">
        <v>45659855</v>
      </c>
      <c r="B5" s="15" t="s">
        <v>32</v>
      </c>
      <c r="C5" s="46" t="s">
        <v>4</v>
      </c>
      <c r="D5" s="3"/>
      <c r="E5" s="106"/>
      <c r="F5" s="2"/>
      <c r="G5" s="2"/>
      <c r="H5" s="2"/>
      <c r="I5" s="2"/>
      <c r="J5" s="57"/>
      <c r="K5" s="2">
        <f t="shared" si="0"/>
        <v>0</v>
      </c>
    </row>
    <row r="6" spans="1:11" s="6" customFormat="1" x14ac:dyDescent="0.3">
      <c r="A6" s="116">
        <v>45683809</v>
      </c>
      <c r="B6" s="15" t="s">
        <v>34</v>
      </c>
      <c r="C6" s="46">
        <v>209</v>
      </c>
      <c r="D6" s="3"/>
      <c r="E6" s="106"/>
      <c r="F6" s="2"/>
      <c r="G6" s="2"/>
      <c r="H6" s="2"/>
      <c r="I6" s="2"/>
      <c r="J6" s="57"/>
      <c r="K6" s="2">
        <f t="shared" si="0"/>
        <v>0</v>
      </c>
    </row>
    <row r="7" spans="1:11" s="6" customFormat="1" x14ac:dyDescent="0.3">
      <c r="A7" s="116">
        <v>45660855</v>
      </c>
      <c r="B7" s="15" t="s">
        <v>36</v>
      </c>
      <c r="C7" s="46" t="s">
        <v>4</v>
      </c>
      <c r="D7" s="3"/>
      <c r="E7" s="106"/>
      <c r="F7" s="2"/>
      <c r="G7" s="2"/>
      <c r="H7" s="2"/>
      <c r="I7" s="2"/>
      <c r="J7" s="57"/>
      <c r="K7" s="2">
        <f t="shared" si="0"/>
        <v>0</v>
      </c>
    </row>
    <row r="8" spans="1:11" s="6" customFormat="1" x14ac:dyDescent="0.3">
      <c r="A8" s="116">
        <v>45684809</v>
      </c>
      <c r="B8" s="15" t="s">
        <v>38</v>
      </c>
      <c r="C8" s="46">
        <v>209</v>
      </c>
      <c r="D8" s="3"/>
      <c r="E8" s="106"/>
      <c r="F8" s="2"/>
      <c r="G8" s="2"/>
      <c r="H8" s="2"/>
      <c r="I8" s="2"/>
      <c r="J8" s="57"/>
      <c r="K8" s="2">
        <f t="shared" si="0"/>
        <v>0</v>
      </c>
    </row>
    <row r="9" spans="1:11" s="14" customFormat="1" x14ac:dyDescent="0.3">
      <c r="A9" s="116">
        <v>45685855</v>
      </c>
      <c r="B9" s="15" t="s">
        <v>40</v>
      </c>
      <c r="C9" s="46" t="s">
        <v>4</v>
      </c>
      <c r="D9" s="3"/>
      <c r="E9" s="106"/>
      <c r="F9" s="2"/>
      <c r="G9" s="2"/>
      <c r="H9" s="2"/>
      <c r="I9" s="2"/>
      <c r="J9" s="57"/>
      <c r="K9" s="2">
        <f t="shared" si="0"/>
        <v>0</v>
      </c>
    </row>
    <row r="10" spans="1:11" x14ac:dyDescent="0.3">
      <c r="A10" s="116">
        <v>45312905</v>
      </c>
      <c r="B10" s="15" t="s">
        <v>42</v>
      </c>
      <c r="C10" s="46" t="s">
        <v>3</v>
      </c>
      <c r="D10" s="3"/>
      <c r="E10" s="106"/>
      <c r="F10" s="2"/>
      <c r="G10" s="2"/>
      <c r="H10" s="2"/>
      <c r="I10" s="2"/>
      <c r="J10" s="57"/>
      <c r="K10" s="2">
        <f t="shared" si="0"/>
        <v>0</v>
      </c>
    </row>
    <row r="11" spans="1:11" x14ac:dyDescent="0.3">
      <c r="A11" s="116">
        <v>44774905</v>
      </c>
      <c r="B11" s="15" t="s">
        <v>44</v>
      </c>
      <c r="C11" s="46" t="s">
        <v>3</v>
      </c>
      <c r="D11" s="3"/>
      <c r="E11" s="106"/>
      <c r="F11" s="2"/>
      <c r="G11" s="2"/>
      <c r="H11" s="2"/>
      <c r="I11" s="2"/>
      <c r="J11" s="57"/>
      <c r="K11" s="2">
        <f t="shared" si="0"/>
        <v>0</v>
      </c>
    </row>
    <row r="12" spans="1:11" s="14" customFormat="1" x14ac:dyDescent="0.3">
      <c r="A12" s="116">
        <v>550052774</v>
      </c>
      <c r="B12" s="15" t="s">
        <v>46</v>
      </c>
      <c r="C12" s="46" t="s">
        <v>18</v>
      </c>
      <c r="D12" s="3"/>
      <c r="E12" s="106"/>
      <c r="F12" s="2"/>
      <c r="G12" s="2"/>
      <c r="H12" s="2"/>
      <c r="I12" s="2"/>
      <c r="J12" s="57"/>
      <c r="K12" s="2">
        <f t="shared" si="0"/>
        <v>0</v>
      </c>
    </row>
    <row r="13" spans="1:11" s="14" customFormat="1" x14ac:dyDescent="0.3">
      <c r="A13" s="116">
        <v>550052775</v>
      </c>
      <c r="B13" s="15" t="s">
        <v>48</v>
      </c>
      <c r="C13" s="46" t="s">
        <v>18</v>
      </c>
      <c r="D13" s="3"/>
      <c r="E13" s="106"/>
      <c r="F13" s="2"/>
      <c r="G13" s="2"/>
      <c r="H13" s="2"/>
      <c r="I13" s="2"/>
      <c r="J13" s="57"/>
      <c r="K13" s="2">
        <f t="shared" si="0"/>
        <v>0</v>
      </c>
    </row>
    <row r="14" spans="1:11" s="14" customFormat="1" x14ac:dyDescent="0.3">
      <c r="A14" s="116">
        <v>550054547</v>
      </c>
      <c r="B14" s="15" t="s">
        <v>50</v>
      </c>
      <c r="C14" s="46" t="s">
        <v>18</v>
      </c>
      <c r="D14" s="3"/>
      <c r="E14" s="106"/>
      <c r="F14" s="2"/>
      <c r="G14" s="2"/>
      <c r="H14" s="2"/>
      <c r="I14" s="2"/>
      <c r="J14" s="57"/>
      <c r="K14" s="2">
        <f t="shared" si="0"/>
        <v>0</v>
      </c>
    </row>
    <row r="15" spans="1:11" s="14" customFormat="1" x14ac:dyDescent="0.3">
      <c r="A15" s="116">
        <v>550047079</v>
      </c>
      <c r="B15" s="15" t="s">
        <v>52</v>
      </c>
      <c r="C15" s="46" t="s">
        <v>18</v>
      </c>
      <c r="D15" s="3"/>
      <c r="E15" s="106"/>
      <c r="F15" s="2"/>
      <c r="G15" s="2"/>
      <c r="H15" s="2"/>
      <c r="I15" s="2"/>
      <c r="J15" s="57"/>
      <c r="K15" s="2">
        <f t="shared" si="0"/>
        <v>0</v>
      </c>
    </row>
    <row r="16" spans="1:11" s="14" customFormat="1" x14ac:dyDescent="0.3">
      <c r="A16" s="116">
        <v>550014136</v>
      </c>
      <c r="B16" s="15" t="s">
        <v>54</v>
      </c>
      <c r="C16" s="46" t="s">
        <v>19</v>
      </c>
      <c r="D16" s="3"/>
      <c r="E16" s="106"/>
      <c r="F16" s="2"/>
      <c r="G16" s="2"/>
      <c r="H16" s="2"/>
      <c r="I16" s="2"/>
      <c r="J16" s="57"/>
      <c r="K16" s="2">
        <f t="shared" si="0"/>
        <v>0</v>
      </c>
    </row>
    <row r="17" spans="1:14" s="14" customFormat="1" x14ac:dyDescent="0.3">
      <c r="A17" s="116">
        <v>550027265</v>
      </c>
      <c r="B17" s="15" t="s">
        <v>56</v>
      </c>
      <c r="C17" s="46" t="s">
        <v>4</v>
      </c>
      <c r="D17" s="3"/>
      <c r="E17" s="106"/>
      <c r="F17" s="2"/>
      <c r="G17" s="2"/>
      <c r="H17" s="2"/>
      <c r="I17" s="2"/>
      <c r="J17" s="57"/>
      <c r="K17" s="2">
        <f t="shared" si="0"/>
        <v>0</v>
      </c>
    </row>
    <row r="18" spans="1:14" s="6" customFormat="1" x14ac:dyDescent="0.3">
      <c r="A18" s="116">
        <v>550026300</v>
      </c>
      <c r="B18" s="15" t="s">
        <v>58</v>
      </c>
      <c r="C18" s="46" t="s">
        <v>5</v>
      </c>
      <c r="D18" s="3"/>
      <c r="E18" s="106"/>
      <c r="F18" s="2"/>
      <c r="G18" s="2"/>
      <c r="H18" s="2"/>
      <c r="I18" s="2"/>
      <c r="J18" s="57"/>
      <c r="K18" s="2">
        <f t="shared" si="0"/>
        <v>0</v>
      </c>
    </row>
    <row r="19" spans="1:14" s="6" customFormat="1" x14ac:dyDescent="0.3">
      <c r="A19" s="116">
        <v>550047075</v>
      </c>
      <c r="B19" s="15" t="s">
        <v>60</v>
      </c>
      <c r="C19" s="46" t="s">
        <v>18</v>
      </c>
      <c r="D19" s="3"/>
      <c r="E19" s="106"/>
      <c r="F19" s="2"/>
      <c r="G19" s="2"/>
      <c r="H19" s="2"/>
      <c r="I19" s="2"/>
      <c r="J19" s="57"/>
      <c r="K19" s="2">
        <f t="shared" si="0"/>
        <v>0</v>
      </c>
    </row>
    <row r="20" spans="1:14" x14ac:dyDescent="0.3">
      <c r="A20" s="116">
        <v>550027631</v>
      </c>
      <c r="B20" s="15" t="s">
        <v>62</v>
      </c>
      <c r="C20" s="46" t="s">
        <v>7</v>
      </c>
      <c r="D20" s="3"/>
      <c r="E20" s="106"/>
      <c r="F20" s="2"/>
      <c r="G20" s="2"/>
      <c r="H20" s="2"/>
      <c r="I20" s="2"/>
      <c r="J20" s="57"/>
      <c r="K20" s="2">
        <f t="shared" si="0"/>
        <v>0</v>
      </c>
    </row>
    <row r="21" spans="1:14" s="6" customFormat="1" x14ac:dyDescent="0.3">
      <c r="A21" s="116">
        <v>550050706</v>
      </c>
      <c r="B21" s="15" t="s">
        <v>64</v>
      </c>
      <c r="C21" s="46" t="s">
        <v>17</v>
      </c>
      <c r="D21" s="3"/>
      <c r="E21" s="106"/>
      <c r="F21" s="2"/>
      <c r="G21" s="2"/>
      <c r="H21" s="2"/>
      <c r="I21" s="2"/>
      <c r="J21" s="57"/>
      <c r="K21" s="2">
        <f t="shared" si="0"/>
        <v>0</v>
      </c>
    </row>
    <row r="22" spans="1:14" s="6" customFormat="1" x14ac:dyDescent="0.3">
      <c r="A22" s="116">
        <v>550050708</v>
      </c>
      <c r="B22" s="15" t="s">
        <v>66</v>
      </c>
      <c r="C22" s="46" t="s">
        <v>17</v>
      </c>
      <c r="D22" s="3"/>
      <c r="E22" s="106"/>
      <c r="F22" s="2"/>
      <c r="G22" s="2"/>
      <c r="H22" s="2"/>
      <c r="I22" s="2"/>
      <c r="J22" s="57"/>
      <c r="K22" s="2">
        <f t="shared" si="0"/>
        <v>0</v>
      </c>
    </row>
    <row r="23" spans="1:14" s="14" customFormat="1" x14ac:dyDescent="0.3">
      <c r="A23" s="116">
        <v>550025731</v>
      </c>
      <c r="B23" s="15" t="s">
        <v>68</v>
      </c>
      <c r="C23" s="46">
        <v>209</v>
      </c>
      <c r="D23" s="3"/>
      <c r="E23" s="106"/>
      <c r="F23" s="2"/>
      <c r="G23" s="2"/>
      <c r="H23" s="2"/>
      <c r="I23" s="2"/>
      <c r="J23" s="57"/>
      <c r="K23" s="2">
        <f t="shared" si="0"/>
        <v>0</v>
      </c>
    </row>
    <row r="24" spans="1:14" x14ac:dyDescent="0.3">
      <c r="A24" s="116">
        <v>43512905</v>
      </c>
      <c r="B24" s="15" t="s">
        <v>70</v>
      </c>
      <c r="C24" s="46" t="s">
        <v>3</v>
      </c>
      <c r="D24" s="3"/>
      <c r="E24" s="106"/>
      <c r="F24" s="11"/>
      <c r="G24" s="2"/>
      <c r="H24" s="2"/>
      <c r="I24" s="2"/>
      <c r="J24" s="57"/>
      <c r="K24" s="2">
        <f t="shared" si="0"/>
        <v>0</v>
      </c>
      <c r="M24" s="6"/>
    </row>
    <row r="25" spans="1:14" s="14" customFormat="1" x14ac:dyDescent="0.3">
      <c r="A25" s="60">
        <v>550045901</v>
      </c>
      <c r="B25" s="43" t="s">
        <v>910</v>
      </c>
      <c r="C25" s="13" t="s">
        <v>2</v>
      </c>
      <c r="D25" s="3"/>
      <c r="E25" s="106"/>
      <c r="F25" s="11"/>
      <c r="G25" s="2"/>
      <c r="H25" s="2"/>
      <c r="I25" s="2"/>
      <c r="J25" s="57"/>
      <c r="K25" s="2">
        <f t="shared" si="0"/>
        <v>0</v>
      </c>
    </row>
    <row r="26" spans="1:14" s="14" customFormat="1" x14ac:dyDescent="0.3">
      <c r="A26" s="46">
        <v>550045838</v>
      </c>
      <c r="B26" s="15" t="s">
        <v>897</v>
      </c>
      <c r="C26" s="46" t="s">
        <v>1</v>
      </c>
      <c r="D26" s="3"/>
      <c r="E26" s="106"/>
      <c r="F26" s="11">
        <f>1680*2</f>
        <v>3360</v>
      </c>
      <c r="G26" s="2"/>
      <c r="H26" s="2"/>
      <c r="I26" s="2"/>
      <c r="J26" s="57"/>
      <c r="K26" s="2">
        <f t="shared" si="0"/>
        <v>3360</v>
      </c>
    </row>
    <row r="27" spans="1:14" s="6" customFormat="1" x14ac:dyDescent="0.3">
      <c r="A27" s="116">
        <v>43509809</v>
      </c>
      <c r="B27" s="15" t="s">
        <v>72</v>
      </c>
      <c r="C27" s="46">
        <v>209</v>
      </c>
      <c r="D27" s="3"/>
      <c r="E27" s="106"/>
      <c r="F27" s="11"/>
      <c r="G27" s="2"/>
      <c r="H27" s="2"/>
      <c r="I27" s="2"/>
      <c r="J27" s="57"/>
      <c r="K27" s="2">
        <f t="shared" si="0"/>
        <v>0</v>
      </c>
    </row>
    <row r="28" spans="1:14" s="6" customFormat="1" x14ac:dyDescent="0.3">
      <c r="A28" s="116">
        <v>550053426</v>
      </c>
      <c r="B28" s="15" t="s">
        <v>74</v>
      </c>
      <c r="C28" s="46">
        <v>209</v>
      </c>
      <c r="D28" s="3"/>
      <c r="E28" s="106"/>
      <c r="F28" s="11"/>
      <c r="G28" s="2"/>
      <c r="H28" s="2"/>
      <c r="I28" s="2"/>
      <c r="J28" s="57"/>
      <c r="K28" s="2">
        <f t="shared" si="0"/>
        <v>0</v>
      </c>
    </row>
    <row r="29" spans="1:14" x14ac:dyDescent="0.3">
      <c r="A29" s="116">
        <v>550045885</v>
      </c>
      <c r="B29" s="15" t="s">
        <v>78</v>
      </c>
      <c r="C29" s="46" t="s">
        <v>2</v>
      </c>
      <c r="D29" s="3"/>
      <c r="E29" s="106"/>
      <c r="F29" s="11"/>
      <c r="G29" s="2"/>
      <c r="H29" s="2"/>
      <c r="I29" s="2"/>
      <c r="J29" s="57"/>
      <c r="K29" s="2">
        <f t="shared" si="0"/>
        <v>0</v>
      </c>
    </row>
    <row r="30" spans="1:14" x14ac:dyDescent="0.3">
      <c r="A30" s="116">
        <v>550045853</v>
      </c>
      <c r="B30" s="15" t="s">
        <v>76</v>
      </c>
      <c r="C30" s="46" t="s">
        <v>1</v>
      </c>
      <c r="D30" s="3"/>
      <c r="E30" s="106"/>
      <c r="F30" s="11"/>
      <c r="G30" s="2"/>
      <c r="H30" s="2"/>
      <c r="I30" s="2"/>
      <c r="J30" s="57"/>
      <c r="K30" s="2">
        <f t="shared" si="0"/>
        <v>0</v>
      </c>
      <c r="M30" s="6"/>
      <c r="N30" s="6"/>
    </row>
    <row r="31" spans="1:14" s="14" customFormat="1" x14ac:dyDescent="0.3">
      <c r="A31" s="116">
        <v>550057749</v>
      </c>
      <c r="B31" s="15" t="s">
        <v>80</v>
      </c>
      <c r="C31" s="46" t="s">
        <v>2</v>
      </c>
      <c r="D31" s="3"/>
      <c r="E31" s="106"/>
      <c r="F31" s="11">
        <f>3325*2</f>
        <v>6650</v>
      </c>
      <c r="G31" s="2"/>
      <c r="H31" s="2"/>
      <c r="I31" s="2"/>
      <c r="J31" s="57"/>
      <c r="K31" s="2">
        <f t="shared" si="0"/>
        <v>6650</v>
      </c>
    </row>
    <row r="32" spans="1:14" x14ac:dyDescent="0.3">
      <c r="A32" s="116">
        <v>550052038</v>
      </c>
      <c r="B32" s="15" t="s">
        <v>82</v>
      </c>
      <c r="C32" s="46" t="s">
        <v>2</v>
      </c>
      <c r="D32" s="3"/>
      <c r="E32" s="106"/>
      <c r="F32" s="2"/>
      <c r="G32" s="2"/>
      <c r="H32" s="2"/>
      <c r="I32" s="2"/>
      <c r="J32" s="57"/>
      <c r="K32" s="2">
        <f t="shared" si="0"/>
        <v>0</v>
      </c>
    </row>
    <row r="33" spans="1:11" x14ac:dyDescent="0.3">
      <c r="A33" s="116">
        <v>550045905</v>
      </c>
      <c r="B33" s="15" t="s">
        <v>84</v>
      </c>
      <c r="C33" s="46" t="s">
        <v>2</v>
      </c>
      <c r="D33" s="3"/>
      <c r="E33" s="106"/>
      <c r="F33" s="11"/>
      <c r="G33" s="2"/>
      <c r="H33" s="2"/>
      <c r="I33" s="2"/>
      <c r="J33" s="57"/>
      <c r="K33" s="2">
        <f t="shared" si="0"/>
        <v>0</v>
      </c>
    </row>
    <row r="34" spans="1:11" s="14" customFormat="1" ht="15" thickBot="1" x14ac:dyDescent="0.35">
      <c r="A34" s="116">
        <v>550057767</v>
      </c>
      <c r="B34" s="15" t="s">
        <v>86</v>
      </c>
      <c r="C34" s="46" t="s">
        <v>2</v>
      </c>
      <c r="D34" s="3"/>
      <c r="E34" s="106"/>
      <c r="F34" s="11">
        <v>3325</v>
      </c>
      <c r="G34" s="2"/>
      <c r="H34" s="2"/>
      <c r="I34" s="2"/>
      <c r="J34" s="57"/>
      <c r="K34" s="2">
        <f t="shared" si="0"/>
        <v>3325</v>
      </c>
    </row>
    <row r="35" spans="1:11" s="6" customFormat="1" x14ac:dyDescent="0.3">
      <c r="A35" s="60">
        <v>41051905</v>
      </c>
      <c r="B35" s="9" t="s">
        <v>88</v>
      </c>
      <c r="C35" s="46" t="s">
        <v>3</v>
      </c>
      <c r="D35" s="3"/>
      <c r="E35" s="106"/>
      <c r="F35" s="2"/>
      <c r="G35" s="2"/>
      <c r="H35" s="2"/>
      <c r="I35" s="2"/>
      <c r="J35" s="57"/>
      <c r="K35" s="2">
        <f t="shared" si="0"/>
        <v>0</v>
      </c>
    </row>
    <row r="36" spans="1:11" s="14" customFormat="1" x14ac:dyDescent="0.3">
      <c r="A36" s="46">
        <v>40926905</v>
      </c>
      <c r="B36" s="15" t="s">
        <v>90</v>
      </c>
      <c r="C36" s="46" t="s">
        <v>3</v>
      </c>
      <c r="D36" s="3"/>
      <c r="E36" s="106"/>
      <c r="F36" s="2"/>
      <c r="G36" s="2"/>
      <c r="H36" s="2"/>
      <c r="I36" s="2"/>
      <c r="J36" s="57"/>
      <c r="K36" s="2">
        <f t="shared" ref="K36:K67" si="1">SUM(D36:J36)</f>
        <v>0</v>
      </c>
    </row>
    <row r="37" spans="1:11" x14ac:dyDescent="0.3">
      <c r="A37" s="116">
        <v>550049041</v>
      </c>
      <c r="B37" s="23" t="s">
        <v>92</v>
      </c>
      <c r="C37" s="46" t="s">
        <v>1</v>
      </c>
      <c r="D37" s="3"/>
      <c r="E37" s="106"/>
      <c r="F37" s="2"/>
      <c r="G37" s="2"/>
      <c r="H37" s="2"/>
      <c r="I37" s="2"/>
      <c r="J37" s="57"/>
      <c r="K37" s="2">
        <f t="shared" si="1"/>
        <v>0</v>
      </c>
    </row>
    <row r="38" spans="1:11" s="14" customFormat="1" x14ac:dyDescent="0.3">
      <c r="A38" s="116">
        <v>550050102</v>
      </c>
      <c r="B38" s="23" t="s">
        <v>94</v>
      </c>
      <c r="C38" s="46" t="s">
        <v>2</v>
      </c>
      <c r="D38" s="3"/>
      <c r="E38" s="106"/>
      <c r="F38" s="2"/>
      <c r="G38" s="2"/>
      <c r="H38" s="2"/>
      <c r="I38" s="2"/>
      <c r="J38" s="57"/>
      <c r="K38" s="2">
        <f t="shared" si="1"/>
        <v>0</v>
      </c>
    </row>
    <row r="39" spans="1:11" x14ac:dyDescent="0.3">
      <c r="A39" s="116">
        <v>550057742</v>
      </c>
      <c r="B39" s="15" t="s">
        <v>96</v>
      </c>
      <c r="C39" s="46" t="s">
        <v>2</v>
      </c>
      <c r="D39" s="3"/>
      <c r="E39" s="106"/>
      <c r="F39" s="2"/>
      <c r="G39" s="2"/>
      <c r="H39" s="2"/>
      <c r="I39" s="2"/>
      <c r="J39" s="57"/>
      <c r="K39" s="2">
        <f t="shared" si="1"/>
        <v>0</v>
      </c>
    </row>
    <row r="40" spans="1:11" s="14" customFormat="1" x14ac:dyDescent="0.3">
      <c r="A40" s="116">
        <v>550026700</v>
      </c>
      <c r="B40" s="15" t="s">
        <v>100</v>
      </c>
      <c r="C40" s="46" t="s">
        <v>5</v>
      </c>
      <c r="D40" s="3"/>
      <c r="E40" s="106"/>
      <c r="F40" s="2"/>
      <c r="G40" s="2"/>
      <c r="H40" s="2"/>
      <c r="I40" s="2"/>
      <c r="J40" s="57"/>
      <c r="K40" s="2">
        <f t="shared" si="1"/>
        <v>0</v>
      </c>
    </row>
    <row r="41" spans="1:11" s="14" customFormat="1" x14ac:dyDescent="0.3">
      <c r="A41" s="116">
        <v>550026710</v>
      </c>
      <c r="B41" s="15" t="s">
        <v>98</v>
      </c>
      <c r="C41" s="46" t="s">
        <v>18</v>
      </c>
      <c r="D41" s="3"/>
      <c r="E41" s="106"/>
      <c r="F41" s="2"/>
      <c r="G41" s="2"/>
      <c r="H41" s="2"/>
      <c r="I41" s="2"/>
      <c r="J41" s="57"/>
      <c r="K41" s="2">
        <f t="shared" si="1"/>
        <v>0</v>
      </c>
    </row>
    <row r="42" spans="1:11" s="14" customFormat="1" x14ac:dyDescent="0.3">
      <c r="A42" s="116">
        <v>550026697</v>
      </c>
      <c r="B42" s="15" t="s">
        <v>104</v>
      </c>
      <c r="C42" s="46" t="s">
        <v>5</v>
      </c>
      <c r="D42" s="3"/>
      <c r="E42" s="106"/>
      <c r="F42" s="2"/>
      <c r="G42" s="2"/>
      <c r="H42" s="2"/>
      <c r="I42" s="2"/>
      <c r="J42" s="57"/>
      <c r="K42" s="2">
        <f t="shared" si="1"/>
        <v>0</v>
      </c>
    </row>
    <row r="43" spans="1:11" s="14" customFormat="1" x14ac:dyDescent="0.3">
      <c r="A43" s="116">
        <v>550022488</v>
      </c>
      <c r="B43" s="15" t="s">
        <v>106</v>
      </c>
      <c r="C43" s="46" t="s">
        <v>18</v>
      </c>
      <c r="D43" s="3"/>
      <c r="E43" s="106"/>
      <c r="F43" s="2"/>
      <c r="G43" s="2"/>
      <c r="H43" s="2"/>
      <c r="I43" s="2"/>
      <c r="J43" s="57"/>
      <c r="K43" s="2">
        <f t="shared" si="1"/>
        <v>0</v>
      </c>
    </row>
    <row r="44" spans="1:11" s="14" customFormat="1" x14ac:dyDescent="0.3">
      <c r="A44" s="116">
        <v>550026699</v>
      </c>
      <c r="B44" s="15" t="s">
        <v>102</v>
      </c>
      <c r="C44" s="46" t="s">
        <v>18</v>
      </c>
      <c r="D44" s="3"/>
      <c r="E44" s="106"/>
      <c r="F44" s="2"/>
      <c r="G44" s="2"/>
      <c r="H44" s="2"/>
      <c r="I44" s="2"/>
      <c r="J44" s="57"/>
      <c r="K44" s="2">
        <f t="shared" si="1"/>
        <v>0</v>
      </c>
    </row>
    <row r="45" spans="1:11" s="6" customFormat="1" x14ac:dyDescent="0.3">
      <c r="A45" s="116">
        <v>550036571</v>
      </c>
      <c r="B45" s="15" t="s">
        <v>108</v>
      </c>
      <c r="C45" s="46" t="s">
        <v>18</v>
      </c>
      <c r="D45" s="3"/>
      <c r="E45" s="106"/>
      <c r="F45" s="2"/>
      <c r="G45" s="2"/>
      <c r="H45" s="2"/>
      <c r="I45" s="2"/>
      <c r="J45" s="57"/>
      <c r="K45" s="2">
        <f t="shared" si="1"/>
        <v>0</v>
      </c>
    </row>
    <row r="46" spans="1:11" s="14" customFormat="1" x14ac:dyDescent="0.3">
      <c r="A46" s="116">
        <v>550036183</v>
      </c>
      <c r="B46" s="15" t="s">
        <v>110</v>
      </c>
      <c r="C46" s="46" t="s">
        <v>18</v>
      </c>
      <c r="D46" s="3"/>
      <c r="E46" s="106"/>
      <c r="F46" s="2"/>
      <c r="G46" s="2"/>
      <c r="H46" s="2"/>
      <c r="I46" s="2"/>
      <c r="J46" s="57"/>
      <c r="K46" s="2">
        <f t="shared" si="1"/>
        <v>0</v>
      </c>
    </row>
    <row r="47" spans="1:11" x14ac:dyDescent="0.3">
      <c r="A47" s="116">
        <v>550049771</v>
      </c>
      <c r="B47" s="15" t="s">
        <v>112</v>
      </c>
      <c r="C47" s="46" t="s">
        <v>2</v>
      </c>
      <c r="D47" s="3"/>
      <c r="E47" s="106"/>
      <c r="F47" s="2"/>
      <c r="G47" s="2"/>
      <c r="H47" s="2"/>
      <c r="I47" s="2"/>
      <c r="J47" s="57"/>
      <c r="K47" s="2">
        <f t="shared" si="1"/>
        <v>0</v>
      </c>
    </row>
    <row r="48" spans="1:11" s="6" customFormat="1" x14ac:dyDescent="0.3">
      <c r="A48" s="116">
        <v>550025702</v>
      </c>
      <c r="B48" s="15" t="s">
        <v>166</v>
      </c>
      <c r="C48" s="46" t="s">
        <v>5</v>
      </c>
      <c r="D48" s="3"/>
      <c r="E48" s="106"/>
      <c r="F48" s="2"/>
      <c r="G48" s="2"/>
      <c r="H48" s="2"/>
      <c r="I48" s="2"/>
      <c r="J48" s="57"/>
      <c r="K48" s="2">
        <f t="shared" si="1"/>
        <v>0</v>
      </c>
    </row>
    <row r="49" spans="1:11" s="14" customFormat="1" x14ac:dyDescent="0.3">
      <c r="A49" s="116">
        <v>550026834</v>
      </c>
      <c r="B49" s="15" t="s">
        <v>116</v>
      </c>
      <c r="C49" s="46" t="s">
        <v>18</v>
      </c>
      <c r="D49" s="3"/>
      <c r="E49" s="106"/>
      <c r="F49" s="2"/>
      <c r="G49" s="2"/>
      <c r="H49" s="2"/>
      <c r="I49" s="2"/>
      <c r="J49" s="57"/>
      <c r="K49" s="2">
        <f t="shared" si="1"/>
        <v>0</v>
      </c>
    </row>
    <row r="50" spans="1:11" s="14" customFormat="1" x14ac:dyDescent="0.3">
      <c r="A50" s="116">
        <v>550025692</v>
      </c>
      <c r="B50" s="15" t="s">
        <v>114</v>
      </c>
      <c r="C50" s="46" t="s">
        <v>5</v>
      </c>
      <c r="D50" s="3"/>
      <c r="E50" s="106"/>
      <c r="F50" s="2"/>
      <c r="G50" s="2"/>
      <c r="H50" s="2"/>
      <c r="I50" s="2"/>
      <c r="J50" s="57"/>
      <c r="K50" s="2">
        <f t="shared" si="1"/>
        <v>0</v>
      </c>
    </row>
    <row r="51" spans="1:11" s="14" customFormat="1" x14ac:dyDescent="0.3">
      <c r="A51" s="116">
        <v>550025702</v>
      </c>
      <c r="B51" s="23" t="s">
        <v>118</v>
      </c>
      <c r="C51" s="46" t="s">
        <v>4</v>
      </c>
      <c r="D51" s="3"/>
      <c r="E51" s="106"/>
      <c r="F51" s="2"/>
      <c r="G51" s="2"/>
      <c r="H51" s="2"/>
      <c r="I51" s="2"/>
      <c r="J51" s="57"/>
      <c r="K51" s="2">
        <f t="shared" si="1"/>
        <v>0</v>
      </c>
    </row>
    <row r="52" spans="1:11" x14ac:dyDescent="0.3">
      <c r="A52" s="116">
        <v>44245855</v>
      </c>
      <c r="B52" s="15" t="s">
        <v>122</v>
      </c>
      <c r="C52" s="46" t="s">
        <v>4</v>
      </c>
      <c r="D52" s="95">
        <f>648*3+1296</f>
        <v>3240</v>
      </c>
      <c r="E52" s="68">
        <f>648*2+1296</f>
        <v>2592</v>
      </c>
      <c r="F52" s="11"/>
      <c r="G52" s="11"/>
      <c r="H52" s="11"/>
      <c r="I52" s="11"/>
      <c r="J52" s="72"/>
      <c r="K52" s="2">
        <f t="shared" si="1"/>
        <v>5832</v>
      </c>
    </row>
    <row r="53" spans="1:11" s="6" customFormat="1" x14ac:dyDescent="0.3">
      <c r="A53" s="116">
        <v>44245809</v>
      </c>
      <c r="B53" s="15" t="s">
        <v>120</v>
      </c>
      <c r="C53" s="46">
        <v>209</v>
      </c>
      <c r="D53" s="95">
        <v>64</v>
      </c>
      <c r="E53" s="68"/>
      <c r="F53" s="11"/>
      <c r="G53" s="11"/>
      <c r="H53" s="11"/>
      <c r="I53" s="11"/>
      <c r="J53" s="72"/>
      <c r="K53" s="2">
        <f t="shared" si="1"/>
        <v>64</v>
      </c>
    </row>
    <row r="54" spans="1:11" x14ac:dyDescent="0.3">
      <c r="A54" s="116">
        <v>44243809</v>
      </c>
      <c r="B54" s="19" t="s">
        <v>128</v>
      </c>
      <c r="C54" s="46">
        <v>209</v>
      </c>
      <c r="D54" s="95"/>
      <c r="E54" s="68"/>
      <c r="F54" s="11"/>
      <c r="G54" s="11"/>
      <c r="H54" s="11"/>
      <c r="I54" s="11"/>
      <c r="J54" s="72"/>
      <c r="K54" s="2">
        <f t="shared" si="1"/>
        <v>0</v>
      </c>
    </row>
    <row r="55" spans="1:11" s="14" customFormat="1" x14ac:dyDescent="0.3">
      <c r="A55" s="116">
        <v>550038020</v>
      </c>
      <c r="B55" s="19" t="s">
        <v>128</v>
      </c>
      <c r="C55" s="46">
        <v>209</v>
      </c>
      <c r="D55" s="95"/>
      <c r="E55" s="68">
        <f>4*96</f>
        <v>384</v>
      </c>
      <c r="F55" s="11"/>
      <c r="G55" s="11"/>
      <c r="H55" s="11"/>
      <c r="I55" s="11"/>
      <c r="J55" s="72"/>
      <c r="K55" s="2">
        <f t="shared" si="1"/>
        <v>384</v>
      </c>
    </row>
    <row r="56" spans="1:11" x14ac:dyDescent="0.3">
      <c r="A56" s="116">
        <v>44414855</v>
      </c>
      <c r="B56" s="15" t="s">
        <v>132</v>
      </c>
      <c r="C56" s="46" t="s">
        <v>4</v>
      </c>
      <c r="D56" s="95"/>
      <c r="E56" s="68"/>
      <c r="F56" s="11"/>
      <c r="G56" s="11"/>
      <c r="H56" s="11"/>
      <c r="I56" s="11"/>
      <c r="J56" s="72"/>
      <c r="K56" s="2">
        <f t="shared" si="1"/>
        <v>0</v>
      </c>
    </row>
    <row r="57" spans="1:11" s="14" customFormat="1" x14ac:dyDescent="0.3">
      <c r="A57" s="46">
        <v>550054282</v>
      </c>
      <c r="B57" s="15" t="s">
        <v>167</v>
      </c>
      <c r="C57" s="46" t="s">
        <v>5</v>
      </c>
      <c r="D57" s="95"/>
      <c r="E57" s="68"/>
      <c r="F57" s="11"/>
      <c r="G57" s="11"/>
      <c r="H57" s="11"/>
      <c r="I57" s="11"/>
      <c r="J57" s="72"/>
      <c r="K57" s="2">
        <f t="shared" si="1"/>
        <v>0</v>
      </c>
    </row>
    <row r="58" spans="1:11" s="6" customFormat="1" x14ac:dyDescent="0.3">
      <c r="A58" s="116">
        <v>44243855</v>
      </c>
      <c r="B58" s="15" t="s">
        <v>124</v>
      </c>
      <c r="C58" s="46" t="s">
        <v>4</v>
      </c>
      <c r="D58" s="95"/>
      <c r="E58" s="68"/>
      <c r="F58" s="11"/>
      <c r="G58" s="11"/>
      <c r="H58" s="11"/>
      <c r="I58" s="11"/>
      <c r="J58" s="72"/>
      <c r="K58" s="2">
        <f t="shared" si="1"/>
        <v>0</v>
      </c>
    </row>
    <row r="59" spans="1:11" s="14" customFormat="1" x14ac:dyDescent="0.3">
      <c r="A59" s="116">
        <v>550045436</v>
      </c>
      <c r="B59" s="15" t="s">
        <v>126</v>
      </c>
      <c r="C59" s="46" t="s">
        <v>1</v>
      </c>
      <c r="D59" s="95"/>
      <c r="E59" s="68"/>
      <c r="F59" s="11"/>
      <c r="G59" s="11"/>
      <c r="H59" s="11"/>
      <c r="I59" s="11"/>
      <c r="J59" s="72"/>
      <c r="K59" s="2">
        <f t="shared" si="1"/>
        <v>0</v>
      </c>
    </row>
    <row r="60" spans="1:11" s="14" customFormat="1" x14ac:dyDescent="0.3">
      <c r="A60" s="116">
        <v>550045438</v>
      </c>
      <c r="B60" s="19" t="s">
        <v>130</v>
      </c>
      <c r="C60" s="46" t="s">
        <v>1</v>
      </c>
      <c r="D60" s="95"/>
      <c r="E60" s="68"/>
      <c r="F60" s="11"/>
      <c r="G60" s="11"/>
      <c r="H60" s="11"/>
      <c r="I60" s="11"/>
      <c r="J60" s="72"/>
      <c r="K60" s="2">
        <f t="shared" si="1"/>
        <v>0</v>
      </c>
    </row>
    <row r="61" spans="1:11" s="14" customFormat="1" x14ac:dyDescent="0.3">
      <c r="A61" s="116">
        <v>550032121</v>
      </c>
      <c r="B61" s="15" t="s">
        <v>134</v>
      </c>
      <c r="C61" s="46" t="s">
        <v>18</v>
      </c>
      <c r="D61" s="95"/>
      <c r="E61" s="68"/>
      <c r="F61" s="11"/>
      <c r="G61" s="11"/>
      <c r="H61" s="11"/>
      <c r="I61" s="11"/>
      <c r="J61" s="72"/>
      <c r="K61" s="2">
        <f t="shared" si="1"/>
        <v>0</v>
      </c>
    </row>
    <row r="62" spans="1:11" x14ac:dyDescent="0.3">
      <c r="A62" s="116">
        <v>45387905</v>
      </c>
      <c r="B62" s="15" t="s">
        <v>136</v>
      </c>
      <c r="C62" s="46" t="s">
        <v>3</v>
      </c>
      <c r="D62" s="95"/>
      <c r="E62" s="68"/>
      <c r="F62" s="11"/>
      <c r="G62" s="11"/>
      <c r="H62" s="11"/>
      <c r="I62" s="11"/>
      <c r="J62" s="72"/>
      <c r="K62" s="2">
        <f t="shared" si="1"/>
        <v>0</v>
      </c>
    </row>
    <row r="63" spans="1:11" s="14" customFormat="1" x14ac:dyDescent="0.3">
      <c r="A63" s="116">
        <v>43592855</v>
      </c>
      <c r="B63" s="15" t="s">
        <v>146</v>
      </c>
      <c r="C63" s="46" t="s">
        <v>4</v>
      </c>
      <c r="D63" s="95"/>
      <c r="E63" s="68"/>
      <c r="F63" s="11"/>
      <c r="G63" s="11"/>
      <c r="H63" s="11"/>
      <c r="I63" s="11"/>
      <c r="J63" s="72"/>
      <c r="K63" s="2">
        <f t="shared" si="1"/>
        <v>0</v>
      </c>
    </row>
    <row r="64" spans="1:11" s="6" customFormat="1" x14ac:dyDescent="0.3">
      <c r="A64" s="116">
        <v>550029925</v>
      </c>
      <c r="B64" s="15" t="s">
        <v>138</v>
      </c>
      <c r="C64" s="46" t="s">
        <v>18</v>
      </c>
      <c r="D64" s="95"/>
      <c r="E64" s="68"/>
      <c r="F64" s="11"/>
      <c r="G64" s="11"/>
      <c r="H64" s="11"/>
      <c r="I64" s="11"/>
      <c r="J64" s="72"/>
      <c r="K64" s="2">
        <f t="shared" si="1"/>
        <v>0</v>
      </c>
    </row>
    <row r="65" spans="1:11" x14ac:dyDescent="0.3">
      <c r="A65" s="116">
        <v>45372809</v>
      </c>
      <c r="B65" s="15" t="s">
        <v>144</v>
      </c>
      <c r="C65" s="46">
        <v>209</v>
      </c>
      <c r="D65" s="95"/>
      <c r="E65" s="68"/>
      <c r="F65" s="11"/>
      <c r="G65" s="11"/>
      <c r="H65" s="11"/>
      <c r="I65" s="11"/>
      <c r="J65" s="72"/>
      <c r="K65" s="2">
        <f t="shared" si="1"/>
        <v>0</v>
      </c>
    </row>
    <row r="66" spans="1:11" s="14" customFormat="1" x14ac:dyDescent="0.3">
      <c r="A66" s="116">
        <v>45372855</v>
      </c>
      <c r="B66" s="15" t="s">
        <v>142</v>
      </c>
      <c r="C66" s="46" t="s">
        <v>4</v>
      </c>
      <c r="D66" s="95"/>
      <c r="E66" s="68"/>
      <c r="F66" s="11"/>
      <c r="G66" s="11"/>
      <c r="H66" s="11"/>
      <c r="I66" s="11"/>
      <c r="J66" s="72"/>
      <c r="K66" s="2">
        <f t="shared" si="1"/>
        <v>0</v>
      </c>
    </row>
    <row r="67" spans="1:11" x14ac:dyDescent="0.3">
      <c r="A67" s="116">
        <v>45372905</v>
      </c>
      <c r="B67" s="15" t="s">
        <v>140</v>
      </c>
      <c r="C67" s="46" t="s">
        <v>3</v>
      </c>
      <c r="D67" s="95"/>
      <c r="E67" s="68"/>
      <c r="F67" s="11"/>
      <c r="G67" s="11"/>
      <c r="H67" s="11"/>
      <c r="I67" s="11"/>
      <c r="J67" s="72"/>
      <c r="K67" s="2">
        <f t="shared" si="1"/>
        <v>0</v>
      </c>
    </row>
    <row r="68" spans="1:11" x14ac:dyDescent="0.3">
      <c r="A68" s="116">
        <v>550049814</v>
      </c>
      <c r="B68" s="15" t="s">
        <v>148</v>
      </c>
      <c r="C68" s="46" t="s">
        <v>2</v>
      </c>
      <c r="D68" s="95"/>
      <c r="E68" s="68"/>
      <c r="F68" s="11"/>
      <c r="G68" s="11"/>
      <c r="H68" s="11"/>
      <c r="I68" s="11"/>
      <c r="J68" s="72"/>
      <c r="K68" s="2">
        <f t="shared" ref="K68:K99" si="2">SUM(D68:J68)</f>
        <v>0</v>
      </c>
    </row>
    <row r="69" spans="1:11" s="14" customFormat="1" x14ac:dyDescent="0.3">
      <c r="A69" s="116">
        <v>550026900</v>
      </c>
      <c r="B69" s="15" t="s">
        <v>150</v>
      </c>
      <c r="C69" s="46" t="s">
        <v>18</v>
      </c>
      <c r="D69" s="95"/>
      <c r="E69" s="68"/>
      <c r="F69" s="11"/>
      <c r="G69" s="11"/>
      <c r="H69" s="11"/>
      <c r="I69" s="11"/>
      <c r="J69" s="72"/>
      <c r="K69" s="2">
        <f t="shared" ref="K69:K78" si="3">SUM(D69:J69)</f>
        <v>0</v>
      </c>
    </row>
    <row r="70" spans="1:11" s="14" customFormat="1" x14ac:dyDescent="0.3">
      <c r="A70" s="116">
        <v>550026907</v>
      </c>
      <c r="B70" s="15" t="s">
        <v>152</v>
      </c>
      <c r="C70" s="46" t="s">
        <v>18</v>
      </c>
      <c r="D70" s="95"/>
      <c r="E70" s="68"/>
      <c r="F70" s="11"/>
      <c r="G70" s="11"/>
      <c r="H70" s="11"/>
      <c r="I70" s="11"/>
      <c r="J70" s="72"/>
      <c r="K70" s="2">
        <f t="shared" si="3"/>
        <v>0</v>
      </c>
    </row>
    <row r="71" spans="1:11" s="6" customFormat="1" x14ac:dyDescent="0.3">
      <c r="A71" s="116">
        <v>550026891</v>
      </c>
      <c r="B71" s="15" t="s">
        <v>154</v>
      </c>
      <c r="C71" s="46" t="s">
        <v>5</v>
      </c>
      <c r="D71" s="95"/>
      <c r="E71" s="68"/>
      <c r="F71" s="11"/>
      <c r="G71" s="11"/>
      <c r="H71" s="11"/>
      <c r="I71" s="11"/>
      <c r="J71" s="72"/>
      <c r="K71" s="2">
        <f t="shared" si="3"/>
        <v>0</v>
      </c>
    </row>
    <row r="72" spans="1:11" s="6" customFormat="1" x14ac:dyDescent="0.3">
      <c r="A72" s="116">
        <v>550050052</v>
      </c>
      <c r="B72" s="15" t="s">
        <v>156</v>
      </c>
      <c r="C72" s="46" t="s">
        <v>2</v>
      </c>
      <c r="D72" s="95"/>
      <c r="E72" s="68"/>
      <c r="F72" s="11"/>
      <c r="G72" s="11"/>
      <c r="H72" s="11"/>
      <c r="I72" s="11"/>
      <c r="J72" s="72"/>
      <c r="K72" s="2">
        <f t="shared" si="3"/>
        <v>0</v>
      </c>
    </row>
    <row r="73" spans="1:11" x14ac:dyDescent="0.3">
      <c r="A73" s="116">
        <v>550045415</v>
      </c>
      <c r="B73" s="15" t="s">
        <v>158</v>
      </c>
      <c r="C73" s="46" t="s">
        <v>5</v>
      </c>
      <c r="D73" s="95"/>
      <c r="E73" s="68"/>
      <c r="F73" s="11"/>
      <c r="G73" s="11"/>
      <c r="H73" s="11"/>
      <c r="I73" s="11"/>
      <c r="J73" s="72"/>
      <c r="K73" s="2">
        <f t="shared" si="3"/>
        <v>0</v>
      </c>
    </row>
    <row r="74" spans="1:11" s="14" customFormat="1" x14ac:dyDescent="0.3">
      <c r="A74" s="116">
        <v>550047744</v>
      </c>
      <c r="B74" s="15" t="s">
        <v>900</v>
      </c>
      <c r="C74" s="46" t="s">
        <v>909</v>
      </c>
      <c r="D74" s="95"/>
      <c r="E74" s="68"/>
      <c r="F74" s="11"/>
      <c r="G74" s="11"/>
      <c r="H74" s="11"/>
      <c r="I74" s="11"/>
      <c r="J74" s="72"/>
      <c r="K74" s="2">
        <f t="shared" si="3"/>
        <v>0</v>
      </c>
    </row>
    <row r="75" spans="1:11" s="14" customFormat="1" x14ac:dyDescent="0.3">
      <c r="A75" s="116">
        <v>550043380</v>
      </c>
      <c r="B75" s="15" t="s">
        <v>164</v>
      </c>
      <c r="C75" s="46" t="s">
        <v>18</v>
      </c>
      <c r="D75" s="95"/>
      <c r="E75" s="68"/>
      <c r="F75" s="11"/>
      <c r="G75" s="11"/>
      <c r="H75" s="11"/>
      <c r="I75" s="11"/>
      <c r="J75" s="72"/>
      <c r="K75" s="2">
        <f t="shared" si="3"/>
        <v>0</v>
      </c>
    </row>
    <row r="76" spans="1:11" s="14" customFormat="1" x14ac:dyDescent="0.3">
      <c r="A76" s="116">
        <v>6560200055</v>
      </c>
      <c r="B76" s="15" t="s">
        <v>160</v>
      </c>
      <c r="C76" s="46" t="s">
        <v>18</v>
      </c>
      <c r="D76" s="95"/>
      <c r="E76" s="68"/>
      <c r="F76" s="11"/>
      <c r="G76" s="11"/>
      <c r="H76" s="11"/>
      <c r="I76" s="11"/>
      <c r="J76" s="72"/>
      <c r="K76" s="2">
        <f t="shared" si="3"/>
        <v>0</v>
      </c>
    </row>
    <row r="77" spans="1:11" s="14" customFormat="1" x14ac:dyDescent="0.3">
      <c r="A77" s="46">
        <v>6560300055</v>
      </c>
      <c r="B77" s="15" t="s">
        <v>893</v>
      </c>
      <c r="C77" s="46" t="s">
        <v>18</v>
      </c>
      <c r="D77" s="96"/>
      <c r="E77" s="107"/>
      <c r="F77" s="97"/>
      <c r="G77" s="97"/>
      <c r="H77" s="97"/>
      <c r="I77" s="97"/>
      <c r="J77" s="98"/>
      <c r="K77" s="2">
        <f t="shared" si="3"/>
        <v>0</v>
      </c>
    </row>
    <row r="78" spans="1:11" s="14" customFormat="1" ht="15" thickBot="1" x14ac:dyDescent="0.35">
      <c r="A78" s="117">
        <v>6560500055</v>
      </c>
      <c r="B78" s="16" t="s">
        <v>162</v>
      </c>
      <c r="C78" s="47" t="s">
        <v>18</v>
      </c>
      <c r="D78" s="99"/>
      <c r="E78" s="108"/>
      <c r="F78" s="100"/>
      <c r="G78" s="100"/>
      <c r="H78" s="100"/>
      <c r="I78" s="100"/>
      <c r="J78" s="101"/>
      <c r="K78" s="2">
        <f t="shared" si="3"/>
        <v>0</v>
      </c>
    </row>
  </sheetData>
  <autoFilter ref="A3:K78" xr:uid="{C6482300-CAB8-4D6F-B217-B3F8ACA2C9F6}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U83"/>
  <sheetViews>
    <sheetView showGridLines="0" zoomScale="110" zoomScaleNormal="110" workbookViewId="0">
      <pane xSplit="3" ySplit="3" topLeftCell="N46" activePane="bottomRight" state="frozen"/>
      <selection pane="topRight" activeCell="D1" sqref="D1"/>
      <selection pane="bottomLeft" activeCell="A4" sqref="A4"/>
      <selection pane="bottomRight" activeCell="P55" sqref="P55"/>
    </sheetView>
  </sheetViews>
  <sheetFormatPr baseColWidth="10" defaultRowHeight="14.4" x14ac:dyDescent="0.3"/>
  <cols>
    <col min="2" max="2" width="43.6640625" customWidth="1"/>
    <col min="4" max="14" width="11.44140625" customWidth="1"/>
    <col min="15" max="15" width="10" customWidth="1"/>
    <col min="16" max="16" width="11.44140625" style="6" customWidth="1"/>
    <col min="17" max="20" width="14.33203125" style="14" customWidth="1"/>
    <col min="21" max="21" width="11.88671875" bestFit="1" customWidth="1"/>
  </cols>
  <sheetData>
    <row r="1" spans="1:21" ht="15" thickBot="1" x14ac:dyDescent="0.35"/>
    <row r="2" spans="1:21" ht="29.4" thickBot="1" x14ac:dyDescent="0.35">
      <c r="B2" s="6"/>
      <c r="C2" s="6"/>
      <c r="D2" s="1" t="s">
        <v>11</v>
      </c>
      <c r="E2" s="1" t="s">
        <v>11</v>
      </c>
      <c r="F2" s="1" t="s">
        <v>11</v>
      </c>
      <c r="G2" s="1" t="s">
        <v>11</v>
      </c>
      <c r="H2" s="1" t="s">
        <v>11</v>
      </c>
      <c r="I2" s="1" t="s">
        <v>11</v>
      </c>
      <c r="J2" s="1" t="s">
        <v>11</v>
      </c>
      <c r="K2" s="1" t="s">
        <v>11</v>
      </c>
      <c r="L2" s="1" t="s">
        <v>11</v>
      </c>
      <c r="M2" s="1" t="s">
        <v>11</v>
      </c>
      <c r="N2" s="1" t="s">
        <v>11</v>
      </c>
      <c r="O2" s="1" t="s">
        <v>11</v>
      </c>
      <c r="P2" s="1" t="s">
        <v>11</v>
      </c>
      <c r="Q2" s="44"/>
      <c r="R2" s="44"/>
      <c r="S2" s="44"/>
      <c r="T2" s="44"/>
      <c r="U2" s="7" t="s">
        <v>12</v>
      </c>
    </row>
    <row r="3" spans="1:21" ht="15" thickBot="1" x14ac:dyDescent="0.35">
      <c r="A3" s="10" t="s">
        <v>165</v>
      </c>
      <c r="B3" s="10" t="s">
        <v>0</v>
      </c>
      <c r="C3" s="10" t="s">
        <v>6</v>
      </c>
      <c r="D3" s="33">
        <v>44949</v>
      </c>
      <c r="E3" s="33">
        <v>44950</v>
      </c>
      <c r="F3" s="33">
        <v>44965</v>
      </c>
      <c r="G3" s="33">
        <v>44986</v>
      </c>
      <c r="H3" s="33">
        <v>44987</v>
      </c>
      <c r="I3" s="33">
        <v>44993</v>
      </c>
      <c r="J3" s="33">
        <v>45027</v>
      </c>
      <c r="K3" s="33">
        <v>45064</v>
      </c>
      <c r="L3" s="33">
        <v>45076</v>
      </c>
      <c r="M3" s="33">
        <v>45098</v>
      </c>
      <c r="N3" s="33">
        <v>45099</v>
      </c>
      <c r="O3" s="33">
        <v>45105</v>
      </c>
      <c r="P3" s="33">
        <v>45120</v>
      </c>
      <c r="Q3" s="33"/>
      <c r="R3" s="33"/>
      <c r="S3" s="33"/>
      <c r="T3" s="33"/>
      <c r="U3" s="33">
        <f ca="1">TODAY()</f>
        <v>45121</v>
      </c>
    </row>
    <row r="4" spans="1:21" s="6" customFormat="1" x14ac:dyDescent="0.3">
      <c r="A4" s="115">
        <v>45657855</v>
      </c>
      <c r="B4" s="55" t="s">
        <v>30</v>
      </c>
      <c r="C4" s="82" t="s">
        <v>4</v>
      </c>
      <c r="D4" s="102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4"/>
      <c r="R4" s="104"/>
      <c r="S4" s="104"/>
      <c r="T4" s="104"/>
      <c r="U4" s="2">
        <f>SUM(D4:T4)</f>
        <v>0</v>
      </c>
    </row>
    <row r="5" spans="1:21" s="14" customFormat="1" x14ac:dyDescent="0.3">
      <c r="A5" s="116">
        <v>45659855</v>
      </c>
      <c r="B5" s="78" t="s">
        <v>32</v>
      </c>
      <c r="C5" s="13" t="s">
        <v>4</v>
      </c>
      <c r="D5" s="68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72"/>
      <c r="R5" s="72"/>
      <c r="S5" s="72"/>
      <c r="T5" s="72"/>
      <c r="U5" s="2">
        <f t="shared" ref="U5:U68" si="0">SUM(D5:T5)</f>
        <v>0</v>
      </c>
    </row>
    <row r="6" spans="1:21" s="6" customFormat="1" x14ac:dyDescent="0.3">
      <c r="A6" s="116">
        <v>45683809</v>
      </c>
      <c r="B6" s="78" t="s">
        <v>34</v>
      </c>
      <c r="C6" s="13">
        <v>209</v>
      </c>
      <c r="D6" s="68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72"/>
      <c r="R6" s="72"/>
      <c r="S6" s="72"/>
      <c r="T6" s="72"/>
      <c r="U6" s="2">
        <f t="shared" si="0"/>
        <v>0</v>
      </c>
    </row>
    <row r="7" spans="1:21" s="6" customFormat="1" x14ac:dyDescent="0.3">
      <c r="A7" s="116">
        <v>45660855</v>
      </c>
      <c r="B7" s="78" t="s">
        <v>36</v>
      </c>
      <c r="C7" s="13" t="s">
        <v>4</v>
      </c>
      <c r="D7" s="68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72"/>
      <c r="R7" s="72"/>
      <c r="S7" s="72"/>
      <c r="T7" s="72"/>
      <c r="U7" s="2">
        <f t="shared" si="0"/>
        <v>0</v>
      </c>
    </row>
    <row r="8" spans="1:21" s="6" customFormat="1" x14ac:dyDescent="0.3">
      <c r="A8" s="116">
        <v>45684809</v>
      </c>
      <c r="B8" s="78" t="s">
        <v>38</v>
      </c>
      <c r="C8" s="13">
        <v>209</v>
      </c>
      <c r="D8" s="68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72"/>
      <c r="R8" s="72"/>
      <c r="S8" s="72"/>
      <c r="T8" s="72"/>
      <c r="U8" s="2">
        <f t="shared" si="0"/>
        <v>0</v>
      </c>
    </row>
    <row r="9" spans="1:21" s="14" customFormat="1" x14ac:dyDescent="0.3">
      <c r="A9" s="116">
        <v>45685855</v>
      </c>
      <c r="B9" s="78" t="s">
        <v>40</v>
      </c>
      <c r="C9" s="13" t="s">
        <v>4</v>
      </c>
      <c r="D9" s="68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72"/>
      <c r="R9" s="72"/>
      <c r="S9" s="72"/>
      <c r="T9" s="72"/>
      <c r="U9" s="2">
        <f t="shared" si="0"/>
        <v>0</v>
      </c>
    </row>
    <row r="10" spans="1:21" x14ac:dyDescent="0.3">
      <c r="A10" s="116">
        <v>45312905</v>
      </c>
      <c r="B10" s="78" t="s">
        <v>42</v>
      </c>
      <c r="C10" s="13" t="s">
        <v>3</v>
      </c>
      <c r="D10" s="68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72"/>
      <c r="R10" s="72"/>
      <c r="S10" s="72"/>
      <c r="T10" s="72"/>
      <c r="U10" s="2">
        <f t="shared" si="0"/>
        <v>0</v>
      </c>
    </row>
    <row r="11" spans="1:21" x14ac:dyDescent="0.3">
      <c r="A11" s="116">
        <v>44774905</v>
      </c>
      <c r="B11" s="78" t="s">
        <v>44</v>
      </c>
      <c r="C11" s="13" t="s">
        <v>3</v>
      </c>
      <c r="D11" s="68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72"/>
      <c r="R11" s="72"/>
      <c r="S11" s="72"/>
      <c r="T11" s="72"/>
      <c r="U11" s="2">
        <f t="shared" si="0"/>
        <v>0</v>
      </c>
    </row>
    <row r="12" spans="1:21" s="14" customFormat="1" x14ac:dyDescent="0.3">
      <c r="A12" s="116">
        <v>550052774</v>
      </c>
      <c r="B12" s="78" t="s">
        <v>46</v>
      </c>
      <c r="C12" s="13" t="s">
        <v>18</v>
      </c>
      <c r="D12" s="68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72"/>
      <c r="R12" s="72"/>
      <c r="S12" s="72"/>
      <c r="T12" s="72"/>
      <c r="U12" s="2">
        <f t="shared" si="0"/>
        <v>0</v>
      </c>
    </row>
    <row r="13" spans="1:21" s="14" customFormat="1" x14ac:dyDescent="0.3">
      <c r="A13" s="116">
        <v>550052775</v>
      </c>
      <c r="B13" s="78" t="s">
        <v>48</v>
      </c>
      <c r="C13" s="13" t="s">
        <v>18</v>
      </c>
      <c r="D13" s="68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72"/>
      <c r="R13" s="72"/>
      <c r="S13" s="72"/>
      <c r="T13" s="72"/>
      <c r="U13" s="2">
        <f t="shared" si="0"/>
        <v>0</v>
      </c>
    </row>
    <row r="14" spans="1:21" s="14" customFormat="1" x14ac:dyDescent="0.3">
      <c r="A14" s="116">
        <v>550054547</v>
      </c>
      <c r="B14" s="78" t="s">
        <v>50</v>
      </c>
      <c r="C14" s="13" t="s">
        <v>18</v>
      </c>
      <c r="D14" s="68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72"/>
      <c r="R14" s="72"/>
      <c r="S14" s="72"/>
      <c r="T14" s="72"/>
      <c r="U14" s="2">
        <f t="shared" si="0"/>
        <v>0</v>
      </c>
    </row>
    <row r="15" spans="1:21" s="14" customFormat="1" x14ac:dyDescent="0.3">
      <c r="A15" s="116">
        <v>550047079</v>
      </c>
      <c r="B15" s="78" t="s">
        <v>52</v>
      </c>
      <c r="C15" s="13" t="s">
        <v>18</v>
      </c>
      <c r="D15" s="68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72"/>
      <c r="R15" s="72"/>
      <c r="S15" s="72"/>
      <c r="T15" s="72"/>
      <c r="U15" s="2">
        <f t="shared" si="0"/>
        <v>0</v>
      </c>
    </row>
    <row r="16" spans="1:21" s="14" customFormat="1" x14ac:dyDescent="0.3">
      <c r="A16" s="116">
        <v>550014136</v>
      </c>
      <c r="B16" s="78" t="s">
        <v>54</v>
      </c>
      <c r="C16" s="13" t="s">
        <v>19</v>
      </c>
      <c r="D16" s="68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72"/>
      <c r="R16" s="72"/>
      <c r="S16" s="72"/>
      <c r="T16" s="72"/>
      <c r="U16" s="2">
        <f t="shared" si="0"/>
        <v>0</v>
      </c>
    </row>
    <row r="17" spans="1:21" s="14" customFormat="1" x14ac:dyDescent="0.3">
      <c r="A17" s="116">
        <v>550027265</v>
      </c>
      <c r="B17" s="78" t="s">
        <v>56</v>
      </c>
      <c r="C17" s="13" t="s">
        <v>4</v>
      </c>
      <c r="D17" s="68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72"/>
      <c r="R17" s="72"/>
      <c r="S17" s="72"/>
      <c r="T17" s="72"/>
      <c r="U17" s="2">
        <f t="shared" si="0"/>
        <v>0</v>
      </c>
    </row>
    <row r="18" spans="1:21" s="6" customFormat="1" x14ac:dyDescent="0.3">
      <c r="A18" s="116">
        <v>550026300</v>
      </c>
      <c r="B18" s="78" t="s">
        <v>58</v>
      </c>
      <c r="C18" s="13" t="s">
        <v>5</v>
      </c>
      <c r="D18" s="68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72"/>
      <c r="R18" s="72"/>
      <c r="S18" s="72"/>
      <c r="T18" s="72"/>
      <c r="U18" s="2">
        <f t="shared" si="0"/>
        <v>0</v>
      </c>
    </row>
    <row r="19" spans="1:21" s="6" customFormat="1" x14ac:dyDescent="0.3">
      <c r="A19" s="116">
        <v>550047075</v>
      </c>
      <c r="B19" s="78" t="s">
        <v>60</v>
      </c>
      <c r="C19" s="13" t="s">
        <v>18</v>
      </c>
      <c r="D19" s="68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72"/>
      <c r="R19" s="72"/>
      <c r="S19" s="72"/>
      <c r="T19" s="72"/>
      <c r="U19" s="2">
        <f t="shared" si="0"/>
        <v>0</v>
      </c>
    </row>
    <row r="20" spans="1:21" x14ac:dyDescent="0.3">
      <c r="A20" s="116">
        <v>550027631</v>
      </c>
      <c r="B20" s="78" t="s">
        <v>62</v>
      </c>
      <c r="C20" s="13" t="s">
        <v>7</v>
      </c>
      <c r="D20" s="68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72"/>
      <c r="R20" s="72"/>
      <c r="S20" s="72"/>
      <c r="T20" s="72"/>
      <c r="U20" s="2">
        <f t="shared" si="0"/>
        <v>0</v>
      </c>
    </row>
    <row r="21" spans="1:21" s="6" customFormat="1" x14ac:dyDescent="0.3">
      <c r="A21" s="116">
        <v>550050706</v>
      </c>
      <c r="B21" s="78" t="s">
        <v>64</v>
      </c>
      <c r="C21" s="13" t="s">
        <v>17</v>
      </c>
      <c r="D21" s="68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72"/>
      <c r="R21" s="72"/>
      <c r="S21" s="72"/>
      <c r="T21" s="72"/>
      <c r="U21" s="2">
        <f t="shared" si="0"/>
        <v>0</v>
      </c>
    </row>
    <row r="22" spans="1:21" s="6" customFormat="1" x14ac:dyDescent="0.3">
      <c r="A22" s="116">
        <v>550050708</v>
      </c>
      <c r="B22" s="78" t="s">
        <v>66</v>
      </c>
      <c r="C22" s="13" t="s">
        <v>17</v>
      </c>
      <c r="D22" s="68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72"/>
      <c r="R22" s="72"/>
      <c r="S22" s="72"/>
      <c r="T22" s="72"/>
      <c r="U22" s="2">
        <f t="shared" si="0"/>
        <v>0</v>
      </c>
    </row>
    <row r="23" spans="1:21" s="14" customFormat="1" x14ac:dyDescent="0.3">
      <c r="A23" s="116">
        <v>550025731</v>
      </c>
      <c r="B23" s="78" t="s">
        <v>68</v>
      </c>
      <c r="C23" s="13">
        <v>209</v>
      </c>
      <c r="D23" s="68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72"/>
      <c r="R23" s="72"/>
      <c r="S23" s="72"/>
      <c r="T23" s="72"/>
      <c r="U23" s="2">
        <f t="shared" si="0"/>
        <v>0</v>
      </c>
    </row>
    <row r="24" spans="1:21" s="14" customFormat="1" x14ac:dyDescent="0.3">
      <c r="A24" s="46">
        <v>550045901</v>
      </c>
      <c r="B24" s="43" t="s">
        <v>910</v>
      </c>
      <c r="C24" s="13" t="s">
        <v>2</v>
      </c>
      <c r="D24" s="68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72"/>
      <c r="R24" s="72"/>
      <c r="S24" s="72"/>
      <c r="T24" s="72"/>
      <c r="U24" s="2">
        <f t="shared" si="0"/>
        <v>0</v>
      </c>
    </row>
    <row r="25" spans="1:21" x14ac:dyDescent="0.3">
      <c r="A25" s="116">
        <v>43512905</v>
      </c>
      <c r="B25" s="78" t="s">
        <v>70</v>
      </c>
      <c r="C25" s="13" t="s">
        <v>3</v>
      </c>
      <c r="D25" s="68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72"/>
      <c r="R25" s="72"/>
      <c r="S25" s="72"/>
      <c r="T25" s="72"/>
      <c r="U25" s="2">
        <f t="shared" si="0"/>
        <v>0</v>
      </c>
    </row>
    <row r="26" spans="1:21" s="6" customFormat="1" ht="13.5" customHeight="1" x14ac:dyDescent="0.3">
      <c r="A26" s="116">
        <v>43509809</v>
      </c>
      <c r="B26" s="78" t="s">
        <v>72</v>
      </c>
      <c r="C26" s="13">
        <v>209</v>
      </c>
      <c r="D26" s="68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72"/>
      <c r="R26" s="72"/>
      <c r="S26" s="72"/>
      <c r="T26" s="72"/>
      <c r="U26" s="2">
        <f t="shared" si="0"/>
        <v>0</v>
      </c>
    </row>
    <row r="27" spans="1:21" s="14" customFormat="1" x14ac:dyDescent="0.3">
      <c r="A27" s="46">
        <v>550045838</v>
      </c>
      <c r="B27" s="78" t="s">
        <v>897</v>
      </c>
      <c r="C27" s="13" t="s">
        <v>1</v>
      </c>
      <c r="D27" s="68"/>
      <c r="E27" s="11">
        <v>480</v>
      </c>
      <c r="F27" s="11"/>
      <c r="G27" s="11"/>
      <c r="H27" s="11"/>
      <c r="I27" s="11"/>
      <c r="J27" s="11"/>
      <c r="K27" s="11"/>
      <c r="L27" s="11"/>
      <c r="M27" s="11">
        <v>1280</v>
      </c>
      <c r="N27" s="11">
        <v>1592</v>
      </c>
      <c r="O27" s="11"/>
      <c r="P27" s="11"/>
      <c r="Q27" s="72"/>
      <c r="R27" s="72"/>
      <c r="S27" s="72"/>
      <c r="T27" s="72"/>
      <c r="U27" s="2">
        <f t="shared" si="0"/>
        <v>3352</v>
      </c>
    </row>
    <row r="28" spans="1:21" s="6" customFormat="1" x14ac:dyDescent="0.3">
      <c r="A28" s="116">
        <v>550053426</v>
      </c>
      <c r="B28" s="78" t="s">
        <v>74</v>
      </c>
      <c r="C28" s="13">
        <v>209</v>
      </c>
      <c r="D28" s="68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72"/>
      <c r="R28" s="72"/>
      <c r="S28" s="72"/>
      <c r="T28" s="72"/>
      <c r="U28" s="2">
        <f t="shared" si="0"/>
        <v>0</v>
      </c>
    </row>
    <row r="29" spans="1:21" x14ac:dyDescent="0.3">
      <c r="A29" s="116">
        <v>550045885</v>
      </c>
      <c r="B29" s="78" t="s">
        <v>78</v>
      </c>
      <c r="C29" s="13" t="s">
        <v>2</v>
      </c>
      <c r="D29" s="68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72"/>
      <c r="R29" s="72"/>
      <c r="S29" s="72"/>
      <c r="T29" s="72"/>
      <c r="U29" s="2">
        <f t="shared" si="0"/>
        <v>0</v>
      </c>
    </row>
    <row r="30" spans="1:21" x14ac:dyDescent="0.3">
      <c r="A30" s="116">
        <v>550045853</v>
      </c>
      <c r="B30" s="78" t="s">
        <v>76</v>
      </c>
      <c r="C30" s="13" t="s">
        <v>1</v>
      </c>
      <c r="D30" s="68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72"/>
      <c r="R30" s="72"/>
      <c r="S30" s="72"/>
      <c r="T30" s="72"/>
      <c r="U30" s="2">
        <f t="shared" si="0"/>
        <v>0</v>
      </c>
    </row>
    <row r="31" spans="1:21" s="14" customFormat="1" x14ac:dyDescent="0.3">
      <c r="A31" s="116">
        <v>550057749</v>
      </c>
      <c r="B31" s="78" t="s">
        <v>80</v>
      </c>
      <c r="C31" s="13" t="s">
        <v>2</v>
      </c>
      <c r="D31" s="68">
        <v>3850</v>
      </c>
      <c r="E31" s="11">
        <v>2800</v>
      </c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72"/>
      <c r="R31" s="72"/>
      <c r="S31" s="72"/>
      <c r="T31" s="72"/>
      <c r="U31" s="2">
        <f t="shared" si="0"/>
        <v>6650</v>
      </c>
    </row>
    <row r="32" spans="1:21" x14ac:dyDescent="0.3">
      <c r="A32" s="116">
        <v>550052038</v>
      </c>
      <c r="B32" s="78" t="s">
        <v>82</v>
      </c>
      <c r="C32" s="13" t="s">
        <v>2</v>
      </c>
      <c r="D32" s="68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72"/>
      <c r="R32" s="72"/>
      <c r="S32" s="72"/>
      <c r="T32" s="72"/>
      <c r="U32" s="2">
        <f t="shared" si="0"/>
        <v>0</v>
      </c>
    </row>
    <row r="33" spans="1:21" x14ac:dyDescent="0.3">
      <c r="A33" s="116">
        <v>550045905</v>
      </c>
      <c r="B33" s="78" t="s">
        <v>84</v>
      </c>
      <c r="C33" s="13" t="s">
        <v>2</v>
      </c>
      <c r="D33" s="68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72"/>
      <c r="R33" s="72"/>
      <c r="S33" s="72"/>
      <c r="T33" s="72"/>
      <c r="U33" s="2">
        <f t="shared" si="0"/>
        <v>0</v>
      </c>
    </row>
    <row r="34" spans="1:21" s="14" customFormat="1" ht="15" thickBot="1" x14ac:dyDescent="0.35">
      <c r="A34" s="116">
        <v>550057767</v>
      </c>
      <c r="B34" s="78" t="s">
        <v>86</v>
      </c>
      <c r="C34" s="13" t="s">
        <v>2</v>
      </c>
      <c r="D34" s="68"/>
      <c r="E34" s="11"/>
      <c r="F34" s="11"/>
      <c r="G34" s="11"/>
      <c r="H34" s="11"/>
      <c r="I34" s="11"/>
      <c r="J34" s="11">
        <v>3325</v>
      </c>
      <c r="K34" s="11"/>
      <c r="L34" s="11"/>
      <c r="M34" s="11"/>
      <c r="N34" s="11"/>
      <c r="O34" s="11"/>
      <c r="P34" s="11"/>
      <c r="Q34" s="72"/>
      <c r="R34" s="72"/>
      <c r="S34" s="72"/>
      <c r="T34" s="72"/>
      <c r="U34" s="2">
        <f t="shared" si="0"/>
        <v>3325</v>
      </c>
    </row>
    <row r="35" spans="1:21" s="6" customFormat="1" x14ac:dyDescent="0.3">
      <c r="A35" s="46">
        <v>41051905</v>
      </c>
      <c r="B35" s="55" t="s">
        <v>88</v>
      </c>
      <c r="C35" s="13" t="s">
        <v>3</v>
      </c>
      <c r="D35" s="68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72"/>
      <c r="R35" s="72"/>
      <c r="S35" s="72"/>
      <c r="T35" s="72"/>
      <c r="U35" s="2">
        <f t="shared" si="0"/>
        <v>0</v>
      </c>
    </row>
    <row r="36" spans="1:21" s="14" customFormat="1" x14ac:dyDescent="0.3">
      <c r="A36" s="46">
        <v>40926905</v>
      </c>
      <c r="B36" s="78" t="s">
        <v>90</v>
      </c>
      <c r="C36" s="13" t="s">
        <v>3</v>
      </c>
      <c r="D36" s="68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72"/>
      <c r="R36" s="72"/>
      <c r="S36" s="72"/>
      <c r="T36" s="72"/>
      <c r="U36" s="2">
        <f t="shared" si="0"/>
        <v>0</v>
      </c>
    </row>
    <row r="37" spans="1:21" x14ac:dyDescent="0.3">
      <c r="A37" s="116">
        <v>550049041</v>
      </c>
      <c r="B37" s="79" t="s">
        <v>92</v>
      </c>
      <c r="C37" s="13" t="s">
        <v>1</v>
      </c>
      <c r="D37" s="68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72"/>
      <c r="R37" s="72"/>
      <c r="S37" s="72"/>
      <c r="T37" s="72"/>
      <c r="U37" s="2">
        <f t="shared" si="0"/>
        <v>0</v>
      </c>
    </row>
    <row r="38" spans="1:21" s="14" customFormat="1" x14ac:dyDescent="0.3">
      <c r="A38" s="116">
        <v>550050102</v>
      </c>
      <c r="B38" s="79" t="s">
        <v>94</v>
      </c>
      <c r="C38" s="13" t="s">
        <v>2</v>
      </c>
      <c r="D38" s="68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72"/>
      <c r="R38" s="72"/>
      <c r="S38" s="72"/>
      <c r="T38" s="72"/>
      <c r="U38" s="2">
        <f t="shared" si="0"/>
        <v>0</v>
      </c>
    </row>
    <row r="39" spans="1:21" ht="14.25" customHeight="1" x14ac:dyDescent="0.3">
      <c r="A39" s="116">
        <v>550057742</v>
      </c>
      <c r="B39" s="78" t="s">
        <v>96</v>
      </c>
      <c r="C39" s="13" t="s">
        <v>2</v>
      </c>
      <c r="D39" s="68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72"/>
      <c r="R39" s="72"/>
      <c r="S39" s="72"/>
      <c r="T39" s="72"/>
      <c r="U39" s="2">
        <f t="shared" si="0"/>
        <v>0</v>
      </c>
    </row>
    <row r="40" spans="1:21" s="14" customFormat="1" x14ac:dyDescent="0.3">
      <c r="A40" s="116">
        <v>550026700</v>
      </c>
      <c r="B40" s="78" t="s">
        <v>100</v>
      </c>
      <c r="C40" s="13" t="s">
        <v>5</v>
      </c>
      <c r="D40" s="68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72"/>
      <c r="R40" s="72"/>
      <c r="S40" s="72"/>
      <c r="T40" s="72"/>
      <c r="U40" s="2">
        <f t="shared" si="0"/>
        <v>0</v>
      </c>
    </row>
    <row r="41" spans="1:21" s="14" customFormat="1" x14ac:dyDescent="0.3">
      <c r="A41" s="116">
        <v>550026710</v>
      </c>
      <c r="B41" s="78" t="s">
        <v>98</v>
      </c>
      <c r="C41" s="13" t="s">
        <v>18</v>
      </c>
      <c r="D41" s="68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72"/>
      <c r="R41" s="72"/>
      <c r="S41" s="72"/>
      <c r="T41" s="72"/>
      <c r="U41" s="2">
        <f t="shared" si="0"/>
        <v>0</v>
      </c>
    </row>
    <row r="42" spans="1:21" s="14" customFormat="1" x14ac:dyDescent="0.3">
      <c r="A42" s="116">
        <v>550026697</v>
      </c>
      <c r="B42" s="78" t="s">
        <v>104</v>
      </c>
      <c r="C42" s="13" t="s">
        <v>5</v>
      </c>
      <c r="D42" s="68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72"/>
      <c r="R42" s="72"/>
      <c r="S42" s="72"/>
      <c r="T42" s="72"/>
      <c r="U42" s="2">
        <f t="shared" si="0"/>
        <v>0</v>
      </c>
    </row>
    <row r="43" spans="1:21" s="14" customFormat="1" x14ac:dyDescent="0.3">
      <c r="A43" s="116">
        <v>550026699</v>
      </c>
      <c r="B43" s="78" t="s">
        <v>102</v>
      </c>
      <c r="C43" s="13" t="s">
        <v>18</v>
      </c>
      <c r="D43" s="68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72"/>
      <c r="R43" s="72"/>
      <c r="S43" s="72"/>
      <c r="T43" s="72"/>
      <c r="U43" s="2">
        <f t="shared" si="0"/>
        <v>0</v>
      </c>
    </row>
    <row r="44" spans="1:21" s="14" customFormat="1" x14ac:dyDescent="0.3">
      <c r="A44" s="116">
        <v>550022488</v>
      </c>
      <c r="B44" s="78" t="s">
        <v>106</v>
      </c>
      <c r="C44" s="13" t="s">
        <v>18</v>
      </c>
      <c r="D44" s="68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72"/>
      <c r="R44" s="72"/>
      <c r="S44" s="72"/>
      <c r="T44" s="72"/>
      <c r="U44" s="2">
        <f t="shared" si="0"/>
        <v>0</v>
      </c>
    </row>
    <row r="45" spans="1:21" s="6" customFormat="1" x14ac:dyDescent="0.3">
      <c r="A45" s="116">
        <v>550036571</v>
      </c>
      <c r="B45" s="78" t="s">
        <v>108</v>
      </c>
      <c r="C45" s="13" t="s">
        <v>18</v>
      </c>
      <c r="D45" s="68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72"/>
      <c r="R45" s="72"/>
      <c r="S45" s="72"/>
      <c r="T45" s="72"/>
      <c r="U45" s="2">
        <f t="shared" si="0"/>
        <v>0</v>
      </c>
    </row>
    <row r="46" spans="1:21" s="14" customFormat="1" x14ac:dyDescent="0.3">
      <c r="A46" s="116">
        <v>550036183</v>
      </c>
      <c r="B46" s="78" t="s">
        <v>110</v>
      </c>
      <c r="C46" s="13" t="s">
        <v>18</v>
      </c>
      <c r="D46" s="68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72"/>
      <c r="R46" s="72"/>
      <c r="S46" s="72"/>
      <c r="T46" s="72"/>
      <c r="U46" s="2">
        <f t="shared" si="0"/>
        <v>0</v>
      </c>
    </row>
    <row r="47" spans="1:21" x14ac:dyDescent="0.3">
      <c r="A47" s="116">
        <v>550049771</v>
      </c>
      <c r="B47" s="78" t="s">
        <v>112</v>
      </c>
      <c r="C47" s="13" t="s">
        <v>2</v>
      </c>
      <c r="D47" s="68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72"/>
      <c r="R47" s="72"/>
      <c r="S47" s="72"/>
      <c r="T47" s="72"/>
      <c r="U47" s="2">
        <f t="shared" si="0"/>
        <v>0</v>
      </c>
    </row>
    <row r="48" spans="1:21" s="6" customFormat="1" x14ac:dyDescent="0.3">
      <c r="A48" s="116">
        <v>550025702</v>
      </c>
      <c r="B48" s="78" t="s">
        <v>166</v>
      </c>
      <c r="C48" s="13" t="s">
        <v>5</v>
      </c>
      <c r="D48" s="68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72"/>
      <c r="R48" s="72"/>
      <c r="S48" s="72"/>
      <c r="T48" s="72"/>
      <c r="U48" s="2">
        <f t="shared" si="0"/>
        <v>0</v>
      </c>
    </row>
    <row r="49" spans="1:21" s="14" customFormat="1" x14ac:dyDescent="0.3">
      <c r="A49" s="116">
        <v>550026834</v>
      </c>
      <c r="B49" s="78" t="s">
        <v>116</v>
      </c>
      <c r="C49" s="13" t="s">
        <v>18</v>
      </c>
      <c r="D49" s="68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72"/>
      <c r="R49" s="72"/>
      <c r="S49" s="72"/>
      <c r="T49" s="72"/>
      <c r="U49" s="2">
        <f t="shared" si="0"/>
        <v>0</v>
      </c>
    </row>
    <row r="50" spans="1:21" s="14" customFormat="1" x14ac:dyDescent="0.3">
      <c r="A50" s="116">
        <v>550025692</v>
      </c>
      <c r="B50" s="78" t="s">
        <v>114</v>
      </c>
      <c r="C50" s="13" t="s">
        <v>5</v>
      </c>
      <c r="D50" s="68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72"/>
      <c r="R50" s="72"/>
      <c r="S50" s="72"/>
      <c r="T50" s="72"/>
      <c r="U50" s="2">
        <f t="shared" si="0"/>
        <v>0</v>
      </c>
    </row>
    <row r="51" spans="1:21" s="14" customFormat="1" x14ac:dyDescent="0.3">
      <c r="A51" s="116">
        <v>550025702</v>
      </c>
      <c r="B51" s="79" t="s">
        <v>118</v>
      </c>
      <c r="C51" s="13" t="s">
        <v>4</v>
      </c>
      <c r="D51" s="68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72"/>
      <c r="R51" s="72"/>
      <c r="S51" s="72"/>
      <c r="T51" s="72"/>
      <c r="U51" s="2">
        <f t="shared" si="0"/>
        <v>0</v>
      </c>
    </row>
    <row r="52" spans="1:21" x14ac:dyDescent="0.3">
      <c r="A52" s="116">
        <v>44245855</v>
      </c>
      <c r="B52" s="78" t="s">
        <v>122</v>
      </c>
      <c r="C52" s="13" t="s">
        <v>4</v>
      </c>
      <c r="D52" s="68"/>
      <c r="E52" s="11"/>
      <c r="F52" s="11"/>
      <c r="G52" s="11">
        <f>792*2</f>
        <v>1584</v>
      </c>
      <c r="H52" s="11">
        <f>792*2</f>
        <v>1584</v>
      </c>
      <c r="I52" s="11">
        <v>10</v>
      </c>
      <c r="J52" s="11"/>
      <c r="K52" s="11">
        <f>792*2</f>
        <v>1584</v>
      </c>
      <c r="L52" s="11">
        <v>792</v>
      </c>
      <c r="M52" s="11">
        <v>278</v>
      </c>
      <c r="N52" s="11"/>
      <c r="O52" s="11"/>
      <c r="P52" s="11"/>
      <c r="Q52" s="72"/>
      <c r="R52" s="72"/>
      <c r="S52" s="72"/>
      <c r="T52" s="72"/>
      <c r="U52" s="2">
        <f t="shared" si="0"/>
        <v>5832</v>
      </c>
    </row>
    <row r="53" spans="1:21" x14ac:dyDescent="0.3">
      <c r="A53" s="116">
        <v>44245809</v>
      </c>
      <c r="B53" s="78" t="s">
        <v>120</v>
      </c>
      <c r="C53" s="13">
        <v>209</v>
      </c>
      <c r="D53" s="68"/>
      <c r="E53" s="11"/>
      <c r="F53" s="11">
        <f>16*4</f>
        <v>64</v>
      </c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72"/>
      <c r="R53" s="72"/>
      <c r="S53" s="72"/>
      <c r="T53" s="72"/>
      <c r="U53" s="2">
        <f t="shared" si="0"/>
        <v>64</v>
      </c>
    </row>
    <row r="54" spans="1:21" x14ac:dyDescent="0.3">
      <c r="A54" s="116">
        <v>44243809</v>
      </c>
      <c r="B54" s="80" t="s">
        <v>128</v>
      </c>
      <c r="C54" s="13">
        <v>209</v>
      </c>
      <c r="D54" s="68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72"/>
      <c r="R54" s="72"/>
      <c r="S54" s="72"/>
      <c r="T54" s="72"/>
      <c r="U54" s="2">
        <f t="shared" si="0"/>
        <v>0</v>
      </c>
    </row>
    <row r="55" spans="1:21" s="14" customFormat="1" x14ac:dyDescent="0.3">
      <c r="A55" s="116">
        <v>550038020</v>
      </c>
      <c r="B55" s="19" t="s">
        <v>128</v>
      </c>
      <c r="C55" s="13">
        <v>209</v>
      </c>
      <c r="D55" s="68"/>
      <c r="E55" s="11"/>
      <c r="F55" s="11"/>
      <c r="G55" s="11"/>
      <c r="H55" s="11"/>
      <c r="I55" s="11"/>
      <c r="J55" s="11">
        <v>12</v>
      </c>
      <c r="K55" s="11"/>
      <c r="L55" s="11"/>
      <c r="M55" s="11"/>
      <c r="N55" s="11">
        <v>16</v>
      </c>
      <c r="O55" s="11">
        <f>88*2</f>
        <v>176</v>
      </c>
      <c r="P55" s="11">
        <f>88+64</f>
        <v>152</v>
      </c>
      <c r="Q55" s="72"/>
      <c r="R55" s="72"/>
      <c r="S55" s="72"/>
      <c r="T55" s="72"/>
      <c r="U55" s="2">
        <f t="shared" si="0"/>
        <v>356</v>
      </c>
    </row>
    <row r="56" spans="1:21" s="14" customFormat="1" x14ac:dyDescent="0.3">
      <c r="A56" s="46">
        <v>550054282</v>
      </c>
      <c r="B56" s="80" t="s">
        <v>167</v>
      </c>
      <c r="C56" s="13" t="s">
        <v>5</v>
      </c>
      <c r="D56" s="68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72"/>
      <c r="R56" s="72"/>
      <c r="S56" s="72"/>
      <c r="T56" s="72"/>
      <c r="U56" s="2">
        <f t="shared" si="0"/>
        <v>0</v>
      </c>
    </row>
    <row r="57" spans="1:21" s="6" customFormat="1" x14ac:dyDescent="0.3">
      <c r="A57" s="116">
        <v>44243855</v>
      </c>
      <c r="B57" s="78" t="s">
        <v>124</v>
      </c>
      <c r="C57" s="13" t="s">
        <v>4</v>
      </c>
      <c r="D57" s="68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72"/>
      <c r="R57" s="72"/>
      <c r="S57" s="72"/>
      <c r="T57" s="72"/>
      <c r="U57" s="2">
        <f t="shared" si="0"/>
        <v>0</v>
      </c>
    </row>
    <row r="58" spans="1:21" x14ac:dyDescent="0.3">
      <c r="A58" s="116">
        <v>44414855</v>
      </c>
      <c r="B58" s="78" t="s">
        <v>132</v>
      </c>
      <c r="C58" s="13" t="s">
        <v>4</v>
      </c>
      <c r="D58" s="68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72"/>
      <c r="R58" s="72"/>
      <c r="S58" s="72"/>
      <c r="T58" s="72"/>
      <c r="U58" s="2">
        <f t="shared" si="0"/>
        <v>0</v>
      </c>
    </row>
    <row r="59" spans="1:21" s="14" customFormat="1" x14ac:dyDescent="0.3">
      <c r="A59" s="116">
        <v>550045436</v>
      </c>
      <c r="B59" s="78" t="s">
        <v>126</v>
      </c>
      <c r="C59" s="13" t="s">
        <v>1</v>
      </c>
      <c r="D59" s="68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72"/>
      <c r="R59" s="72"/>
      <c r="S59" s="72"/>
      <c r="T59" s="72"/>
      <c r="U59" s="2">
        <f t="shared" si="0"/>
        <v>0</v>
      </c>
    </row>
    <row r="60" spans="1:21" s="14" customFormat="1" x14ac:dyDescent="0.3">
      <c r="A60" s="116">
        <v>550045438</v>
      </c>
      <c r="B60" s="80" t="s">
        <v>130</v>
      </c>
      <c r="C60" s="13" t="s">
        <v>1</v>
      </c>
      <c r="D60" s="68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72"/>
      <c r="R60" s="72"/>
      <c r="S60" s="72"/>
      <c r="T60" s="72"/>
      <c r="U60" s="2">
        <f t="shared" si="0"/>
        <v>0</v>
      </c>
    </row>
    <row r="61" spans="1:21" s="14" customFormat="1" x14ac:dyDescent="0.3">
      <c r="A61" s="116">
        <v>550032121</v>
      </c>
      <c r="B61" s="78" t="s">
        <v>134</v>
      </c>
      <c r="C61" s="13" t="s">
        <v>18</v>
      </c>
      <c r="D61" s="68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72"/>
      <c r="R61" s="72"/>
      <c r="S61" s="72"/>
      <c r="T61" s="72"/>
      <c r="U61" s="2">
        <f t="shared" si="0"/>
        <v>0</v>
      </c>
    </row>
    <row r="62" spans="1:21" x14ac:dyDescent="0.3">
      <c r="A62" s="116">
        <v>45387905</v>
      </c>
      <c r="B62" s="78" t="s">
        <v>136</v>
      </c>
      <c r="C62" s="13" t="s">
        <v>3</v>
      </c>
      <c r="D62" s="68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72"/>
      <c r="R62" s="72"/>
      <c r="S62" s="72"/>
      <c r="T62" s="72"/>
      <c r="U62" s="2">
        <f t="shared" si="0"/>
        <v>0</v>
      </c>
    </row>
    <row r="63" spans="1:21" s="14" customFormat="1" x14ac:dyDescent="0.3">
      <c r="A63" s="116">
        <v>43592855</v>
      </c>
      <c r="B63" s="78" t="s">
        <v>146</v>
      </c>
      <c r="C63" s="13" t="s">
        <v>4</v>
      </c>
      <c r="D63" s="68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72"/>
      <c r="R63" s="72"/>
      <c r="S63" s="72"/>
      <c r="T63" s="72"/>
      <c r="U63" s="2">
        <f t="shared" si="0"/>
        <v>0</v>
      </c>
    </row>
    <row r="64" spans="1:21" s="6" customFormat="1" x14ac:dyDescent="0.3">
      <c r="A64" s="116">
        <v>550029925</v>
      </c>
      <c r="B64" s="78" t="s">
        <v>138</v>
      </c>
      <c r="C64" s="13" t="s">
        <v>18</v>
      </c>
      <c r="D64" s="68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72"/>
      <c r="R64" s="72"/>
      <c r="S64" s="72"/>
      <c r="T64" s="72"/>
      <c r="U64" s="2">
        <f t="shared" si="0"/>
        <v>0</v>
      </c>
    </row>
    <row r="65" spans="1:21" x14ac:dyDescent="0.3">
      <c r="A65" s="116">
        <v>45372809</v>
      </c>
      <c r="B65" s="78" t="s">
        <v>144</v>
      </c>
      <c r="C65" s="13">
        <v>209</v>
      </c>
      <c r="D65" s="68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72"/>
      <c r="R65" s="72"/>
      <c r="S65" s="72"/>
      <c r="T65" s="72"/>
      <c r="U65" s="2">
        <f t="shared" si="0"/>
        <v>0</v>
      </c>
    </row>
    <row r="66" spans="1:21" s="14" customFormat="1" x14ac:dyDescent="0.3">
      <c r="A66" s="116">
        <v>45372855</v>
      </c>
      <c r="B66" s="78" t="s">
        <v>142</v>
      </c>
      <c r="C66" s="13" t="s">
        <v>4</v>
      </c>
      <c r="D66" s="68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72"/>
      <c r="R66" s="72"/>
      <c r="S66" s="72"/>
      <c r="T66" s="72"/>
      <c r="U66" s="2">
        <f t="shared" si="0"/>
        <v>0</v>
      </c>
    </row>
    <row r="67" spans="1:21" x14ac:dyDescent="0.3">
      <c r="A67" s="116">
        <v>45372905</v>
      </c>
      <c r="B67" s="78" t="s">
        <v>140</v>
      </c>
      <c r="C67" s="13" t="s">
        <v>3</v>
      </c>
      <c r="D67" s="68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72"/>
      <c r="R67" s="72"/>
      <c r="S67" s="72"/>
      <c r="T67" s="72"/>
      <c r="U67" s="2">
        <f t="shared" si="0"/>
        <v>0</v>
      </c>
    </row>
    <row r="68" spans="1:21" x14ac:dyDescent="0.3">
      <c r="A68" s="116">
        <v>550049814</v>
      </c>
      <c r="B68" s="78" t="s">
        <v>148</v>
      </c>
      <c r="C68" s="13" t="s">
        <v>2</v>
      </c>
      <c r="D68" s="68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72"/>
      <c r="R68" s="72"/>
      <c r="S68" s="72"/>
      <c r="T68" s="72"/>
      <c r="U68" s="2">
        <f t="shared" si="0"/>
        <v>0</v>
      </c>
    </row>
    <row r="69" spans="1:21" s="14" customFormat="1" x14ac:dyDescent="0.3">
      <c r="A69" s="116">
        <v>550026900</v>
      </c>
      <c r="B69" s="78" t="s">
        <v>150</v>
      </c>
      <c r="C69" s="13" t="s">
        <v>18</v>
      </c>
      <c r="D69" s="68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2">
        <f t="shared" ref="U69:U78" si="1">SUM(D69:T69)</f>
        <v>0</v>
      </c>
    </row>
    <row r="70" spans="1:21" s="14" customFormat="1" x14ac:dyDescent="0.3">
      <c r="A70" s="116">
        <v>550026907</v>
      </c>
      <c r="B70" s="78" t="s">
        <v>152</v>
      </c>
      <c r="C70" s="13" t="s">
        <v>18</v>
      </c>
      <c r="D70" s="68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2">
        <f t="shared" si="1"/>
        <v>0</v>
      </c>
    </row>
    <row r="71" spans="1:21" s="6" customFormat="1" x14ac:dyDescent="0.3">
      <c r="A71" s="116">
        <v>550026891</v>
      </c>
      <c r="B71" s="78" t="s">
        <v>154</v>
      </c>
      <c r="C71" s="13" t="s">
        <v>5</v>
      </c>
      <c r="D71" s="68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2">
        <f t="shared" si="1"/>
        <v>0</v>
      </c>
    </row>
    <row r="72" spans="1:21" s="6" customFormat="1" x14ac:dyDescent="0.3">
      <c r="A72" s="116">
        <v>550050052</v>
      </c>
      <c r="B72" s="78" t="s">
        <v>156</v>
      </c>
      <c r="C72" s="13" t="s">
        <v>2</v>
      </c>
      <c r="D72" s="68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2">
        <f t="shared" si="1"/>
        <v>0</v>
      </c>
    </row>
    <row r="73" spans="1:21" x14ac:dyDescent="0.3">
      <c r="A73" s="116">
        <v>550045415</v>
      </c>
      <c r="B73" s="78" t="s">
        <v>158</v>
      </c>
      <c r="C73" s="13" t="s">
        <v>5</v>
      </c>
      <c r="D73" s="68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2">
        <f t="shared" si="1"/>
        <v>0</v>
      </c>
    </row>
    <row r="74" spans="1:21" s="14" customFormat="1" x14ac:dyDescent="0.3">
      <c r="A74" s="116">
        <v>550047744</v>
      </c>
      <c r="B74" s="15" t="s">
        <v>900</v>
      </c>
      <c r="C74" s="46" t="s">
        <v>909</v>
      </c>
      <c r="D74" s="68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2">
        <f t="shared" si="1"/>
        <v>0</v>
      </c>
    </row>
    <row r="75" spans="1:21" s="14" customFormat="1" x14ac:dyDescent="0.3">
      <c r="A75" s="116">
        <v>550043380</v>
      </c>
      <c r="B75" s="78" t="s">
        <v>164</v>
      </c>
      <c r="C75" s="83" t="s">
        <v>18</v>
      </c>
      <c r="D75" s="68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2">
        <f t="shared" si="1"/>
        <v>0</v>
      </c>
    </row>
    <row r="76" spans="1:21" s="14" customFormat="1" x14ac:dyDescent="0.3">
      <c r="A76" s="116">
        <v>6560200055</v>
      </c>
      <c r="B76" s="78" t="s">
        <v>160</v>
      </c>
      <c r="C76" s="13" t="s">
        <v>18</v>
      </c>
      <c r="D76" s="68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2">
        <f t="shared" si="1"/>
        <v>0</v>
      </c>
    </row>
    <row r="77" spans="1:21" s="14" customFormat="1" x14ac:dyDescent="0.3">
      <c r="A77" s="46">
        <v>6560300055</v>
      </c>
      <c r="B77" s="78" t="s">
        <v>893</v>
      </c>
      <c r="C77" s="13" t="s">
        <v>18</v>
      </c>
      <c r="D77" s="68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2">
        <f t="shared" si="1"/>
        <v>0</v>
      </c>
    </row>
    <row r="78" spans="1:21" s="14" customFormat="1" ht="15" thickBot="1" x14ac:dyDescent="0.35">
      <c r="A78" s="117">
        <v>6560500055</v>
      </c>
      <c r="B78" s="81" t="s">
        <v>162</v>
      </c>
      <c r="C78" s="71" t="s">
        <v>18</v>
      </c>
      <c r="D78" s="68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2">
        <f t="shared" si="1"/>
        <v>0</v>
      </c>
    </row>
    <row r="81" spans="21:21" x14ac:dyDescent="0.3">
      <c r="U81" s="14"/>
    </row>
    <row r="82" spans="21:21" x14ac:dyDescent="0.3">
      <c r="U82" s="14"/>
    </row>
    <row r="83" spans="21:21" x14ac:dyDescent="0.3">
      <c r="U83" s="14"/>
    </row>
  </sheetData>
  <autoFilter ref="A3:U78" xr:uid="{57F3DAE9-04EC-45CB-8F13-465D1726871D}"/>
  <pageMargins left="0.70866141732283472" right="0.70866141732283472" top="0.74803149606299213" bottom="0.74803149606299213" header="0.31496062992125984" footer="0.31496062992125984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fitToPage="1"/>
  </sheetPr>
  <dimension ref="A1:U94"/>
  <sheetViews>
    <sheetView showGridLines="0" tabSelected="1" zoomScale="88" zoomScaleNormal="88" workbookViewId="0">
      <pane xSplit="8" ySplit="3" topLeftCell="I4" activePane="bottomRight" state="frozen"/>
      <selection pane="topRight" activeCell="I1" sqref="I1"/>
      <selection pane="bottomLeft" activeCell="A4" sqref="A4"/>
      <selection pane="bottomRight" activeCell="T83" sqref="T83"/>
    </sheetView>
  </sheetViews>
  <sheetFormatPr baseColWidth="10" defaultRowHeight="14.4" x14ac:dyDescent="0.3"/>
  <cols>
    <col min="1" max="1" width="1.88671875" customWidth="1"/>
    <col min="2" max="2" width="16.6640625" style="14" customWidth="1"/>
    <col min="3" max="3" width="54.109375" customWidth="1"/>
    <col min="4" max="4" width="10.109375" bestFit="1" customWidth="1"/>
    <col min="5" max="5" width="12.77734375" hidden="1" customWidth="1"/>
    <col min="6" max="6" width="11.88671875" hidden="1" customWidth="1"/>
    <col min="7" max="7" width="10" style="26" bestFit="1" customWidth="1"/>
    <col min="8" max="8" width="12.33203125" bestFit="1" customWidth="1"/>
    <col min="9" max="9" width="10.88671875" style="14" hidden="1" customWidth="1"/>
    <col min="10" max="10" width="15.5546875" bestFit="1" customWidth="1"/>
    <col min="11" max="11" width="12.21875" style="35" hidden="1" customWidth="1"/>
    <col min="12" max="12" width="16.21875" style="34" hidden="1" customWidth="1"/>
    <col min="13" max="13" width="14.6640625" style="14" hidden="1" customWidth="1"/>
    <col min="14" max="14" width="16.88671875" style="6" bestFit="1" customWidth="1"/>
    <col min="15" max="15" width="17.109375" style="14" hidden="1" customWidth="1"/>
    <col min="16" max="16" width="22.5546875" style="14" hidden="1" customWidth="1"/>
    <col min="17" max="17" width="16.109375" customWidth="1"/>
    <col min="18" max="18" width="13.109375" customWidth="1"/>
    <col min="19" max="19" width="13.88671875" customWidth="1"/>
    <col min="20" max="20" width="70.33203125" style="14" customWidth="1"/>
  </cols>
  <sheetData>
    <row r="1" spans="1:20" x14ac:dyDescent="0.3">
      <c r="A1" s="14"/>
      <c r="C1" s="14"/>
      <c r="D1" s="14"/>
    </row>
    <row r="2" spans="1:20" ht="15" thickBot="1" x14ac:dyDescent="0.35">
      <c r="R2" s="14"/>
    </row>
    <row r="3" spans="1:20" ht="29.4" thickBot="1" x14ac:dyDescent="0.35">
      <c r="B3" s="10" t="s">
        <v>165</v>
      </c>
      <c r="C3" s="10" t="s">
        <v>0</v>
      </c>
      <c r="D3" s="10" t="s">
        <v>6</v>
      </c>
      <c r="E3" s="67" t="s">
        <v>8</v>
      </c>
      <c r="F3" s="10" t="s">
        <v>9</v>
      </c>
      <c r="G3" s="10" t="s">
        <v>23</v>
      </c>
      <c r="H3" s="10" t="s">
        <v>14</v>
      </c>
      <c r="I3" s="91" t="s">
        <v>27</v>
      </c>
      <c r="J3" s="10" t="s">
        <v>15</v>
      </c>
      <c r="K3" s="36" t="s">
        <v>21</v>
      </c>
      <c r="L3" s="42" t="s">
        <v>20</v>
      </c>
      <c r="M3" s="5" t="s">
        <v>22</v>
      </c>
      <c r="N3" s="10" t="s">
        <v>16</v>
      </c>
      <c r="O3" s="10" t="s">
        <v>895</v>
      </c>
      <c r="P3" s="5" t="s">
        <v>896</v>
      </c>
      <c r="Q3" s="5" t="s">
        <v>10</v>
      </c>
      <c r="R3" s="10" t="s">
        <v>168</v>
      </c>
      <c r="S3" s="10" t="s">
        <v>911</v>
      </c>
      <c r="T3" s="10" t="s">
        <v>898</v>
      </c>
    </row>
    <row r="4" spans="1:20" s="14" customFormat="1" x14ac:dyDescent="0.3">
      <c r="B4" s="65">
        <v>45657855</v>
      </c>
      <c r="C4" s="43" t="s">
        <v>30</v>
      </c>
      <c r="D4" s="69" t="s">
        <v>4</v>
      </c>
      <c r="E4" s="68">
        <f>+VLOOKUP(B4,'Recepcion de Producto'!$A$4:K78,11,0)</f>
        <v>0</v>
      </c>
      <c r="F4" s="11">
        <f>+VLOOKUP(B4,'Salida de Producto'!$A$4:U78,21,0)</f>
        <v>0</v>
      </c>
      <c r="G4" s="85" t="s">
        <v>26</v>
      </c>
      <c r="H4" s="89">
        <f>E4-F4</f>
        <v>0</v>
      </c>
      <c r="I4" s="22"/>
      <c r="J4" s="90">
        <f t="shared" ref="J4:J35" si="0">SUM(I4:I4)</f>
        <v>0</v>
      </c>
      <c r="K4" s="50">
        <v>0.02</v>
      </c>
      <c r="L4" s="38">
        <f t="shared" ref="L4:L9" si="1">K4*J4</f>
        <v>0</v>
      </c>
      <c r="M4" s="74">
        <f t="shared" ref="M4:M37" si="2">L4/1.124</f>
        <v>0</v>
      </c>
      <c r="N4" s="63"/>
      <c r="O4" s="63">
        <f>IFERROR(VLOOKUP(B4,'Inventario Profit'!$A$1:G229,7,0),0)</f>
        <v>0</v>
      </c>
      <c r="P4" s="62">
        <f>+O4-N4</f>
        <v>0</v>
      </c>
      <c r="Q4" s="48">
        <f t="shared" ref="Q4:Q35" si="3">J4+N4-H4</f>
        <v>0</v>
      </c>
      <c r="R4" s="2">
        <f>IFERROR(VLOOKUP(B4,'Inventario Profit'!$A$1:I229,9,0),0)</f>
        <v>0</v>
      </c>
      <c r="S4" s="2">
        <f>R4-J4-N4</f>
        <v>0</v>
      </c>
      <c r="T4" s="2"/>
    </row>
    <row r="5" spans="1:20" s="6" customFormat="1" x14ac:dyDescent="0.3">
      <c r="B5" s="66">
        <v>45659855</v>
      </c>
      <c r="C5" s="43" t="s">
        <v>32</v>
      </c>
      <c r="D5" s="70" t="s">
        <v>4</v>
      </c>
      <c r="E5" s="68">
        <f>+VLOOKUP(B5,'Recepcion de Producto'!$A$4:K79,11,0)</f>
        <v>0</v>
      </c>
      <c r="F5" s="11">
        <f>+VLOOKUP(B5,'Salida de Producto'!$A$4:U79,21,0)</f>
        <v>0</v>
      </c>
      <c r="G5" s="86" t="s">
        <v>26</v>
      </c>
      <c r="H5" s="89">
        <f t="shared" ref="H5:H69" si="4">E5-F5</f>
        <v>0</v>
      </c>
      <c r="I5" s="12"/>
      <c r="J5" s="90">
        <f t="shared" si="0"/>
        <v>0</v>
      </c>
      <c r="K5" s="18">
        <v>0.02</v>
      </c>
      <c r="L5" s="39">
        <f t="shared" si="1"/>
        <v>0</v>
      </c>
      <c r="M5" s="75">
        <f t="shared" si="2"/>
        <v>0</v>
      </c>
      <c r="N5" s="63"/>
      <c r="O5" s="63">
        <f>IFERROR(VLOOKUP(B5,'Inventario Profit'!$A$1:G230,7,0),0)</f>
        <v>0</v>
      </c>
      <c r="P5" s="62">
        <f t="shared" ref="P5:P69" si="5">+O5-N5</f>
        <v>0</v>
      </c>
      <c r="Q5" s="54">
        <f t="shared" si="3"/>
        <v>0</v>
      </c>
      <c r="R5" s="2">
        <f>IFERROR(VLOOKUP(B5,'Inventario Profit'!$A$1:I230,9,0),0)</f>
        <v>0</v>
      </c>
      <c r="S5" s="2">
        <f t="shared" ref="S5:S50" si="6">R5-J5-N5</f>
        <v>0</v>
      </c>
      <c r="T5" s="2"/>
    </row>
    <row r="6" spans="1:20" s="6" customFormat="1" x14ac:dyDescent="0.3">
      <c r="B6" s="66">
        <v>45683809</v>
      </c>
      <c r="C6" s="43" t="s">
        <v>34</v>
      </c>
      <c r="D6" s="70" t="s">
        <v>894</v>
      </c>
      <c r="E6" s="68">
        <f>+VLOOKUP(B6,'Recepcion de Producto'!$A$4:K80,11,0)</f>
        <v>0</v>
      </c>
      <c r="F6" s="11">
        <f>+VLOOKUP(B6,'Salida de Producto'!$A$4:U80,21,0)</f>
        <v>0</v>
      </c>
      <c r="G6" s="86" t="s">
        <v>26</v>
      </c>
      <c r="H6" s="89">
        <f t="shared" si="4"/>
        <v>0</v>
      </c>
      <c r="I6" s="12"/>
      <c r="J6" s="90">
        <f t="shared" si="0"/>
        <v>0</v>
      </c>
      <c r="K6" s="18">
        <v>0.20899999999999999</v>
      </c>
      <c r="L6" s="39">
        <f t="shared" si="1"/>
        <v>0</v>
      </c>
      <c r="M6" s="75">
        <f t="shared" si="2"/>
        <v>0</v>
      </c>
      <c r="N6" s="63"/>
      <c r="O6" s="63">
        <f>IFERROR(VLOOKUP(B6,'Inventario Profit'!$A$1:G231,7,0),0)</f>
        <v>0</v>
      </c>
      <c r="P6" s="62">
        <f t="shared" si="5"/>
        <v>0</v>
      </c>
      <c r="Q6" s="43">
        <f t="shared" si="3"/>
        <v>0</v>
      </c>
      <c r="R6" s="2">
        <f>IFERROR(VLOOKUP(B6,'Inventario Profit'!$A$1:I231,9,0),0)</f>
        <v>0</v>
      </c>
      <c r="S6" s="2">
        <f t="shared" si="6"/>
        <v>0</v>
      </c>
      <c r="T6" s="2"/>
    </row>
    <row r="7" spans="1:20" s="6" customFormat="1" x14ac:dyDescent="0.3">
      <c r="B7" s="66">
        <v>45660855</v>
      </c>
      <c r="C7" s="43" t="s">
        <v>36</v>
      </c>
      <c r="D7" s="70" t="s">
        <v>4</v>
      </c>
      <c r="E7" s="68">
        <f>+VLOOKUP(B7,'Recepcion de Producto'!$A$4:K81,11,0)</f>
        <v>0</v>
      </c>
      <c r="F7" s="11">
        <f>+VLOOKUP(B7,'Salida de Producto'!$A$4:U81,21,0)</f>
        <v>0</v>
      </c>
      <c r="G7" s="86" t="s">
        <v>26</v>
      </c>
      <c r="H7" s="89">
        <f t="shared" si="4"/>
        <v>0</v>
      </c>
      <c r="I7" s="12"/>
      <c r="J7" s="90">
        <f t="shared" si="0"/>
        <v>0</v>
      </c>
      <c r="K7" s="18">
        <v>0.02</v>
      </c>
      <c r="L7" s="39">
        <f t="shared" si="1"/>
        <v>0</v>
      </c>
      <c r="M7" s="75">
        <f t="shared" si="2"/>
        <v>0</v>
      </c>
      <c r="N7" s="63"/>
      <c r="O7" s="63">
        <f>IFERROR(VLOOKUP(B7,'Inventario Profit'!$A$1:G232,7,0),0)</f>
        <v>0</v>
      </c>
      <c r="P7" s="62">
        <f t="shared" si="5"/>
        <v>0</v>
      </c>
      <c r="Q7" s="54">
        <f t="shared" si="3"/>
        <v>0</v>
      </c>
      <c r="R7" s="2">
        <f>IFERROR(VLOOKUP(B7,'Inventario Profit'!$A$1:I232,9,0),0)</f>
        <v>0</v>
      </c>
      <c r="S7" s="2">
        <f t="shared" si="6"/>
        <v>0</v>
      </c>
      <c r="T7" s="2"/>
    </row>
    <row r="8" spans="1:20" s="6" customFormat="1" ht="14.25" customHeight="1" x14ac:dyDescent="0.3">
      <c r="B8" s="60">
        <v>45684809</v>
      </c>
      <c r="C8" s="43" t="s">
        <v>38</v>
      </c>
      <c r="D8" s="13" t="s">
        <v>894</v>
      </c>
      <c r="E8" s="68">
        <f>+VLOOKUP(B8,'Recepcion de Producto'!$A$4:K82,11,0)</f>
        <v>0</v>
      </c>
      <c r="F8" s="11">
        <f>+VLOOKUP(B8,'Salida de Producto'!$A$4:U82,21,0)</f>
        <v>0</v>
      </c>
      <c r="G8" s="87" t="s">
        <v>26</v>
      </c>
      <c r="H8" s="89">
        <f t="shared" si="4"/>
        <v>0</v>
      </c>
      <c r="I8" s="12"/>
      <c r="J8" s="90">
        <f t="shared" si="0"/>
        <v>0</v>
      </c>
      <c r="K8" s="18">
        <v>0.20899999999999999</v>
      </c>
      <c r="L8" s="39">
        <f t="shared" si="1"/>
        <v>0</v>
      </c>
      <c r="M8" s="75">
        <f t="shared" si="2"/>
        <v>0</v>
      </c>
      <c r="N8" s="63"/>
      <c r="O8" s="63">
        <f>IFERROR(VLOOKUP(B8,'Inventario Profit'!$A$1:G233,7,0),0)</f>
        <v>0</v>
      </c>
      <c r="P8" s="62">
        <f t="shared" si="5"/>
        <v>0</v>
      </c>
      <c r="Q8" s="54">
        <f t="shared" si="3"/>
        <v>0</v>
      </c>
      <c r="R8" s="2">
        <f>IFERROR(VLOOKUP(B8,'Inventario Profit'!$A$1:I233,9,0),0)</f>
        <v>0</v>
      </c>
      <c r="S8" s="2">
        <f t="shared" si="6"/>
        <v>0</v>
      </c>
      <c r="T8" s="2"/>
    </row>
    <row r="9" spans="1:20" s="14" customFormat="1" x14ac:dyDescent="0.3">
      <c r="B9" s="60">
        <v>45685855</v>
      </c>
      <c r="C9" s="43" t="s">
        <v>40</v>
      </c>
      <c r="D9" s="13" t="s">
        <v>4</v>
      </c>
      <c r="E9" s="68">
        <f>+VLOOKUP(B9,'Recepcion de Producto'!$A$4:K83,11,0)</f>
        <v>0</v>
      </c>
      <c r="F9" s="11">
        <f>+VLOOKUP(B9,'Salida de Producto'!$A$4:U83,21,0)</f>
        <v>0</v>
      </c>
      <c r="G9" s="87" t="s">
        <v>26</v>
      </c>
      <c r="H9" s="89">
        <f t="shared" si="4"/>
        <v>0</v>
      </c>
      <c r="I9" s="12"/>
      <c r="J9" s="90">
        <f t="shared" si="0"/>
        <v>0</v>
      </c>
      <c r="K9" s="17">
        <v>0.02</v>
      </c>
      <c r="L9" s="39">
        <f t="shared" si="1"/>
        <v>0</v>
      </c>
      <c r="M9" s="75">
        <f t="shared" si="2"/>
        <v>0</v>
      </c>
      <c r="N9" s="63"/>
      <c r="O9" s="63">
        <f>IFERROR(VLOOKUP(B9,'Inventario Profit'!$A$1:G234,7,0),0)</f>
        <v>0</v>
      </c>
      <c r="P9" s="62">
        <f t="shared" si="5"/>
        <v>0</v>
      </c>
      <c r="Q9" s="54">
        <f t="shared" si="3"/>
        <v>0</v>
      </c>
      <c r="R9" s="2">
        <f>IFERROR(VLOOKUP(B9,'Inventario Profit'!$A$1:I234,9,0),0)</f>
        <v>0</v>
      </c>
      <c r="S9" s="2">
        <f t="shared" si="6"/>
        <v>0</v>
      </c>
      <c r="T9" s="2"/>
    </row>
    <row r="10" spans="1:20" x14ac:dyDescent="0.3">
      <c r="B10" s="60">
        <v>45312905</v>
      </c>
      <c r="C10" s="43" t="s">
        <v>42</v>
      </c>
      <c r="D10" s="13" t="s">
        <v>3</v>
      </c>
      <c r="E10" s="68">
        <f>+VLOOKUP(B10,'Recepcion de Producto'!$A$4:K84,11,0)</f>
        <v>0</v>
      </c>
      <c r="F10" s="11">
        <f>+VLOOKUP(B10,'Salida de Producto'!$A$4:U84,21,0)</f>
        <v>0</v>
      </c>
      <c r="G10" s="87" t="s">
        <v>25</v>
      </c>
      <c r="H10" s="89">
        <f t="shared" si="4"/>
        <v>0</v>
      </c>
      <c r="I10" s="12"/>
      <c r="J10" s="90">
        <f t="shared" si="0"/>
        <v>0</v>
      </c>
      <c r="K10" s="51">
        <v>1.2E-2</v>
      </c>
      <c r="L10" s="40">
        <f>J10*K10</f>
        <v>0</v>
      </c>
      <c r="M10" s="75">
        <f t="shared" si="2"/>
        <v>0</v>
      </c>
      <c r="N10" s="63"/>
      <c r="O10" s="63">
        <f>IFERROR(VLOOKUP(B10,'Inventario Profit'!$A$1:G235,7,0),0)</f>
        <v>0</v>
      </c>
      <c r="P10" s="62">
        <f t="shared" si="5"/>
        <v>0</v>
      </c>
      <c r="Q10" s="54">
        <f t="shared" si="3"/>
        <v>0</v>
      </c>
      <c r="R10" s="2">
        <f>IFERROR(VLOOKUP(B10,'Inventario Profit'!$A$1:I235,9,0),0)</f>
        <v>0</v>
      </c>
      <c r="S10" s="2">
        <f>R10-J10-N10</f>
        <v>0</v>
      </c>
      <c r="T10" s="93"/>
    </row>
    <row r="11" spans="1:20" x14ac:dyDescent="0.3">
      <c r="B11" s="60">
        <v>44774905</v>
      </c>
      <c r="C11" s="43" t="s">
        <v>44</v>
      </c>
      <c r="D11" s="13" t="s">
        <v>3</v>
      </c>
      <c r="E11" s="68">
        <f>+VLOOKUP(B11,'Recepcion de Producto'!$A$4:K85,11,0)</f>
        <v>0</v>
      </c>
      <c r="F11" s="11">
        <f>+VLOOKUP(B11,'Salida de Producto'!$A$4:U85,21,0)</f>
        <v>0</v>
      </c>
      <c r="G11" s="87" t="s">
        <v>26</v>
      </c>
      <c r="H11" s="89">
        <f t="shared" si="4"/>
        <v>0</v>
      </c>
      <c r="I11" s="12"/>
      <c r="J11" s="90">
        <f t="shared" si="0"/>
        <v>0</v>
      </c>
      <c r="K11" s="17">
        <v>1.2E-2</v>
      </c>
      <c r="L11" s="39">
        <f t="shared" ref="L11:L17" si="7">K11*J11</f>
        <v>0</v>
      </c>
      <c r="M11" s="75">
        <f t="shared" si="2"/>
        <v>0</v>
      </c>
      <c r="N11" s="63"/>
      <c r="O11" s="63">
        <f>IFERROR(VLOOKUP(B11,'Inventario Profit'!$A$1:G236,7,0),0)</f>
        <v>0</v>
      </c>
      <c r="P11" s="62">
        <f t="shared" si="5"/>
        <v>0</v>
      </c>
      <c r="Q11" s="54">
        <f t="shared" si="3"/>
        <v>0</v>
      </c>
      <c r="R11" s="2">
        <f>IFERROR(VLOOKUP(B11,'Inventario Profit'!$A$1:I236,9,0),0)</f>
        <v>0</v>
      </c>
      <c r="S11" s="2">
        <f t="shared" si="6"/>
        <v>0</v>
      </c>
      <c r="T11" s="2"/>
    </row>
    <row r="12" spans="1:20" s="14" customFormat="1" x14ac:dyDescent="0.3">
      <c r="B12" s="60">
        <v>550052774</v>
      </c>
      <c r="C12" s="43" t="s">
        <v>46</v>
      </c>
      <c r="D12" s="13" t="s">
        <v>18</v>
      </c>
      <c r="E12" s="68">
        <f>+VLOOKUP(B12,'Recepcion de Producto'!$A$4:K86,11,0)</f>
        <v>0</v>
      </c>
      <c r="F12" s="11">
        <f>+VLOOKUP(B12,'Salida de Producto'!$A$4:U86,21,0)</f>
        <v>0</v>
      </c>
      <c r="G12" s="87" t="s">
        <v>26</v>
      </c>
      <c r="H12" s="89">
        <f t="shared" si="4"/>
        <v>0</v>
      </c>
      <c r="I12" s="12"/>
      <c r="J12" s="90">
        <f t="shared" si="0"/>
        <v>0</v>
      </c>
      <c r="K12" s="17">
        <v>0.20799999999999999</v>
      </c>
      <c r="L12" s="39">
        <f t="shared" si="7"/>
        <v>0</v>
      </c>
      <c r="M12" s="75">
        <f t="shared" si="2"/>
        <v>0</v>
      </c>
      <c r="N12" s="63"/>
      <c r="O12" s="63">
        <f>IFERROR(VLOOKUP(B12,'Inventario Profit'!$A$1:G237,7,0),0)</f>
        <v>0</v>
      </c>
      <c r="P12" s="62">
        <f t="shared" si="5"/>
        <v>0</v>
      </c>
      <c r="Q12" s="54">
        <f t="shared" si="3"/>
        <v>0</v>
      </c>
      <c r="R12" s="2">
        <f>IFERROR(VLOOKUP(B12,'Inventario Profit'!$A$1:I237,9,0),0)</f>
        <v>0</v>
      </c>
      <c r="S12" s="2">
        <f t="shared" si="6"/>
        <v>0</v>
      </c>
      <c r="T12" s="2"/>
    </row>
    <row r="13" spans="1:20" s="14" customFormat="1" x14ac:dyDescent="0.3">
      <c r="B13" s="60">
        <v>550052775</v>
      </c>
      <c r="C13" s="43" t="s">
        <v>48</v>
      </c>
      <c r="D13" s="13" t="s">
        <v>18</v>
      </c>
      <c r="E13" s="68">
        <f>+VLOOKUP(B13,'Recepcion de Producto'!$A$4:K87,11,0)</f>
        <v>0</v>
      </c>
      <c r="F13" s="11">
        <f>+VLOOKUP(B13,'Salida de Producto'!$A$4:U87,21,0)</f>
        <v>0</v>
      </c>
      <c r="G13" s="87" t="s">
        <v>26</v>
      </c>
      <c r="H13" s="89">
        <f t="shared" si="4"/>
        <v>0</v>
      </c>
      <c r="I13" s="12"/>
      <c r="J13" s="90">
        <f t="shared" si="0"/>
        <v>0</v>
      </c>
      <c r="K13" s="17">
        <v>0.20799999999999999</v>
      </c>
      <c r="L13" s="39">
        <f t="shared" si="7"/>
        <v>0</v>
      </c>
      <c r="M13" s="75">
        <f t="shared" si="2"/>
        <v>0</v>
      </c>
      <c r="N13" s="63"/>
      <c r="O13" s="63">
        <f>IFERROR(VLOOKUP(B13,'Inventario Profit'!$A$1:G238,7,0),0)</f>
        <v>0</v>
      </c>
      <c r="P13" s="62">
        <f t="shared" si="5"/>
        <v>0</v>
      </c>
      <c r="Q13" s="54">
        <f t="shared" si="3"/>
        <v>0</v>
      </c>
      <c r="R13" s="2">
        <f>IFERROR(VLOOKUP(B13,'Inventario Profit'!$A$1:I238,9,0),0)</f>
        <v>0</v>
      </c>
      <c r="S13" s="2">
        <f t="shared" si="6"/>
        <v>0</v>
      </c>
      <c r="T13" s="2"/>
    </row>
    <row r="14" spans="1:20" s="14" customFormat="1" x14ac:dyDescent="0.3">
      <c r="B14" s="60">
        <v>550054547</v>
      </c>
      <c r="C14" s="43" t="s">
        <v>50</v>
      </c>
      <c r="D14" s="13" t="s">
        <v>18</v>
      </c>
      <c r="E14" s="68">
        <f>+VLOOKUP(B14,'Recepcion de Producto'!$A$4:K88,11,0)</f>
        <v>0</v>
      </c>
      <c r="F14" s="11">
        <f>+VLOOKUP(B14,'Salida de Producto'!$A$4:U88,21,0)</f>
        <v>0</v>
      </c>
      <c r="G14" s="87" t="s">
        <v>26</v>
      </c>
      <c r="H14" s="89">
        <f t="shared" si="4"/>
        <v>0</v>
      </c>
      <c r="I14" s="12"/>
      <c r="J14" s="90">
        <f t="shared" si="0"/>
        <v>0</v>
      </c>
      <c r="K14" s="17">
        <v>0.20799999999999999</v>
      </c>
      <c r="L14" s="39">
        <f t="shared" si="7"/>
        <v>0</v>
      </c>
      <c r="M14" s="75">
        <f t="shared" si="2"/>
        <v>0</v>
      </c>
      <c r="N14" s="63"/>
      <c r="O14" s="63">
        <f>IFERROR(VLOOKUP(B14,'Inventario Profit'!$A$1:G239,7,0),0)</f>
        <v>0</v>
      </c>
      <c r="P14" s="62">
        <f t="shared" si="5"/>
        <v>0</v>
      </c>
      <c r="Q14" s="54">
        <f t="shared" si="3"/>
        <v>0</v>
      </c>
      <c r="R14" s="2">
        <f>IFERROR(VLOOKUP(B14,'Inventario Profit'!$A$1:I239,9,0),0)</f>
        <v>0</v>
      </c>
      <c r="S14" s="2">
        <f t="shared" si="6"/>
        <v>0</v>
      </c>
      <c r="T14" s="2"/>
    </row>
    <row r="15" spans="1:20" s="14" customFormat="1" x14ac:dyDescent="0.3">
      <c r="B15" s="60">
        <v>550047079</v>
      </c>
      <c r="C15" s="43" t="s">
        <v>52</v>
      </c>
      <c r="D15" s="13" t="s">
        <v>18</v>
      </c>
      <c r="E15" s="68">
        <f>+VLOOKUP(B15,'Recepcion de Producto'!$A$4:K89,11,0)</f>
        <v>0</v>
      </c>
      <c r="F15" s="11">
        <f>+VLOOKUP(B15,'Salida de Producto'!$A$4:U89,21,0)</f>
        <v>0</v>
      </c>
      <c r="G15" s="87" t="s">
        <v>26</v>
      </c>
      <c r="H15" s="89">
        <f t="shared" si="4"/>
        <v>0</v>
      </c>
      <c r="I15" s="12"/>
      <c r="J15" s="90">
        <f t="shared" si="0"/>
        <v>0</v>
      </c>
      <c r="K15" s="17"/>
      <c r="L15" s="39">
        <f t="shared" si="7"/>
        <v>0</v>
      </c>
      <c r="M15" s="75">
        <f t="shared" si="2"/>
        <v>0</v>
      </c>
      <c r="N15" s="63"/>
      <c r="O15" s="63">
        <f>IFERROR(VLOOKUP(B15,'Inventario Profit'!$A$1:G240,7,0),0)</f>
        <v>0</v>
      </c>
      <c r="P15" s="62">
        <f t="shared" si="5"/>
        <v>0</v>
      </c>
      <c r="Q15" s="54">
        <f t="shared" si="3"/>
        <v>0</v>
      </c>
      <c r="R15" s="2">
        <f>IFERROR(VLOOKUP(B15,'Inventario Profit'!$A$1:I240,9,0),0)</f>
        <v>0</v>
      </c>
      <c r="S15" s="2">
        <f t="shared" si="6"/>
        <v>0</v>
      </c>
      <c r="T15" s="2"/>
    </row>
    <row r="16" spans="1:20" s="6" customFormat="1" x14ac:dyDescent="0.3">
      <c r="B16" s="60">
        <v>550014136</v>
      </c>
      <c r="C16" s="43" t="s">
        <v>54</v>
      </c>
      <c r="D16" s="13" t="s">
        <v>894</v>
      </c>
      <c r="E16" s="68">
        <f>+VLOOKUP(B16,'Recepcion de Producto'!$A$4:K90,11,0)</f>
        <v>0</v>
      </c>
      <c r="F16" s="11">
        <f>+VLOOKUP(B16,'Salida de Producto'!$A$4:U90,21,0)</f>
        <v>0</v>
      </c>
      <c r="G16" s="87" t="s">
        <v>26</v>
      </c>
      <c r="H16" s="89">
        <f t="shared" si="4"/>
        <v>0</v>
      </c>
      <c r="I16" s="12"/>
      <c r="J16" s="90">
        <f t="shared" si="0"/>
        <v>0</v>
      </c>
      <c r="K16" s="17">
        <v>0.20799999999999999</v>
      </c>
      <c r="L16" s="39">
        <f t="shared" si="7"/>
        <v>0</v>
      </c>
      <c r="M16" s="75">
        <f t="shared" si="2"/>
        <v>0</v>
      </c>
      <c r="N16" s="63"/>
      <c r="O16" s="63">
        <f>IFERROR(VLOOKUP(B16,'Inventario Profit'!$A$1:G241,7,0),0)</f>
        <v>0</v>
      </c>
      <c r="P16" s="62">
        <f t="shared" si="5"/>
        <v>0</v>
      </c>
      <c r="Q16" s="54">
        <f t="shared" si="3"/>
        <v>0</v>
      </c>
      <c r="R16" s="2">
        <f>IFERROR(VLOOKUP(B16,'Inventario Profit'!$A$1:I241,9,0),0)</f>
        <v>0</v>
      </c>
      <c r="S16" s="2">
        <f t="shared" si="6"/>
        <v>0</v>
      </c>
      <c r="T16" s="2"/>
    </row>
    <row r="17" spans="2:21" s="14" customFormat="1" x14ac:dyDescent="0.3">
      <c r="B17" s="60">
        <v>550027265</v>
      </c>
      <c r="C17" s="43" t="s">
        <v>56</v>
      </c>
      <c r="D17" s="13" t="s">
        <v>4</v>
      </c>
      <c r="E17" s="68">
        <f>+VLOOKUP(B17,'Recepcion de Producto'!$A$4:K91,11,0)</f>
        <v>0</v>
      </c>
      <c r="F17" s="11">
        <f>+VLOOKUP(B17,'Salida de Producto'!$A$4:U91,21,0)</f>
        <v>0</v>
      </c>
      <c r="G17" s="87" t="s">
        <v>26</v>
      </c>
      <c r="H17" s="89">
        <f t="shared" si="4"/>
        <v>0</v>
      </c>
      <c r="I17" s="12"/>
      <c r="J17" s="90">
        <f t="shared" si="0"/>
        <v>0</v>
      </c>
      <c r="K17" s="17">
        <v>0.20799999999999999</v>
      </c>
      <c r="L17" s="39">
        <f t="shared" si="7"/>
        <v>0</v>
      </c>
      <c r="M17" s="75">
        <f t="shared" si="2"/>
        <v>0</v>
      </c>
      <c r="N17" s="63"/>
      <c r="O17" s="63">
        <f>IFERROR(VLOOKUP(B17,'Inventario Profit'!$A$1:G242,7,0),0)</f>
        <v>0</v>
      </c>
      <c r="P17" s="62">
        <f t="shared" si="5"/>
        <v>0</v>
      </c>
      <c r="Q17" s="54">
        <f t="shared" si="3"/>
        <v>0</v>
      </c>
      <c r="R17" s="2">
        <f>IFERROR(VLOOKUP(B17,'Inventario Profit'!$A$1:I242,9,0),0)</f>
        <v>0</v>
      </c>
      <c r="S17" s="2">
        <f t="shared" si="6"/>
        <v>0</v>
      </c>
      <c r="T17" s="2"/>
    </row>
    <row r="18" spans="2:21" s="6" customFormat="1" x14ac:dyDescent="0.3">
      <c r="B18" s="60">
        <v>550026300</v>
      </c>
      <c r="C18" s="43" t="s">
        <v>58</v>
      </c>
      <c r="D18" s="13" t="s">
        <v>5</v>
      </c>
      <c r="E18" s="68">
        <f>+VLOOKUP(B18,'Recepcion de Producto'!$A$4:K92,11,0)</f>
        <v>0</v>
      </c>
      <c r="F18" s="11">
        <f>+VLOOKUP(B18,'Salida de Producto'!$A$4:U92,21,0)</f>
        <v>0</v>
      </c>
      <c r="G18" s="87" t="s">
        <v>25</v>
      </c>
      <c r="H18" s="89">
        <f t="shared" si="4"/>
        <v>0</v>
      </c>
      <c r="I18" s="12"/>
      <c r="J18" s="90">
        <f t="shared" si="0"/>
        <v>0</v>
      </c>
      <c r="K18" s="51">
        <v>1.9E-2</v>
      </c>
      <c r="L18" s="40">
        <f>J18*K18</f>
        <v>0</v>
      </c>
      <c r="M18" s="75">
        <f t="shared" si="2"/>
        <v>0</v>
      </c>
      <c r="N18" s="63"/>
      <c r="O18" s="63">
        <f>IFERROR(VLOOKUP(B18,'Inventario Profit'!$A$1:G243,7,0),0)</f>
        <v>0</v>
      </c>
      <c r="P18" s="62">
        <f t="shared" si="5"/>
        <v>0</v>
      </c>
      <c r="Q18" s="54">
        <f t="shared" si="3"/>
        <v>0</v>
      </c>
      <c r="R18" s="2">
        <f>IFERROR(VLOOKUP(B18,'Inventario Profit'!$A$1:I243,9,0),0)</f>
        <v>0</v>
      </c>
      <c r="S18" s="2">
        <f t="shared" si="6"/>
        <v>0</v>
      </c>
      <c r="T18" s="2"/>
      <c r="U18" s="14"/>
    </row>
    <row r="19" spans="2:21" x14ac:dyDescent="0.3">
      <c r="B19" s="60">
        <v>550047075</v>
      </c>
      <c r="C19" s="43" t="s">
        <v>60</v>
      </c>
      <c r="D19" s="13" t="s">
        <v>18</v>
      </c>
      <c r="E19" s="68">
        <f>+VLOOKUP(B19,'Recepcion de Producto'!$A$4:K93,11,0)</f>
        <v>0</v>
      </c>
      <c r="F19" s="11">
        <f>+VLOOKUP(B19,'Salida de Producto'!$A$4:U93,21,0)</f>
        <v>0</v>
      </c>
      <c r="G19" s="87" t="s">
        <v>26</v>
      </c>
      <c r="H19" s="89">
        <f t="shared" si="4"/>
        <v>0</v>
      </c>
      <c r="I19" s="12"/>
      <c r="J19" s="90">
        <f t="shared" si="0"/>
        <v>0</v>
      </c>
      <c r="K19" s="17">
        <v>0.20899999999999999</v>
      </c>
      <c r="L19" s="39">
        <f>K19*J19</f>
        <v>0</v>
      </c>
      <c r="M19" s="75">
        <f t="shared" si="2"/>
        <v>0</v>
      </c>
      <c r="N19" s="63"/>
      <c r="O19" s="63">
        <f>IFERROR(VLOOKUP(B19,'Inventario Profit'!$A$1:G244,7,0),0)</f>
        <v>0</v>
      </c>
      <c r="P19" s="62">
        <f t="shared" si="5"/>
        <v>0</v>
      </c>
      <c r="Q19" s="54">
        <f t="shared" si="3"/>
        <v>0</v>
      </c>
      <c r="R19" s="2">
        <f>IFERROR(VLOOKUP(B19,'Inventario Profit'!$A$1:I244,9,0),0)</f>
        <v>0</v>
      </c>
      <c r="S19" s="2">
        <f t="shared" si="6"/>
        <v>0</v>
      </c>
      <c r="T19" s="2"/>
      <c r="U19" s="14"/>
    </row>
    <row r="20" spans="2:21" s="6" customFormat="1" x14ac:dyDescent="0.3">
      <c r="B20" s="60">
        <v>550027631</v>
      </c>
      <c r="C20" s="43" t="s">
        <v>62</v>
      </c>
      <c r="D20" s="13" t="s">
        <v>899</v>
      </c>
      <c r="E20" s="68">
        <f>+VLOOKUP(B20,'Recepcion de Producto'!$A$4:K94,11,0)</f>
        <v>0</v>
      </c>
      <c r="F20" s="11">
        <f>+VLOOKUP(B20,'Salida de Producto'!$A$4:U94,21,0)</f>
        <v>0</v>
      </c>
      <c r="G20" s="87" t="s">
        <v>26</v>
      </c>
      <c r="H20" s="89">
        <f t="shared" si="4"/>
        <v>0</v>
      </c>
      <c r="I20" s="12"/>
      <c r="J20" s="90">
        <f t="shared" si="0"/>
        <v>0</v>
      </c>
      <c r="K20" s="17">
        <v>4.0000000000000001E-3</v>
      </c>
      <c r="L20" s="39">
        <f>K20*J20</f>
        <v>0</v>
      </c>
      <c r="M20" s="75">
        <f t="shared" si="2"/>
        <v>0</v>
      </c>
      <c r="N20" s="63"/>
      <c r="O20" s="63">
        <f>IFERROR(VLOOKUP(B20,'Inventario Profit'!$A$1:G245,7,0),0)</f>
        <v>0</v>
      </c>
      <c r="P20" s="62">
        <f t="shared" si="5"/>
        <v>0</v>
      </c>
      <c r="Q20" s="54">
        <f t="shared" si="3"/>
        <v>0</v>
      </c>
      <c r="R20" s="2">
        <f>IFERROR(VLOOKUP(B20,'Inventario Profit'!$A$1:I245,9,0),0)</f>
        <v>0</v>
      </c>
      <c r="S20" s="2">
        <f t="shared" si="6"/>
        <v>0</v>
      </c>
      <c r="T20" s="2"/>
      <c r="U20" s="14"/>
    </row>
    <row r="21" spans="2:21" s="6" customFormat="1" x14ac:dyDescent="0.3">
      <c r="B21" s="60">
        <v>550050706</v>
      </c>
      <c r="C21" s="43" t="s">
        <v>64</v>
      </c>
      <c r="D21" s="13" t="s">
        <v>17</v>
      </c>
      <c r="E21" s="68">
        <f>+VLOOKUP(B21,'Recepcion de Producto'!$A$4:K95,11,0)</f>
        <v>0</v>
      </c>
      <c r="F21" s="11">
        <f>+VLOOKUP(B21,'Salida de Producto'!$A$4:U95,21,0)</f>
        <v>0</v>
      </c>
      <c r="G21" s="87" t="s">
        <v>26</v>
      </c>
      <c r="H21" s="89">
        <f t="shared" si="4"/>
        <v>0</v>
      </c>
      <c r="I21" s="12"/>
      <c r="J21" s="90">
        <f t="shared" si="0"/>
        <v>0</v>
      </c>
      <c r="K21" s="17">
        <v>0.18</v>
      </c>
      <c r="L21" s="39">
        <f>K21*J21</f>
        <v>0</v>
      </c>
      <c r="M21" s="75">
        <f t="shared" si="2"/>
        <v>0</v>
      </c>
      <c r="N21" s="63"/>
      <c r="O21" s="63">
        <f>IFERROR(VLOOKUP(B21,'Inventario Profit'!$A$1:G246,7,0),0)</f>
        <v>0</v>
      </c>
      <c r="P21" s="62">
        <f t="shared" si="5"/>
        <v>0</v>
      </c>
      <c r="Q21" s="54">
        <f t="shared" si="3"/>
        <v>0</v>
      </c>
      <c r="R21" s="2">
        <f>IFERROR(VLOOKUP(B21,'Inventario Profit'!$A$1:I246,9,0),0)</f>
        <v>0</v>
      </c>
      <c r="S21" s="2">
        <f t="shared" si="6"/>
        <v>0</v>
      </c>
      <c r="T21" s="2"/>
      <c r="U21" s="14"/>
    </row>
    <row r="22" spans="2:21" s="14" customFormat="1" x14ac:dyDescent="0.3">
      <c r="B22" s="60">
        <v>550050708</v>
      </c>
      <c r="C22" s="43" t="s">
        <v>66</v>
      </c>
      <c r="D22" s="13" t="s">
        <v>17</v>
      </c>
      <c r="E22" s="68">
        <f>+VLOOKUP(B22,'Recepcion de Producto'!$A$4:K96,11,0)</f>
        <v>0</v>
      </c>
      <c r="F22" s="11">
        <f>+VLOOKUP(B22,'Salida de Producto'!$A$4:U96,21,0)</f>
        <v>0</v>
      </c>
      <c r="G22" s="87" t="s">
        <v>26</v>
      </c>
      <c r="H22" s="89">
        <f t="shared" si="4"/>
        <v>0</v>
      </c>
      <c r="I22" s="12"/>
      <c r="J22" s="90">
        <f t="shared" si="0"/>
        <v>0</v>
      </c>
      <c r="K22" s="17">
        <v>0.18</v>
      </c>
      <c r="L22" s="39">
        <f>K22*J22</f>
        <v>0</v>
      </c>
      <c r="M22" s="75">
        <f t="shared" si="2"/>
        <v>0</v>
      </c>
      <c r="N22" s="63"/>
      <c r="O22" s="63">
        <f>IFERROR(VLOOKUP(B22,'Inventario Profit'!$A$1:G247,7,0),0)</f>
        <v>0</v>
      </c>
      <c r="P22" s="62">
        <f t="shared" si="5"/>
        <v>0</v>
      </c>
      <c r="Q22" s="54">
        <f t="shared" si="3"/>
        <v>0</v>
      </c>
      <c r="R22" s="2">
        <f>IFERROR(VLOOKUP(B22,'Inventario Profit'!$A$1:I247,9,0),0)</f>
        <v>0</v>
      </c>
      <c r="S22" s="2">
        <f t="shared" si="6"/>
        <v>0</v>
      </c>
      <c r="T22" s="2"/>
    </row>
    <row r="23" spans="2:21" s="14" customFormat="1" x14ac:dyDescent="0.3">
      <c r="B23" s="60">
        <v>550025731</v>
      </c>
      <c r="C23" s="43" t="s">
        <v>68</v>
      </c>
      <c r="D23" s="13" t="s">
        <v>894</v>
      </c>
      <c r="E23" s="68">
        <f>+VLOOKUP(B23,'Recepcion de Producto'!$A$4:K97,11,0)</f>
        <v>0</v>
      </c>
      <c r="F23" s="11">
        <f>+VLOOKUP(B23,'Salida de Producto'!$A$4:U97,21,0)</f>
        <v>0</v>
      </c>
      <c r="G23" s="87" t="s">
        <v>26</v>
      </c>
      <c r="H23" s="89">
        <f t="shared" si="4"/>
        <v>0</v>
      </c>
      <c r="I23" s="12"/>
      <c r="J23" s="90">
        <f t="shared" si="0"/>
        <v>0</v>
      </c>
      <c r="K23" s="17">
        <v>0.20899999999999999</v>
      </c>
      <c r="L23" s="39">
        <f>K23*J23</f>
        <v>0</v>
      </c>
      <c r="M23" s="75">
        <f t="shared" si="2"/>
        <v>0</v>
      </c>
      <c r="N23" s="63"/>
      <c r="O23" s="63">
        <f>IFERROR(VLOOKUP(B23,'Inventario Profit'!$A$1:G248,7,0),0)</f>
        <v>0</v>
      </c>
      <c r="P23" s="62">
        <f t="shared" si="5"/>
        <v>0</v>
      </c>
      <c r="Q23" s="54">
        <f t="shared" si="3"/>
        <v>0</v>
      </c>
      <c r="R23" s="2">
        <f>IFERROR(VLOOKUP(B23,'Inventario Profit'!$A$1:I248,9,0),0)</f>
        <v>0</v>
      </c>
      <c r="S23" s="2">
        <f t="shared" si="6"/>
        <v>0</v>
      </c>
      <c r="T23" s="2"/>
    </row>
    <row r="24" spans="2:21" s="14" customFormat="1" x14ac:dyDescent="0.3">
      <c r="B24" s="60">
        <v>550045901</v>
      </c>
      <c r="C24" s="43" t="s">
        <v>910</v>
      </c>
      <c r="D24" s="13" t="s">
        <v>2</v>
      </c>
      <c r="E24" s="68">
        <f>+VLOOKUP(B24,'Recepcion de Producto'!$A$4:K98,11,0)</f>
        <v>0</v>
      </c>
      <c r="F24" s="11">
        <f>+VLOOKUP(B24,'Salida de Producto'!$A$4:U98,21,0)</f>
        <v>0</v>
      </c>
      <c r="G24" s="87" t="s">
        <v>26</v>
      </c>
      <c r="H24" s="89">
        <f t="shared" si="4"/>
        <v>0</v>
      </c>
      <c r="I24" s="12"/>
      <c r="J24" s="90">
        <f t="shared" si="0"/>
        <v>0</v>
      </c>
      <c r="K24" s="17"/>
      <c r="L24" s="39"/>
      <c r="M24" s="75"/>
      <c r="N24" s="63"/>
      <c r="O24" s="63">
        <f>IFERROR(VLOOKUP(B24,'Inventario Profit'!$A$1:G249,7,0),0)</f>
        <v>0</v>
      </c>
      <c r="P24" s="62">
        <f t="shared" si="5"/>
        <v>0</v>
      </c>
      <c r="Q24" s="54">
        <f t="shared" si="3"/>
        <v>0</v>
      </c>
      <c r="R24" s="2">
        <f>IFERROR(VLOOKUP(B24,'Inventario Profit'!$A$1:I249,9,0),0)</f>
        <v>0</v>
      </c>
      <c r="S24" s="2">
        <f t="shared" ref="S24" si="8">R24-J24-N24</f>
        <v>0</v>
      </c>
      <c r="T24" s="2"/>
    </row>
    <row r="25" spans="2:21" ht="15.75" customHeight="1" x14ac:dyDescent="0.3">
      <c r="B25" s="60">
        <v>43512905</v>
      </c>
      <c r="C25" s="43" t="s">
        <v>70</v>
      </c>
      <c r="D25" s="13" t="s">
        <v>3</v>
      </c>
      <c r="E25" s="68">
        <f>+VLOOKUP(B25,'Recepcion de Producto'!$A$4:K99,11,0)</f>
        <v>0</v>
      </c>
      <c r="F25" s="11">
        <f>+VLOOKUP(B25,'Salida de Producto'!$A$4:U99,21,0)</f>
        <v>0</v>
      </c>
      <c r="G25" s="87" t="s">
        <v>24</v>
      </c>
      <c r="H25" s="89">
        <f t="shared" si="4"/>
        <v>0</v>
      </c>
      <c r="I25" s="12"/>
      <c r="J25" s="90">
        <f t="shared" si="0"/>
        <v>0</v>
      </c>
      <c r="K25" s="51">
        <v>1.2E-2</v>
      </c>
      <c r="L25" s="40">
        <f>J25*K25</f>
        <v>0</v>
      </c>
      <c r="M25" s="75">
        <f t="shared" si="2"/>
        <v>0</v>
      </c>
      <c r="N25" s="63"/>
      <c r="O25" s="63">
        <f>IFERROR(VLOOKUP(B25,'Inventario Profit'!$A$1:G250,7,0),0)</f>
        <v>0</v>
      </c>
      <c r="P25" s="62">
        <f t="shared" si="5"/>
        <v>0</v>
      </c>
      <c r="Q25" s="54">
        <f t="shared" si="3"/>
        <v>0</v>
      </c>
      <c r="R25" s="2">
        <f>IFERROR(VLOOKUP(B25,'Inventario Profit'!$A$1:I250,9,0),0)</f>
        <v>0</v>
      </c>
      <c r="S25" s="2">
        <f>R25-J25-N25</f>
        <v>0</v>
      </c>
      <c r="T25" s="93"/>
      <c r="U25" s="14"/>
    </row>
    <row r="26" spans="2:21" s="14" customFormat="1" ht="14.25" customHeight="1" x14ac:dyDescent="0.3">
      <c r="B26" s="60">
        <v>550045838</v>
      </c>
      <c r="C26" s="43" t="s">
        <v>897</v>
      </c>
      <c r="D26" s="13" t="s">
        <v>1</v>
      </c>
      <c r="E26" s="68">
        <f>+VLOOKUP(B26,'Recepcion de Producto'!$A$4:K100,11,0)</f>
        <v>3360</v>
      </c>
      <c r="F26" s="11">
        <f>+VLOOKUP(B26,'Salida de Producto'!$A$4:U100,21,0)</f>
        <v>3352</v>
      </c>
      <c r="G26" s="87" t="s">
        <v>26</v>
      </c>
      <c r="H26" s="89">
        <f t="shared" si="4"/>
        <v>8</v>
      </c>
      <c r="I26" s="12"/>
      <c r="J26" s="90">
        <f t="shared" si="0"/>
        <v>0</v>
      </c>
      <c r="K26" s="51"/>
      <c r="L26" s="40"/>
      <c r="M26" s="75"/>
      <c r="N26" s="63">
        <v>8</v>
      </c>
      <c r="O26" s="63">
        <f>IFERROR(VLOOKUP(B26,'Inventario Profit'!$A$1:G251,7,0),0)</f>
        <v>8</v>
      </c>
      <c r="P26" s="62">
        <f t="shared" si="5"/>
        <v>0</v>
      </c>
      <c r="Q26" s="54">
        <f t="shared" si="3"/>
        <v>0</v>
      </c>
      <c r="R26" s="2">
        <f>IFERROR(VLOOKUP(B26,'Inventario Profit'!$A$1:I251,9,0),0)</f>
        <v>8</v>
      </c>
      <c r="S26" s="2">
        <f>R26-J26-N26</f>
        <v>0</v>
      </c>
      <c r="T26" s="93"/>
    </row>
    <row r="27" spans="2:21" s="6" customFormat="1" x14ac:dyDescent="0.3">
      <c r="B27" s="60">
        <v>43509809</v>
      </c>
      <c r="C27" s="43" t="s">
        <v>72</v>
      </c>
      <c r="D27" s="13" t="s">
        <v>894</v>
      </c>
      <c r="E27" s="68">
        <f>+VLOOKUP(B27,'Recepcion de Producto'!$A$4:K101,11,0)</f>
        <v>0</v>
      </c>
      <c r="F27" s="11">
        <f>+VLOOKUP(B27,'Salida de Producto'!$A$4:U101,21,0)</f>
        <v>0</v>
      </c>
      <c r="G27" s="87" t="s">
        <v>26</v>
      </c>
      <c r="H27" s="89">
        <f t="shared" si="4"/>
        <v>0</v>
      </c>
      <c r="I27" s="12"/>
      <c r="J27" s="90">
        <f t="shared" si="0"/>
        <v>0</v>
      </c>
      <c r="K27" s="17">
        <v>0.20899999999999999</v>
      </c>
      <c r="L27" s="39">
        <f>K27*J27</f>
        <v>0</v>
      </c>
      <c r="M27" s="75">
        <f t="shared" si="2"/>
        <v>0</v>
      </c>
      <c r="N27" s="63"/>
      <c r="O27" s="63">
        <f>IFERROR(VLOOKUP(B27,'Inventario Profit'!$A$1:G252,7,0),0)</f>
        <v>0</v>
      </c>
      <c r="P27" s="62">
        <f t="shared" si="5"/>
        <v>0</v>
      </c>
      <c r="Q27" s="54">
        <f t="shared" si="3"/>
        <v>0</v>
      </c>
      <c r="R27" s="2">
        <f>IFERROR(VLOOKUP(B27,'Inventario Profit'!$A$1:I252,9,0),0)</f>
        <v>0</v>
      </c>
      <c r="S27" s="2">
        <f t="shared" ref="S27" si="9">R27-J27-N27</f>
        <v>0</v>
      </c>
      <c r="T27" s="2"/>
      <c r="U27" s="14"/>
    </row>
    <row r="28" spans="2:21" x14ac:dyDescent="0.3">
      <c r="B28" s="60">
        <v>550053426</v>
      </c>
      <c r="C28" s="43" t="s">
        <v>74</v>
      </c>
      <c r="D28" s="13" t="s">
        <v>894</v>
      </c>
      <c r="E28" s="68">
        <f>+VLOOKUP(B28,'Recepcion de Producto'!$A$4:K102,11,0)</f>
        <v>0</v>
      </c>
      <c r="F28" s="11">
        <f>+VLOOKUP(B28,'Salida de Producto'!$A$4:U102,21,0)</f>
        <v>0</v>
      </c>
      <c r="G28" s="87" t="s">
        <v>26</v>
      </c>
      <c r="H28" s="89">
        <f t="shared" si="4"/>
        <v>0</v>
      </c>
      <c r="I28" s="12"/>
      <c r="J28" s="90">
        <f t="shared" si="0"/>
        <v>0</v>
      </c>
      <c r="K28" s="17">
        <v>0.20899999999999999</v>
      </c>
      <c r="L28" s="39">
        <f>K28*J28</f>
        <v>0</v>
      </c>
      <c r="M28" s="75">
        <f t="shared" si="2"/>
        <v>0</v>
      </c>
      <c r="N28" s="63"/>
      <c r="O28" s="63">
        <f>IFERROR(VLOOKUP(B28,'Inventario Profit'!$A$1:G253,7,0),0)</f>
        <v>0</v>
      </c>
      <c r="P28" s="62">
        <f t="shared" si="5"/>
        <v>0</v>
      </c>
      <c r="Q28" s="54">
        <f t="shared" si="3"/>
        <v>0</v>
      </c>
      <c r="R28" s="2">
        <f>IFERROR(VLOOKUP(B28,'Inventario Profit'!$A$1:I253,9,0),0)</f>
        <v>0</v>
      </c>
      <c r="S28" s="2">
        <f t="shared" si="6"/>
        <v>0</v>
      </c>
      <c r="T28" s="2"/>
      <c r="U28" s="14"/>
    </row>
    <row r="29" spans="2:21" x14ac:dyDescent="0.3">
      <c r="B29" s="60">
        <v>550045853</v>
      </c>
      <c r="C29" s="43" t="s">
        <v>76</v>
      </c>
      <c r="D29" s="13" t="s">
        <v>1</v>
      </c>
      <c r="E29" s="68">
        <f>+VLOOKUP(B29,'Recepcion de Producto'!$A$4:K103,11,0)</f>
        <v>0</v>
      </c>
      <c r="F29" s="11">
        <f>+VLOOKUP(B29,'Salida de Producto'!$A$4:U103,21,0)</f>
        <v>0</v>
      </c>
      <c r="G29" s="87" t="s">
        <v>24</v>
      </c>
      <c r="H29" s="89">
        <f t="shared" si="4"/>
        <v>0</v>
      </c>
      <c r="I29" s="12"/>
      <c r="J29" s="90">
        <f t="shared" si="0"/>
        <v>0</v>
      </c>
      <c r="K29" s="51">
        <v>1.2E-2</v>
      </c>
      <c r="L29" s="40">
        <f t="shared" ref="L29:L38" si="10">J29*K29</f>
        <v>0</v>
      </c>
      <c r="M29" s="75">
        <f t="shared" si="2"/>
        <v>0</v>
      </c>
      <c r="N29" s="63"/>
      <c r="O29" s="63">
        <f>IFERROR(VLOOKUP(B29,'Inventario Profit'!$A$1:G254,7,0),0)</f>
        <v>0</v>
      </c>
      <c r="P29" s="62">
        <f t="shared" si="5"/>
        <v>0</v>
      </c>
      <c r="Q29" s="54">
        <f t="shared" si="3"/>
        <v>0</v>
      </c>
      <c r="R29" s="2">
        <f>IFERROR(VLOOKUP(B29,'Inventario Profit'!$A$1:I254,9,0),0)</f>
        <v>0</v>
      </c>
      <c r="S29" s="2">
        <f>R29-J29-N29</f>
        <v>0</v>
      </c>
      <c r="T29" s="93"/>
      <c r="U29" s="14"/>
    </row>
    <row r="30" spans="2:21" s="6" customFormat="1" x14ac:dyDescent="0.3">
      <c r="B30" s="60">
        <v>550045885</v>
      </c>
      <c r="C30" s="43" t="s">
        <v>78</v>
      </c>
      <c r="D30" s="13" t="s">
        <v>2</v>
      </c>
      <c r="E30" s="68">
        <f>+VLOOKUP(B30,'Recepcion de Producto'!$A$4:K104,11,0)</f>
        <v>0</v>
      </c>
      <c r="F30" s="11">
        <f>+VLOOKUP(B30,'Salida de Producto'!$A$4:U104,21,0)</f>
        <v>0</v>
      </c>
      <c r="G30" s="87" t="s">
        <v>24</v>
      </c>
      <c r="H30" s="89">
        <f t="shared" si="4"/>
        <v>0</v>
      </c>
      <c r="I30" s="12"/>
      <c r="J30" s="90">
        <f t="shared" si="0"/>
        <v>0</v>
      </c>
      <c r="K30" s="51">
        <v>6.0000000000000001E-3</v>
      </c>
      <c r="L30" s="40">
        <f t="shared" si="10"/>
        <v>0</v>
      </c>
      <c r="M30" s="75">
        <f t="shared" si="2"/>
        <v>0</v>
      </c>
      <c r="N30" s="63"/>
      <c r="O30" s="63">
        <f>IFERROR(VLOOKUP(B30,'Inventario Profit'!$A$1:G255,7,0),0)</f>
        <v>0</v>
      </c>
      <c r="P30" s="62">
        <f t="shared" si="5"/>
        <v>0</v>
      </c>
      <c r="Q30" s="54">
        <f t="shared" si="3"/>
        <v>0</v>
      </c>
      <c r="R30" s="2">
        <f>IFERROR(VLOOKUP(B30,'Inventario Profit'!$A$1:I255,9,0),0)</f>
        <v>0</v>
      </c>
      <c r="S30" s="2">
        <f>R30-J30-N30</f>
        <v>0</v>
      </c>
      <c r="T30" s="92"/>
      <c r="U30" s="14"/>
    </row>
    <row r="31" spans="2:21" x14ac:dyDescent="0.3">
      <c r="B31" s="60">
        <v>550057749</v>
      </c>
      <c r="C31" s="43" t="s">
        <v>80</v>
      </c>
      <c r="D31" s="13" t="s">
        <v>2</v>
      </c>
      <c r="E31" s="68">
        <f>+VLOOKUP(B31,'Recepcion de Producto'!$A$4:K105,11,0)</f>
        <v>6650</v>
      </c>
      <c r="F31" s="11">
        <f>+VLOOKUP(B31,'Salida de Producto'!$A$4:U105,21,0)</f>
        <v>6650</v>
      </c>
      <c r="G31" s="87" t="s">
        <v>25</v>
      </c>
      <c r="H31" s="89">
        <f t="shared" si="4"/>
        <v>0</v>
      </c>
      <c r="I31" s="12"/>
      <c r="J31" s="90">
        <f t="shared" si="0"/>
        <v>0</v>
      </c>
      <c r="K31" s="51">
        <f>0.006</f>
        <v>6.0000000000000001E-3</v>
      </c>
      <c r="L31" s="40">
        <f t="shared" si="10"/>
        <v>0</v>
      </c>
      <c r="M31" s="75">
        <f t="shared" si="2"/>
        <v>0</v>
      </c>
      <c r="N31" s="63"/>
      <c r="O31" s="63">
        <f>IFERROR(VLOOKUP(B31,'Inventario Profit'!$A$1:G256,7,0),0)</f>
        <v>0</v>
      </c>
      <c r="P31" s="62">
        <f t="shared" si="5"/>
        <v>0</v>
      </c>
      <c r="Q31" s="54">
        <f t="shared" si="3"/>
        <v>0</v>
      </c>
      <c r="R31" s="2">
        <f>IFERROR(VLOOKUP(B31,'Inventario Profit'!$A$1:I256,9,0),0)</f>
        <v>0</v>
      </c>
      <c r="S31" s="2">
        <f t="shared" si="6"/>
        <v>0</v>
      </c>
      <c r="T31" s="93"/>
      <c r="U31" s="14"/>
    </row>
    <row r="32" spans="2:21" x14ac:dyDescent="0.3">
      <c r="B32" s="60">
        <v>550052038</v>
      </c>
      <c r="C32" s="43" t="s">
        <v>82</v>
      </c>
      <c r="D32" s="13" t="s">
        <v>2</v>
      </c>
      <c r="E32" s="68">
        <f>+VLOOKUP(B32,'Recepcion de Producto'!$A$4:K106,11,0)</f>
        <v>0</v>
      </c>
      <c r="F32" s="11">
        <f>+VLOOKUP(B32,'Salida de Producto'!$A$4:U106,21,0)</f>
        <v>0</v>
      </c>
      <c r="G32" s="87" t="s">
        <v>24</v>
      </c>
      <c r="H32" s="89">
        <f t="shared" si="4"/>
        <v>0</v>
      </c>
      <c r="I32" s="12"/>
      <c r="J32" s="90">
        <f t="shared" si="0"/>
        <v>0</v>
      </c>
      <c r="K32" s="51">
        <v>6.0000000000000001E-3</v>
      </c>
      <c r="L32" s="40">
        <f t="shared" si="10"/>
        <v>0</v>
      </c>
      <c r="M32" s="75">
        <f t="shared" si="2"/>
        <v>0</v>
      </c>
      <c r="N32" s="63"/>
      <c r="O32" s="63">
        <f>IFERROR(VLOOKUP(B32,'Inventario Profit'!$A$1:G257,7,0),0)</f>
        <v>0</v>
      </c>
      <c r="P32" s="62">
        <f t="shared" si="5"/>
        <v>0</v>
      </c>
      <c r="Q32" s="54">
        <f t="shared" si="3"/>
        <v>0</v>
      </c>
      <c r="R32" s="2">
        <f>IFERROR(VLOOKUP(B32,'Inventario Profit'!$A$1:I257,9,0),0)</f>
        <v>0</v>
      </c>
      <c r="S32" s="2">
        <f t="shared" si="6"/>
        <v>0</v>
      </c>
      <c r="T32" s="2"/>
      <c r="U32" s="14"/>
    </row>
    <row r="33" spans="2:21" s="14" customFormat="1" x14ac:dyDescent="0.3">
      <c r="B33" s="60">
        <v>550045905</v>
      </c>
      <c r="C33" s="43" t="s">
        <v>84</v>
      </c>
      <c r="D33" s="13" t="s">
        <v>2</v>
      </c>
      <c r="E33" s="68">
        <f>+VLOOKUP(B33,'Recepcion de Producto'!$A$4:K107,11,0)</f>
        <v>0</v>
      </c>
      <c r="F33" s="11">
        <f>+VLOOKUP(B33,'Salida de Producto'!$A$4:U107,21,0)</f>
        <v>0</v>
      </c>
      <c r="G33" s="87" t="s">
        <v>25</v>
      </c>
      <c r="H33" s="89">
        <f t="shared" si="4"/>
        <v>0</v>
      </c>
      <c r="I33" s="12"/>
      <c r="J33" s="90">
        <f t="shared" si="0"/>
        <v>0</v>
      </c>
      <c r="K33" s="51">
        <v>6.0000000000000001E-3</v>
      </c>
      <c r="L33" s="40">
        <f t="shared" si="10"/>
        <v>0</v>
      </c>
      <c r="M33" s="75">
        <f t="shared" si="2"/>
        <v>0</v>
      </c>
      <c r="N33" s="63"/>
      <c r="O33" s="63">
        <f>IFERROR(VLOOKUP(B33,'Inventario Profit'!$A$1:G258,7,0),0)</f>
        <v>0</v>
      </c>
      <c r="P33" s="62">
        <f t="shared" si="5"/>
        <v>0</v>
      </c>
      <c r="Q33" s="54">
        <f t="shared" si="3"/>
        <v>0</v>
      </c>
      <c r="R33" s="2">
        <f>IFERROR(VLOOKUP(B33,'Inventario Profit'!$A$1:I258,9,0),0)</f>
        <v>0</v>
      </c>
      <c r="S33" s="2">
        <f t="shared" si="6"/>
        <v>0</v>
      </c>
      <c r="T33" s="2"/>
    </row>
    <row r="34" spans="2:21" x14ac:dyDescent="0.3">
      <c r="B34" s="60">
        <v>550057767</v>
      </c>
      <c r="C34" s="43" t="s">
        <v>86</v>
      </c>
      <c r="D34" s="13" t="s">
        <v>2</v>
      </c>
      <c r="E34" s="68">
        <f>+VLOOKUP(B34,'Recepcion de Producto'!$A$4:K108,11,0)</f>
        <v>3325</v>
      </c>
      <c r="F34" s="11">
        <f>+VLOOKUP(B34,'Salida de Producto'!$A$4:U108,21,0)</f>
        <v>3325</v>
      </c>
      <c r="G34" s="87" t="s">
        <v>25</v>
      </c>
      <c r="H34" s="89">
        <f t="shared" si="4"/>
        <v>0</v>
      </c>
      <c r="I34" s="12"/>
      <c r="J34" s="90">
        <f t="shared" si="0"/>
        <v>0</v>
      </c>
      <c r="K34" s="51">
        <v>6.0000000000000001E-3</v>
      </c>
      <c r="L34" s="40">
        <f t="shared" si="10"/>
        <v>0</v>
      </c>
      <c r="M34" s="75">
        <f t="shared" si="2"/>
        <v>0</v>
      </c>
      <c r="N34" s="63"/>
      <c r="O34" s="63">
        <f>IFERROR(VLOOKUP(B34,'Inventario Profit'!$A$1:G259,7,0),0)</f>
        <v>0</v>
      </c>
      <c r="P34" s="62">
        <f>+O34-N34</f>
        <v>0</v>
      </c>
      <c r="Q34" s="54">
        <f t="shared" si="3"/>
        <v>0</v>
      </c>
      <c r="R34" s="2">
        <f>IFERROR(VLOOKUP(B34,'Inventario Profit'!$A$1:I259,9,0),0)</f>
        <v>0</v>
      </c>
      <c r="S34" s="2">
        <f>R34-J34-N34</f>
        <v>0</v>
      </c>
      <c r="T34" s="2"/>
      <c r="U34" s="14"/>
    </row>
    <row r="35" spans="2:21" s="6" customFormat="1" x14ac:dyDescent="0.3">
      <c r="B35" s="60">
        <v>41051905</v>
      </c>
      <c r="C35" s="43" t="s">
        <v>88</v>
      </c>
      <c r="D35" s="13" t="s">
        <v>3</v>
      </c>
      <c r="E35" s="68">
        <f>+VLOOKUP(B35,'Recepcion de Producto'!$A$4:K109,11,0)</f>
        <v>0</v>
      </c>
      <c r="F35" s="11">
        <f>+VLOOKUP(B35,'Salida de Producto'!$A$4:U109,21,0)</f>
        <v>0</v>
      </c>
      <c r="G35" s="87" t="s">
        <v>25</v>
      </c>
      <c r="H35" s="89">
        <f t="shared" si="4"/>
        <v>0</v>
      </c>
      <c r="I35" s="12"/>
      <c r="J35" s="90">
        <f t="shared" si="0"/>
        <v>0</v>
      </c>
      <c r="K35" s="51">
        <v>1.2E-2</v>
      </c>
      <c r="L35" s="40">
        <f t="shared" si="10"/>
        <v>0</v>
      </c>
      <c r="M35" s="75">
        <f t="shared" si="2"/>
        <v>0</v>
      </c>
      <c r="N35" s="63"/>
      <c r="O35" s="63">
        <f>IFERROR(VLOOKUP(B35,'Inventario Profit'!$A$1:G260,7,0),0)</f>
        <v>0</v>
      </c>
      <c r="P35" s="62">
        <f t="shared" si="5"/>
        <v>0</v>
      </c>
      <c r="Q35" s="54">
        <f t="shared" si="3"/>
        <v>0</v>
      </c>
      <c r="R35" s="2">
        <f>IFERROR(VLOOKUP(B35,'Inventario Profit'!$A$1:I260,9,0),0)</f>
        <v>0</v>
      </c>
      <c r="S35" s="2">
        <f t="shared" si="6"/>
        <v>0</v>
      </c>
      <c r="T35" s="2"/>
      <c r="U35" s="14"/>
    </row>
    <row r="36" spans="2:21" s="14" customFormat="1" ht="15.75" customHeight="1" x14ac:dyDescent="0.3">
      <c r="B36" s="60">
        <v>40926905</v>
      </c>
      <c r="C36" s="43" t="s">
        <v>90</v>
      </c>
      <c r="D36" s="13" t="s">
        <v>3</v>
      </c>
      <c r="E36" s="68">
        <f>+VLOOKUP(B36,'Recepcion de Producto'!$A$4:K110,11,0)</f>
        <v>0</v>
      </c>
      <c r="F36" s="11">
        <f>+VLOOKUP(B36,'Salida de Producto'!$A$4:U110,21,0)</f>
        <v>0</v>
      </c>
      <c r="G36" s="87" t="s">
        <v>25</v>
      </c>
      <c r="H36" s="89">
        <f t="shared" si="4"/>
        <v>0</v>
      </c>
      <c r="I36" s="12"/>
      <c r="J36" s="90">
        <f t="shared" ref="J36:J68" si="11">SUM(I36:I36)</f>
        <v>0</v>
      </c>
      <c r="K36" s="51">
        <v>1.2E-2</v>
      </c>
      <c r="L36" s="40">
        <f t="shared" si="10"/>
        <v>0</v>
      </c>
      <c r="M36" s="75">
        <f t="shared" si="2"/>
        <v>0</v>
      </c>
      <c r="N36" s="63"/>
      <c r="O36" s="63">
        <f>IFERROR(VLOOKUP(B36,'Inventario Profit'!$A$1:G261,7,0),0)</f>
        <v>0</v>
      </c>
      <c r="P36" s="62">
        <f t="shared" si="5"/>
        <v>0</v>
      </c>
      <c r="Q36" s="54">
        <f t="shared" ref="Q36:Q78" si="12">J36+N36-H36</f>
        <v>0</v>
      </c>
      <c r="R36" s="2">
        <f>IFERROR(VLOOKUP(B36,'Inventario Profit'!$A$1:I261,9,0),0)</f>
        <v>0</v>
      </c>
      <c r="S36" s="2">
        <f t="shared" si="6"/>
        <v>0</v>
      </c>
      <c r="T36" s="94"/>
    </row>
    <row r="37" spans="2:21" s="14" customFormat="1" x14ac:dyDescent="0.3">
      <c r="B37" s="60">
        <v>550049041</v>
      </c>
      <c r="C37" s="43" t="s">
        <v>92</v>
      </c>
      <c r="D37" s="13" t="s">
        <v>1</v>
      </c>
      <c r="E37" s="68">
        <f>+VLOOKUP(B37,'Recepcion de Producto'!$A$4:K111,11,0)</f>
        <v>0</v>
      </c>
      <c r="F37" s="11">
        <f>+VLOOKUP(B37,'Salida de Producto'!$A$4:U111,21,0)</f>
        <v>0</v>
      </c>
      <c r="G37" s="87" t="s">
        <v>25</v>
      </c>
      <c r="H37" s="89">
        <f t="shared" si="4"/>
        <v>0</v>
      </c>
      <c r="I37" s="12"/>
      <c r="J37" s="90">
        <f t="shared" si="11"/>
        <v>0</v>
      </c>
      <c r="K37" s="51">
        <v>1.2E-2</v>
      </c>
      <c r="L37" s="40">
        <f t="shared" si="10"/>
        <v>0</v>
      </c>
      <c r="M37" s="75">
        <f t="shared" si="2"/>
        <v>0</v>
      </c>
      <c r="N37" s="63"/>
      <c r="O37" s="63">
        <f>IFERROR(VLOOKUP(B37,'Inventario Profit'!$A$1:G262,7,0),0)</f>
        <v>0</v>
      </c>
      <c r="P37" s="62">
        <f t="shared" si="5"/>
        <v>0</v>
      </c>
      <c r="Q37" s="54">
        <f t="shared" si="12"/>
        <v>0</v>
      </c>
      <c r="R37" s="2">
        <f>IFERROR(VLOOKUP(B37,'Inventario Profit'!$A$1:I262,9,0),0)</f>
        <v>0</v>
      </c>
      <c r="S37" s="2">
        <f>R37-J37-N37</f>
        <v>0</v>
      </c>
      <c r="T37" s="2"/>
    </row>
    <row r="38" spans="2:21" s="14" customFormat="1" ht="14.25" customHeight="1" x14ac:dyDescent="0.3">
      <c r="B38" s="60">
        <v>550050102</v>
      </c>
      <c r="C38" s="43" t="s">
        <v>94</v>
      </c>
      <c r="D38" s="13" t="s">
        <v>2</v>
      </c>
      <c r="E38" s="68">
        <f>+VLOOKUP(B38,'Recepcion de Producto'!$A$4:K112,11,0)</f>
        <v>0</v>
      </c>
      <c r="F38" s="11">
        <f>+VLOOKUP(B38,'Salida de Producto'!$A$4:U112,21,0)</f>
        <v>0</v>
      </c>
      <c r="G38" s="87" t="s">
        <v>25</v>
      </c>
      <c r="H38" s="89">
        <f t="shared" si="4"/>
        <v>0</v>
      </c>
      <c r="I38" s="12"/>
      <c r="J38" s="90">
        <f t="shared" si="11"/>
        <v>0</v>
      </c>
      <c r="K38" s="51">
        <v>6.0000000000000001E-3</v>
      </c>
      <c r="L38" s="40">
        <f t="shared" si="10"/>
        <v>0</v>
      </c>
      <c r="M38" s="75">
        <f t="shared" ref="M38:M70" si="13">L38/1.124</f>
        <v>0</v>
      </c>
      <c r="N38" s="63"/>
      <c r="O38" s="63">
        <f>IFERROR(VLOOKUP(B38,'Inventario Profit'!$A$1:G263,7,0),0)</f>
        <v>0</v>
      </c>
      <c r="P38" s="62">
        <f t="shared" si="5"/>
        <v>0</v>
      </c>
      <c r="Q38" s="54">
        <f t="shared" si="12"/>
        <v>0</v>
      </c>
      <c r="R38" s="2">
        <f>IFERROR(VLOOKUP(B38,'Inventario Profit'!$A$1:I263,9,0),0)</f>
        <v>0</v>
      </c>
      <c r="S38" s="2">
        <f t="shared" si="6"/>
        <v>0</v>
      </c>
      <c r="T38" s="2"/>
    </row>
    <row r="39" spans="2:21" s="14" customFormat="1" x14ac:dyDescent="0.3">
      <c r="B39" s="60">
        <v>550057742</v>
      </c>
      <c r="C39" s="43" t="s">
        <v>96</v>
      </c>
      <c r="D39" s="13" t="s">
        <v>2</v>
      </c>
      <c r="E39" s="68">
        <f>+VLOOKUP(B39,'Recepcion de Producto'!$A$4:K113,11,0)</f>
        <v>0</v>
      </c>
      <c r="F39" s="11">
        <f>+VLOOKUP(B39,'Salida de Producto'!$A$4:U113,21,0)</f>
        <v>0</v>
      </c>
      <c r="G39" s="87" t="s">
        <v>25</v>
      </c>
      <c r="H39" s="89">
        <f t="shared" si="4"/>
        <v>0</v>
      </c>
      <c r="I39" s="12"/>
      <c r="J39" s="90">
        <f t="shared" si="11"/>
        <v>0</v>
      </c>
      <c r="K39" s="51">
        <v>6.0000000000000001E-3</v>
      </c>
      <c r="L39" s="40">
        <f>J39*K39</f>
        <v>0</v>
      </c>
      <c r="M39" s="75">
        <f t="shared" si="13"/>
        <v>0</v>
      </c>
      <c r="N39" s="63"/>
      <c r="O39" s="63">
        <f>IFERROR(VLOOKUP(B39,'Inventario Profit'!$A$1:G264,7,0),0)</f>
        <v>0</v>
      </c>
      <c r="P39" s="62">
        <f t="shared" si="5"/>
        <v>0</v>
      </c>
      <c r="Q39" s="54">
        <f t="shared" si="12"/>
        <v>0</v>
      </c>
      <c r="R39" s="2">
        <f>IFERROR(VLOOKUP(B39,'Inventario Profit'!$A$1:I264,9,0),0)</f>
        <v>0</v>
      </c>
      <c r="S39" s="2">
        <f t="shared" si="6"/>
        <v>0</v>
      </c>
      <c r="T39" s="2"/>
    </row>
    <row r="40" spans="2:21" s="14" customFormat="1" x14ac:dyDescent="0.3">
      <c r="B40" s="60">
        <v>550026710</v>
      </c>
      <c r="C40" s="43" t="s">
        <v>98</v>
      </c>
      <c r="D40" s="13" t="s">
        <v>18</v>
      </c>
      <c r="E40" s="68">
        <f>+VLOOKUP(B40,'Recepcion de Producto'!$A$4:K114,11,0)</f>
        <v>0</v>
      </c>
      <c r="F40" s="11">
        <f>+VLOOKUP(B40,'Salida de Producto'!$A$4:U114,21,0)</f>
        <v>0</v>
      </c>
      <c r="G40" s="87" t="s">
        <v>26</v>
      </c>
      <c r="H40" s="89">
        <f t="shared" si="4"/>
        <v>0</v>
      </c>
      <c r="I40" s="12"/>
      <c r="J40" s="90">
        <f t="shared" si="11"/>
        <v>0</v>
      </c>
      <c r="K40" s="17">
        <v>0.20799999999999999</v>
      </c>
      <c r="L40" s="39">
        <f>K40*J40</f>
        <v>0</v>
      </c>
      <c r="M40" s="75">
        <f t="shared" si="13"/>
        <v>0</v>
      </c>
      <c r="N40" s="63"/>
      <c r="O40" s="63">
        <f>IFERROR(VLOOKUP(B40,'Inventario Profit'!$A$1:G265,7,0),0)</f>
        <v>0</v>
      </c>
      <c r="P40" s="62">
        <f t="shared" si="5"/>
        <v>0</v>
      </c>
      <c r="Q40" s="54">
        <f t="shared" si="12"/>
        <v>0</v>
      </c>
      <c r="R40" s="2">
        <f>IFERROR(VLOOKUP(B40,'Inventario Profit'!$A$1:I265,9,0),0)</f>
        <v>0</v>
      </c>
      <c r="S40" s="2">
        <f t="shared" si="6"/>
        <v>0</v>
      </c>
      <c r="T40" s="2"/>
    </row>
    <row r="41" spans="2:21" s="14" customFormat="1" x14ac:dyDescent="0.3">
      <c r="B41" s="60">
        <v>550026700</v>
      </c>
      <c r="C41" s="43" t="s">
        <v>100</v>
      </c>
      <c r="D41" s="13" t="s">
        <v>5</v>
      </c>
      <c r="E41" s="68">
        <f>+VLOOKUP(B41,'Recepcion de Producto'!$A$4:K115,11,0)</f>
        <v>0</v>
      </c>
      <c r="F41" s="11">
        <f>+VLOOKUP(B41,'Salida de Producto'!$A$4:U115,21,0)</f>
        <v>0</v>
      </c>
      <c r="G41" s="87" t="s">
        <v>26</v>
      </c>
      <c r="H41" s="89">
        <f t="shared" si="4"/>
        <v>0</v>
      </c>
      <c r="I41" s="12"/>
      <c r="J41" s="90">
        <f t="shared" si="11"/>
        <v>0</v>
      </c>
      <c r="K41" s="17">
        <v>1.9E-2</v>
      </c>
      <c r="L41" s="39">
        <f>K41*J41</f>
        <v>0</v>
      </c>
      <c r="M41" s="75">
        <f t="shared" si="13"/>
        <v>0</v>
      </c>
      <c r="N41" s="63"/>
      <c r="O41" s="63">
        <f>IFERROR(VLOOKUP(B41,'Inventario Profit'!$A$1:G266,7,0),0)</f>
        <v>0</v>
      </c>
      <c r="P41" s="62">
        <f t="shared" si="5"/>
        <v>0</v>
      </c>
      <c r="Q41" s="54">
        <f t="shared" si="12"/>
        <v>0</v>
      </c>
      <c r="R41" s="2">
        <f>IFERROR(VLOOKUP(B41,'Inventario Profit'!$A$1:I266,9,0),0)</f>
        <v>0</v>
      </c>
      <c r="S41" s="2">
        <f t="shared" si="6"/>
        <v>0</v>
      </c>
      <c r="T41" s="2"/>
    </row>
    <row r="42" spans="2:21" s="14" customFormat="1" x14ac:dyDescent="0.3">
      <c r="B42" s="60">
        <v>550026699</v>
      </c>
      <c r="C42" s="43" t="s">
        <v>102</v>
      </c>
      <c r="D42" s="13" t="s">
        <v>18</v>
      </c>
      <c r="E42" s="68">
        <f>+VLOOKUP(B42,'Recepcion de Producto'!$A$4:K116,11,0)</f>
        <v>0</v>
      </c>
      <c r="F42" s="11">
        <f>+VLOOKUP(B42,'Salida de Producto'!$A$4:U116,21,0)</f>
        <v>0</v>
      </c>
      <c r="G42" s="87" t="s">
        <v>25</v>
      </c>
      <c r="H42" s="89">
        <f t="shared" si="4"/>
        <v>0</v>
      </c>
      <c r="I42" s="12"/>
      <c r="J42" s="90">
        <f t="shared" si="11"/>
        <v>0</v>
      </c>
      <c r="K42" s="51">
        <v>0.20799999999999999</v>
      </c>
      <c r="L42" s="40">
        <f>J42*K42</f>
        <v>0</v>
      </c>
      <c r="M42" s="75">
        <f t="shared" si="13"/>
        <v>0</v>
      </c>
      <c r="N42" s="63"/>
      <c r="O42" s="63">
        <f>IFERROR(VLOOKUP(B42,'Inventario Profit'!$A$1:G267,7,0),0)</f>
        <v>0</v>
      </c>
      <c r="P42" s="62">
        <f t="shared" si="5"/>
        <v>0</v>
      </c>
      <c r="Q42" s="54">
        <f t="shared" si="12"/>
        <v>0</v>
      </c>
      <c r="R42" s="2">
        <f>IFERROR(VLOOKUP(B42,'Inventario Profit'!$A$1:I267,9,0),0)</f>
        <v>0</v>
      </c>
      <c r="S42" s="2">
        <f t="shared" si="6"/>
        <v>0</v>
      </c>
      <c r="T42" s="2"/>
    </row>
    <row r="43" spans="2:21" s="6" customFormat="1" x14ac:dyDescent="0.3">
      <c r="B43" s="60">
        <v>550026697</v>
      </c>
      <c r="C43" s="43" t="s">
        <v>104</v>
      </c>
      <c r="D43" s="13" t="s">
        <v>5</v>
      </c>
      <c r="E43" s="68">
        <f>+VLOOKUP(B43,'Recepcion de Producto'!$A$4:K117,11,0)</f>
        <v>0</v>
      </c>
      <c r="F43" s="11">
        <f>+VLOOKUP(B43,'Salida de Producto'!$A$4:U117,21,0)</f>
        <v>0</v>
      </c>
      <c r="G43" s="87" t="s">
        <v>25</v>
      </c>
      <c r="H43" s="89">
        <f t="shared" si="4"/>
        <v>0</v>
      </c>
      <c r="I43" s="12"/>
      <c r="J43" s="90">
        <f t="shared" si="11"/>
        <v>0</v>
      </c>
      <c r="K43" s="51">
        <v>1.9E-2</v>
      </c>
      <c r="L43" s="40">
        <f>J43*K43</f>
        <v>0</v>
      </c>
      <c r="M43" s="75">
        <f t="shared" si="13"/>
        <v>0</v>
      </c>
      <c r="N43" s="63"/>
      <c r="O43" s="63">
        <f>IFERROR(VLOOKUP(B43,'Inventario Profit'!$A$1:G268,7,0),0)</f>
        <v>0</v>
      </c>
      <c r="P43" s="62">
        <f t="shared" si="5"/>
        <v>0</v>
      </c>
      <c r="Q43" s="54">
        <f t="shared" si="12"/>
        <v>0</v>
      </c>
      <c r="R43" s="2">
        <f>IFERROR(VLOOKUP(B43,'Inventario Profit'!$A$1:I268,9,0),0)</f>
        <v>0</v>
      </c>
      <c r="S43" s="2">
        <f t="shared" si="6"/>
        <v>0</v>
      </c>
      <c r="T43" s="2"/>
      <c r="U43" s="14"/>
    </row>
    <row r="44" spans="2:21" s="14" customFormat="1" x14ac:dyDescent="0.3">
      <c r="B44" s="60">
        <v>550022488</v>
      </c>
      <c r="C44" s="43" t="s">
        <v>106</v>
      </c>
      <c r="D44" s="13" t="s">
        <v>18</v>
      </c>
      <c r="E44" s="68">
        <f>+VLOOKUP(B44,'Recepcion de Producto'!$A$4:K118,11,0)</f>
        <v>0</v>
      </c>
      <c r="F44" s="11">
        <f>+VLOOKUP(B44,'Salida de Producto'!$A$4:U118,21,0)</f>
        <v>0</v>
      </c>
      <c r="G44" s="87" t="s">
        <v>26</v>
      </c>
      <c r="H44" s="89">
        <f t="shared" si="4"/>
        <v>0</v>
      </c>
      <c r="I44" s="12"/>
      <c r="J44" s="90">
        <f t="shared" si="11"/>
        <v>0</v>
      </c>
      <c r="K44" s="51">
        <v>0.20799999999999999</v>
      </c>
      <c r="L44" s="40">
        <f>K44*J44</f>
        <v>0</v>
      </c>
      <c r="M44" s="75">
        <f t="shared" si="13"/>
        <v>0</v>
      </c>
      <c r="N44" s="63"/>
      <c r="O44" s="63">
        <f>IFERROR(VLOOKUP(B44,'Inventario Profit'!$A$1:G269,7,0),0)</f>
        <v>0</v>
      </c>
      <c r="P44" s="62">
        <f t="shared" si="5"/>
        <v>0</v>
      </c>
      <c r="Q44" s="54">
        <f t="shared" si="12"/>
        <v>0</v>
      </c>
      <c r="R44" s="2">
        <f>IFERROR(VLOOKUP(B44,'Inventario Profit'!$A$1:I269,9,0),0)</f>
        <v>0</v>
      </c>
      <c r="S44" s="2">
        <f t="shared" si="6"/>
        <v>0</v>
      </c>
      <c r="T44" s="2"/>
    </row>
    <row r="45" spans="2:21" x14ac:dyDescent="0.3">
      <c r="B45" s="60">
        <v>550036571</v>
      </c>
      <c r="C45" s="43" t="s">
        <v>108</v>
      </c>
      <c r="D45" s="13" t="s">
        <v>18</v>
      </c>
      <c r="E45" s="68">
        <f>+VLOOKUP(B45,'Recepcion de Producto'!$A$4:K119,11,0)</f>
        <v>0</v>
      </c>
      <c r="F45" s="11">
        <f>+VLOOKUP(B45,'Salida de Producto'!$A$4:U119,21,0)</f>
        <v>0</v>
      </c>
      <c r="G45" s="87" t="s">
        <v>26</v>
      </c>
      <c r="H45" s="89">
        <f t="shared" si="4"/>
        <v>0</v>
      </c>
      <c r="I45" s="12"/>
      <c r="J45" s="90">
        <f t="shared" si="11"/>
        <v>0</v>
      </c>
      <c r="K45" s="17">
        <v>0.20799999999999999</v>
      </c>
      <c r="L45" s="39">
        <f>K45*J45</f>
        <v>0</v>
      </c>
      <c r="M45" s="75">
        <f t="shared" si="13"/>
        <v>0</v>
      </c>
      <c r="N45" s="63"/>
      <c r="O45" s="63">
        <f>IFERROR(VLOOKUP(B45,'Inventario Profit'!$A$1:G270,7,0),0)</f>
        <v>0</v>
      </c>
      <c r="P45" s="62">
        <f t="shared" si="5"/>
        <v>0</v>
      </c>
      <c r="Q45" s="54">
        <f t="shared" si="12"/>
        <v>0</v>
      </c>
      <c r="R45" s="2">
        <f>IFERROR(VLOOKUP(B45,'Inventario Profit'!$A$1:I270,9,0),0)</f>
        <v>0</v>
      </c>
      <c r="S45" s="2">
        <f t="shared" si="6"/>
        <v>0</v>
      </c>
      <c r="T45" s="2"/>
      <c r="U45" s="14"/>
    </row>
    <row r="46" spans="2:21" s="6" customFormat="1" ht="15.75" customHeight="1" x14ac:dyDescent="0.3">
      <c r="B46" s="60">
        <v>550036183</v>
      </c>
      <c r="C46" s="43" t="s">
        <v>110</v>
      </c>
      <c r="D46" s="13" t="s">
        <v>18</v>
      </c>
      <c r="E46" s="68">
        <f>+VLOOKUP(B46,'Recepcion de Producto'!$A$4:K120,11,0)</f>
        <v>0</v>
      </c>
      <c r="F46" s="11">
        <f>+VLOOKUP(B46,'Salida de Producto'!$A$4:U120,21,0)</f>
        <v>0</v>
      </c>
      <c r="G46" s="87" t="s">
        <v>26</v>
      </c>
      <c r="H46" s="89">
        <f t="shared" si="4"/>
        <v>0</v>
      </c>
      <c r="I46" s="12"/>
      <c r="J46" s="90">
        <f t="shared" si="11"/>
        <v>0</v>
      </c>
      <c r="K46" s="17">
        <v>0.20799999999999999</v>
      </c>
      <c r="L46" s="39">
        <f>K46*J46</f>
        <v>0</v>
      </c>
      <c r="M46" s="75">
        <f t="shared" si="13"/>
        <v>0</v>
      </c>
      <c r="N46" s="63"/>
      <c r="O46" s="63">
        <f>IFERROR(VLOOKUP(B46,'Inventario Profit'!$A$1:G271,7,0),0)</f>
        <v>0</v>
      </c>
      <c r="P46" s="62">
        <f t="shared" si="5"/>
        <v>0</v>
      </c>
      <c r="Q46" s="54">
        <f t="shared" si="12"/>
        <v>0</v>
      </c>
      <c r="R46" s="2">
        <f>IFERROR(VLOOKUP(B46,'Inventario Profit'!$A$1:I271,9,0),0)</f>
        <v>0</v>
      </c>
      <c r="S46" s="2">
        <f t="shared" si="6"/>
        <v>0</v>
      </c>
      <c r="T46" s="2"/>
      <c r="U46" s="14"/>
    </row>
    <row r="47" spans="2:21" s="14" customFormat="1" ht="15.75" customHeight="1" x14ac:dyDescent="0.3">
      <c r="B47" s="60">
        <v>550049771</v>
      </c>
      <c r="C47" s="43" t="s">
        <v>112</v>
      </c>
      <c r="D47" s="13" t="s">
        <v>2</v>
      </c>
      <c r="E47" s="68">
        <f>+VLOOKUP(B47,'Recepcion de Producto'!$A$4:K121,11,0)</f>
        <v>0</v>
      </c>
      <c r="F47" s="11">
        <f>+VLOOKUP(B47,'Salida de Producto'!$A$4:U121,21,0)</f>
        <v>0</v>
      </c>
      <c r="G47" s="87" t="s">
        <v>25</v>
      </c>
      <c r="H47" s="89">
        <f t="shared" si="4"/>
        <v>0</v>
      </c>
      <c r="I47" s="12"/>
      <c r="J47" s="90">
        <f t="shared" si="11"/>
        <v>0</v>
      </c>
      <c r="K47" s="51">
        <v>6.0000000000000001E-3</v>
      </c>
      <c r="L47" s="40">
        <f>J47*K47</f>
        <v>0</v>
      </c>
      <c r="M47" s="75">
        <f t="shared" si="13"/>
        <v>0</v>
      </c>
      <c r="N47" s="63"/>
      <c r="O47" s="63">
        <f>IFERROR(VLOOKUP(B47,'Inventario Profit'!$A$1:G272,7,0),0)</f>
        <v>0</v>
      </c>
      <c r="P47" s="62">
        <f t="shared" si="5"/>
        <v>0</v>
      </c>
      <c r="Q47" s="54">
        <f t="shared" si="12"/>
        <v>0</v>
      </c>
      <c r="R47" s="2">
        <f>IFERROR(VLOOKUP(B47,'Inventario Profit'!$A$1:I272,9,0),0)</f>
        <v>0</v>
      </c>
      <c r="S47" s="2">
        <f t="shared" si="6"/>
        <v>0</v>
      </c>
      <c r="T47" s="2"/>
    </row>
    <row r="48" spans="2:21" s="14" customFormat="1" ht="15.75" customHeight="1" x14ac:dyDescent="0.3">
      <c r="B48" s="60">
        <v>550025692</v>
      </c>
      <c r="C48" s="43" t="s">
        <v>114</v>
      </c>
      <c r="D48" s="13" t="s">
        <v>4</v>
      </c>
      <c r="E48" s="68">
        <f>+VLOOKUP(B48,'Recepcion de Producto'!$A$4:K122,11,0)</f>
        <v>0</v>
      </c>
      <c r="F48" s="11">
        <f>+VLOOKUP(B48,'Salida de Producto'!$A$4:U122,21,0)</f>
        <v>0</v>
      </c>
      <c r="G48" s="87" t="s">
        <v>26</v>
      </c>
      <c r="H48" s="89">
        <f t="shared" si="4"/>
        <v>0</v>
      </c>
      <c r="I48" s="12"/>
      <c r="J48" s="90">
        <f t="shared" si="11"/>
        <v>0</v>
      </c>
      <c r="K48" s="17">
        <v>0.02</v>
      </c>
      <c r="L48" s="39">
        <f>K48*J48</f>
        <v>0</v>
      </c>
      <c r="M48" s="75">
        <f t="shared" si="13"/>
        <v>0</v>
      </c>
      <c r="N48" s="63"/>
      <c r="O48" s="63">
        <f>IFERROR(VLOOKUP(B48,'Inventario Profit'!$A$1:G273,7,0),0)</f>
        <v>0</v>
      </c>
      <c r="P48" s="62">
        <f t="shared" si="5"/>
        <v>0</v>
      </c>
      <c r="Q48" s="54">
        <f t="shared" si="12"/>
        <v>0</v>
      </c>
      <c r="R48" s="2">
        <f>IFERROR(VLOOKUP(B48,'Inventario Profit'!$A$1:I273,9,0),0)</f>
        <v>0</v>
      </c>
      <c r="S48" s="2">
        <f t="shared" si="6"/>
        <v>0</v>
      </c>
      <c r="T48" s="2"/>
    </row>
    <row r="49" spans="2:21" s="14" customFormat="1" ht="15.75" customHeight="1" x14ac:dyDescent="0.3">
      <c r="B49" s="60">
        <v>550026834</v>
      </c>
      <c r="C49" s="43" t="s">
        <v>116</v>
      </c>
      <c r="D49" s="13" t="s">
        <v>18</v>
      </c>
      <c r="E49" s="68">
        <f>+VLOOKUP(B49,'Recepcion de Producto'!$A$4:K123,11,0)</f>
        <v>0</v>
      </c>
      <c r="F49" s="11">
        <f>+VLOOKUP(B49,'Salida de Producto'!$A$4:U123,21,0)</f>
        <v>0</v>
      </c>
      <c r="G49" s="87" t="s">
        <v>26</v>
      </c>
      <c r="H49" s="89">
        <f t="shared" si="4"/>
        <v>0</v>
      </c>
      <c r="I49" s="12"/>
      <c r="J49" s="90">
        <f t="shared" si="11"/>
        <v>0</v>
      </c>
      <c r="K49" s="17">
        <v>0.20799999999999999</v>
      </c>
      <c r="L49" s="39">
        <f>K49*J49</f>
        <v>0</v>
      </c>
      <c r="M49" s="75">
        <f t="shared" si="13"/>
        <v>0</v>
      </c>
      <c r="N49" s="63"/>
      <c r="O49" s="63">
        <f>IFERROR(VLOOKUP(B49,'Inventario Profit'!$A$1:G274,7,0),0)</f>
        <v>0</v>
      </c>
      <c r="P49" s="62">
        <f t="shared" si="5"/>
        <v>0</v>
      </c>
      <c r="Q49" s="54">
        <f t="shared" si="12"/>
        <v>0</v>
      </c>
      <c r="R49" s="2">
        <f>IFERROR(VLOOKUP(B49,'Inventario Profit'!$A$1:I274,9,0),0)</f>
        <v>0</v>
      </c>
      <c r="S49" s="2">
        <f t="shared" si="6"/>
        <v>0</v>
      </c>
      <c r="T49" s="2"/>
    </row>
    <row r="50" spans="2:21" s="14" customFormat="1" ht="13.5" customHeight="1" x14ac:dyDescent="0.3">
      <c r="B50" s="60"/>
      <c r="C50" s="43" t="s">
        <v>166</v>
      </c>
      <c r="D50" s="13" t="s">
        <v>5</v>
      </c>
      <c r="E50" s="68">
        <f>+IFERROR(VLOOKUP(B50,'Recepcion de Producto'!$A$4:K124,11,0),)</f>
        <v>0</v>
      </c>
      <c r="F50" s="11">
        <f>+IFERROR(VLOOKUP(B50,'Salida de Producto'!$A$4:U124,21,0),)</f>
        <v>0</v>
      </c>
      <c r="G50" s="87" t="s">
        <v>26</v>
      </c>
      <c r="H50" s="89">
        <f t="shared" si="4"/>
        <v>0</v>
      </c>
      <c r="I50" s="12"/>
      <c r="J50" s="90">
        <f t="shared" si="11"/>
        <v>0</v>
      </c>
      <c r="K50" s="17">
        <v>0.02</v>
      </c>
      <c r="L50" s="39">
        <f>K50*J50</f>
        <v>0</v>
      </c>
      <c r="M50" s="75">
        <f t="shared" si="13"/>
        <v>0</v>
      </c>
      <c r="N50" s="63"/>
      <c r="O50" s="63">
        <f>IFERROR(VLOOKUP(B50,'Inventario Profit'!$A$1:G275,7,0),0)</f>
        <v>0</v>
      </c>
      <c r="P50" s="62"/>
      <c r="Q50" s="54">
        <f t="shared" si="12"/>
        <v>0</v>
      </c>
      <c r="R50" s="2">
        <f>IFERROR(VLOOKUP(B50,'Inventario Profit'!$A$1:I275,9,0),0)</f>
        <v>0</v>
      </c>
      <c r="S50" s="2">
        <f t="shared" si="6"/>
        <v>0</v>
      </c>
      <c r="T50" s="2"/>
    </row>
    <row r="51" spans="2:21" ht="16.5" customHeight="1" x14ac:dyDescent="0.3">
      <c r="B51" s="60">
        <v>550025702</v>
      </c>
      <c r="C51" s="43" t="s">
        <v>118</v>
      </c>
      <c r="D51" s="13" t="s">
        <v>4</v>
      </c>
      <c r="E51" s="68">
        <f>+VLOOKUP(B51,'Recepcion de Producto'!$A$4:K125,11,0)</f>
        <v>0</v>
      </c>
      <c r="F51" s="11">
        <f>+VLOOKUP(B51,'Salida de Producto'!$A$4:U125,21,0)</f>
        <v>0</v>
      </c>
      <c r="G51" s="87" t="s">
        <v>26</v>
      </c>
      <c r="H51" s="89">
        <f t="shared" si="4"/>
        <v>0</v>
      </c>
      <c r="I51" s="12"/>
      <c r="J51" s="90">
        <f t="shared" si="11"/>
        <v>0</v>
      </c>
      <c r="K51" s="17">
        <v>0.02</v>
      </c>
      <c r="L51" s="39">
        <f>K51*J51</f>
        <v>0</v>
      </c>
      <c r="M51" s="75">
        <f t="shared" si="13"/>
        <v>0</v>
      </c>
      <c r="N51" s="63"/>
      <c r="O51" s="63">
        <f>IFERROR(VLOOKUP(B51,'Inventario Profit'!$A$1:G276,7,0),0)</f>
        <v>0</v>
      </c>
      <c r="P51" s="62">
        <f t="shared" si="5"/>
        <v>0</v>
      </c>
      <c r="Q51" s="54">
        <f t="shared" si="12"/>
        <v>0</v>
      </c>
      <c r="R51" s="2">
        <f>IFERROR(VLOOKUP(B51,'Inventario Profit'!$A$1:I276,9,0),0)</f>
        <v>0</v>
      </c>
      <c r="S51" s="2">
        <f t="shared" ref="S51:S78" si="14">R51-J51-N51</f>
        <v>0</v>
      </c>
      <c r="T51" s="2"/>
      <c r="U51" s="14"/>
    </row>
    <row r="52" spans="2:21" x14ac:dyDescent="0.3">
      <c r="B52" s="60">
        <v>44245809</v>
      </c>
      <c r="C52" s="43" t="s">
        <v>120</v>
      </c>
      <c r="D52" s="13" t="s">
        <v>894</v>
      </c>
      <c r="E52" s="68">
        <f>+VLOOKUP(B52,'Recepcion de Producto'!$A$4:K126,11,0)</f>
        <v>64</v>
      </c>
      <c r="F52" s="11">
        <f>+VLOOKUP(B52,'Salida de Producto'!$A$4:U126,21,0)</f>
        <v>64</v>
      </c>
      <c r="G52" s="87" t="s">
        <v>24</v>
      </c>
      <c r="H52" s="89">
        <f t="shared" si="4"/>
        <v>0</v>
      </c>
      <c r="I52" s="12"/>
      <c r="J52" s="90">
        <f t="shared" si="11"/>
        <v>0</v>
      </c>
      <c r="K52" s="51">
        <v>0.20899999999999999</v>
      </c>
      <c r="L52" s="40">
        <f t="shared" ref="L52:L59" si="15">J52*K52</f>
        <v>0</v>
      </c>
      <c r="M52" s="75">
        <f t="shared" si="13"/>
        <v>0</v>
      </c>
      <c r="N52" s="63"/>
      <c r="O52" s="63">
        <f>IFERROR(VLOOKUP(B52,'Inventario Profit'!$A$1:G277,7,0),0)</f>
        <v>0</v>
      </c>
      <c r="P52" s="62">
        <f t="shared" si="5"/>
        <v>0</v>
      </c>
      <c r="Q52" s="54">
        <f t="shared" si="12"/>
        <v>0</v>
      </c>
      <c r="R52" s="2">
        <f>IFERROR(VLOOKUP(B52,'Inventario Profit'!$A$1:I277,9,0),0)</f>
        <v>0</v>
      </c>
      <c r="S52" s="2">
        <f>R52-J52-N52</f>
        <v>0</v>
      </c>
      <c r="T52" s="93"/>
      <c r="U52" s="14"/>
    </row>
    <row r="53" spans="2:21" x14ac:dyDescent="0.3">
      <c r="B53" s="60">
        <v>44245855</v>
      </c>
      <c r="C53" s="43" t="s">
        <v>122</v>
      </c>
      <c r="D53" s="13" t="s">
        <v>4</v>
      </c>
      <c r="E53" s="68">
        <f>+VLOOKUP(B53,'Recepcion de Producto'!$A$4:K127,11,0)</f>
        <v>5832</v>
      </c>
      <c r="F53" s="11">
        <f>+VLOOKUP(B53,'Salida de Producto'!$A$4:U127,21,0)</f>
        <v>5832</v>
      </c>
      <c r="G53" s="87" t="s">
        <v>24</v>
      </c>
      <c r="H53" s="89">
        <f t="shared" si="4"/>
        <v>0</v>
      </c>
      <c r="I53" s="12"/>
      <c r="J53" s="90">
        <f t="shared" si="11"/>
        <v>0</v>
      </c>
      <c r="K53" s="51">
        <v>0.02</v>
      </c>
      <c r="L53" s="40">
        <f t="shared" si="15"/>
        <v>0</v>
      </c>
      <c r="M53" s="75">
        <f t="shared" si="13"/>
        <v>0</v>
      </c>
      <c r="N53" s="63"/>
      <c r="O53" s="63">
        <f>IFERROR(VLOOKUP(B53,'Inventario Profit'!$A$1:G278,7,0),0)</f>
        <v>0</v>
      </c>
      <c r="P53" s="62">
        <f t="shared" si="5"/>
        <v>0</v>
      </c>
      <c r="Q53" s="54">
        <f t="shared" si="12"/>
        <v>0</v>
      </c>
      <c r="R53" s="2">
        <f>IFERROR(VLOOKUP(B53,'Inventario Profit'!$A$1:I278,9,0),0)</f>
        <v>0</v>
      </c>
      <c r="S53" s="2">
        <f>R53-J53-N53</f>
        <v>0</v>
      </c>
      <c r="T53" s="93"/>
      <c r="U53" s="14"/>
    </row>
    <row r="54" spans="2:21" s="14" customFormat="1" x14ac:dyDescent="0.3">
      <c r="B54" s="13">
        <v>550054282</v>
      </c>
      <c r="C54" s="43" t="s">
        <v>167</v>
      </c>
      <c r="D54" s="13" t="s">
        <v>5</v>
      </c>
      <c r="E54" s="68">
        <f>+VLOOKUP(B54,'Recepcion de Producto'!$A$4:K128,11,0)</f>
        <v>0</v>
      </c>
      <c r="F54" s="11">
        <f>+VLOOKUP(B54,'Salida de Producto'!$A$4:U128,21,0)</f>
        <v>0</v>
      </c>
      <c r="G54" s="87" t="s">
        <v>26</v>
      </c>
      <c r="H54" s="89">
        <f t="shared" si="4"/>
        <v>0</v>
      </c>
      <c r="I54" s="12"/>
      <c r="J54" s="90">
        <f t="shared" si="11"/>
        <v>0</v>
      </c>
      <c r="K54" s="51">
        <v>1.02</v>
      </c>
      <c r="L54" s="40">
        <f t="shared" ref="L54" si="16">J54*K54</f>
        <v>0</v>
      </c>
      <c r="M54" s="75">
        <f t="shared" ref="M54" si="17">L54/1.124</f>
        <v>0</v>
      </c>
      <c r="N54" s="63"/>
      <c r="O54" s="63">
        <f>IFERROR(VLOOKUP(B54,'Inventario Profit'!$A$1:G279,7,0),0)</f>
        <v>0</v>
      </c>
      <c r="P54" s="62">
        <f t="shared" si="5"/>
        <v>0</v>
      </c>
      <c r="Q54" s="54">
        <f t="shared" si="12"/>
        <v>0</v>
      </c>
      <c r="R54" s="2">
        <f>IFERROR(VLOOKUP(B54,'Inventario Profit'!$A$1:I279,9,0),0)</f>
        <v>0</v>
      </c>
      <c r="S54" s="2">
        <f t="shared" ref="S54" si="18">R54-J54-N54</f>
        <v>0</v>
      </c>
      <c r="T54" s="73"/>
    </row>
    <row r="55" spans="2:21" x14ac:dyDescent="0.3">
      <c r="B55" s="60">
        <v>44243855</v>
      </c>
      <c r="C55" s="43" t="s">
        <v>124</v>
      </c>
      <c r="D55" s="13" t="s">
        <v>4</v>
      </c>
      <c r="E55" s="68">
        <f>+VLOOKUP(B55,'Recepcion de Producto'!$A$4:K129,11,0)</f>
        <v>0</v>
      </c>
      <c r="F55" s="11">
        <f>+VLOOKUP(B55,'Salida de Producto'!$A$4:U129,21,0)</f>
        <v>0</v>
      </c>
      <c r="G55" s="87" t="s">
        <v>24</v>
      </c>
      <c r="H55" s="89">
        <f t="shared" si="4"/>
        <v>0</v>
      </c>
      <c r="I55" s="12"/>
      <c r="J55" s="90">
        <f t="shared" si="11"/>
        <v>0</v>
      </c>
      <c r="K55" s="51">
        <v>0.02</v>
      </c>
      <c r="L55" s="40">
        <f t="shared" si="15"/>
        <v>0</v>
      </c>
      <c r="M55" s="75">
        <f t="shared" si="13"/>
        <v>0</v>
      </c>
      <c r="N55" s="63"/>
      <c r="O55" s="63">
        <f>IFERROR(VLOOKUP(B55,'Inventario Profit'!$A$1:G280,7,0),0)</f>
        <v>0</v>
      </c>
      <c r="P55" s="62">
        <f t="shared" si="5"/>
        <v>0</v>
      </c>
      <c r="Q55" s="54">
        <f t="shared" si="12"/>
        <v>0</v>
      </c>
      <c r="R55" s="2">
        <f>IFERROR(VLOOKUP(B55,'Inventario Profit'!$A$1:I280,9,0),0)</f>
        <v>0</v>
      </c>
      <c r="S55" s="2">
        <f t="shared" si="14"/>
        <v>0</v>
      </c>
      <c r="T55" s="93"/>
      <c r="U55" s="14"/>
    </row>
    <row r="56" spans="2:21" s="6" customFormat="1" x14ac:dyDescent="0.3">
      <c r="B56" s="60">
        <v>550045436</v>
      </c>
      <c r="C56" s="43" t="s">
        <v>126</v>
      </c>
      <c r="D56" s="13" t="s">
        <v>1</v>
      </c>
      <c r="E56" s="68">
        <f>+VLOOKUP(B56,'Recepcion de Producto'!$A$4:K130,11,0)</f>
        <v>0</v>
      </c>
      <c r="F56" s="11">
        <f>+VLOOKUP(B56,'Salida de Producto'!$A$4:U130,21,0)</f>
        <v>0</v>
      </c>
      <c r="G56" s="87" t="s">
        <v>25</v>
      </c>
      <c r="H56" s="89">
        <f t="shared" si="4"/>
        <v>0</v>
      </c>
      <c r="I56" s="12"/>
      <c r="J56" s="90">
        <f t="shared" si="11"/>
        <v>0</v>
      </c>
      <c r="K56" s="51">
        <v>1.2E-2</v>
      </c>
      <c r="L56" s="40">
        <f t="shared" si="15"/>
        <v>0</v>
      </c>
      <c r="M56" s="75">
        <f t="shared" si="13"/>
        <v>0</v>
      </c>
      <c r="N56" s="63"/>
      <c r="O56" s="63">
        <f>IFERROR(VLOOKUP(B56,'Inventario Profit'!$A$1:G281,7,0),0)</f>
        <v>0</v>
      </c>
      <c r="P56" s="62">
        <f t="shared" si="5"/>
        <v>0</v>
      </c>
      <c r="Q56" s="54">
        <f t="shared" si="12"/>
        <v>0</v>
      </c>
      <c r="R56" s="2">
        <f>IFERROR(VLOOKUP(B56,'Inventario Profit'!$A$1:I281,9,0),0)</f>
        <v>0</v>
      </c>
      <c r="S56" s="2">
        <f>R56-J56-N56</f>
        <v>0</v>
      </c>
      <c r="T56" s="2"/>
      <c r="U56" s="14"/>
    </row>
    <row r="57" spans="2:21" s="14" customFormat="1" ht="28.8" x14ac:dyDescent="0.3">
      <c r="B57" s="60">
        <v>44243809</v>
      </c>
      <c r="C57" s="43" t="s">
        <v>128</v>
      </c>
      <c r="D57" s="13" t="s">
        <v>894</v>
      </c>
      <c r="E57" s="68">
        <f>+VLOOKUP(B57,'Recepcion de Producto'!$A$4:K131,11,0)</f>
        <v>0</v>
      </c>
      <c r="F57" s="11">
        <f>+VLOOKUP(B57,'Salida de Producto'!$A$4:U131,21,0)</f>
        <v>0</v>
      </c>
      <c r="G57" s="87" t="s">
        <v>24</v>
      </c>
      <c r="H57" s="89">
        <f t="shared" si="4"/>
        <v>0</v>
      </c>
      <c r="I57" s="12"/>
      <c r="J57" s="90">
        <f>SUM(I57:I57)</f>
        <v>0</v>
      </c>
      <c r="K57" s="51">
        <v>0.20899999999999999</v>
      </c>
      <c r="L57" s="40">
        <f t="shared" si="15"/>
        <v>0</v>
      </c>
      <c r="M57" s="75">
        <f t="shared" si="13"/>
        <v>0</v>
      </c>
      <c r="N57" s="63"/>
      <c r="O57" s="63">
        <f>IFERROR(VLOOKUP(B57,'Inventario Profit'!$A$1:G282,7,0),0)</f>
        <v>0</v>
      </c>
      <c r="P57" s="62">
        <f t="shared" si="5"/>
        <v>0</v>
      </c>
      <c r="Q57" s="54">
        <f t="shared" si="12"/>
        <v>0</v>
      </c>
      <c r="R57" s="2">
        <f>IFERROR(VLOOKUP(B57,'Inventario Profit'!$A$1:I282,9,0),0)</f>
        <v>28</v>
      </c>
      <c r="S57" s="2">
        <f t="shared" si="14"/>
        <v>28</v>
      </c>
      <c r="T57" s="93" t="s">
        <v>1164</v>
      </c>
    </row>
    <row r="58" spans="2:21" s="14" customFormat="1" ht="28.8" x14ac:dyDescent="0.3">
      <c r="B58" s="60">
        <v>550038020</v>
      </c>
      <c r="C58" s="43" t="s">
        <v>128</v>
      </c>
      <c r="D58" s="13" t="s">
        <v>894</v>
      </c>
      <c r="E58" s="68">
        <f>+VLOOKUP(B58,'Recepcion de Producto'!$A$4:K132,11,0)</f>
        <v>384</v>
      </c>
      <c r="F58" s="11">
        <f>+VLOOKUP(B58,'Salida de Producto'!$A$4:U132,21,0)</f>
        <v>356</v>
      </c>
      <c r="G58" s="87" t="s">
        <v>24</v>
      </c>
      <c r="H58" s="89">
        <f t="shared" si="4"/>
        <v>28</v>
      </c>
      <c r="I58" s="114">
        <f>7*4</f>
        <v>28</v>
      </c>
      <c r="J58" s="90">
        <f>SUM(I58:I58)</f>
        <v>28</v>
      </c>
      <c r="K58" s="51">
        <v>0.20899999999999999</v>
      </c>
      <c r="L58" s="40">
        <f t="shared" si="15"/>
        <v>5.8519999999999994</v>
      </c>
      <c r="M58" s="75">
        <f t="shared" si="13"/>
        <v>5.2064056939501766</v>
      </c>
      <c r="N58" s="63"/>
      <c r="O58" s="63">
        <f>IFERROR(VLOOKUP(B58,'Inventario Profit'!$A$1:G283,7,0),0)</f>
        <v>0</v>
      </c>
      <c r="P58" s="62">
        <f t="shared" si="5"/>
        <v>0</v>
      </c>
      <c r="Q58" s="54">
        <f t="shared" si="12"/>
        <v>0</v>
      </c>
      <c r="R58" s="2">
        <f>IFERROR(VLOOKUP(B58,'Inventario Profit'!$A$1:I283,9,0),0)</f>
        <v>0</v>
      </c>
      <c r="S58" s="2">
        <f t="shared" si="14"/>
        <v>-28</v>
      </c>
      <c r="T58" s="93" t="s">
        <v>1164</v>
      </c>
    </row>
    <row r="59" spans="2:21" s="14" customFormat="1" x14ac:dyDescent="0.3">
      <c r="B59" s="60">
        <v>550045438</v>
      </c>
      <c r="C59" s="43" t="s">
        <v>130</v>
      </c>
      <c r="D59" s="13" t="s">
        <v>1</v>
      </c>
      <c r="E59" s="68">
        <f>+VLOOKUP(B59,'Recepcion de Producto'!$A$4:K133,11,0)</f>
        <v>0</v>
      </c>
      <c r="F59" s="11">
        <f>+VLOOKUP(B59,'Salida de Producto'!$A$4:U133,21,0)</f>
        <v>0</v>
      </c>
      <c r="G59" s="87" t="s">
        <v>25</v>
      </c>
      <c r="H59" s="89">
        <f t="shared" si="4"/>
        <v>0</v>
      </c>
      <c r="I59" s="12"/>
      <c r="J59" s="90">
        <f t="shared" si="11"/>
        <v>0</v>
      </c>
      <c r="K59" s="51">
        <v>1.2E-2</v>
      </c>
      <c r="L59" s="40">
        <f t="shared" si="15"/>
        <v>0</v>
      </c>
      <c r="M59" s="75">
        <f t="shared" si="13"/>
        <v>0</v>
      </c>
      <c r="N59" s="63"/>
      <c r="O59" s="63">
        <f>IFERROR(VLOOKUP(B59,'Inventario Profit'!$A$1:G283,7,0),0)</f>
        <v>0</v>
      </c>
      <c r="P59" s="62">
        <f t="shared" si="5"/>
        <v>0</v>
      </c>
      <c r="Q59" s="54">
        <f t="shared" si="12"/>
        <v>0</v>
      </c>
      <c r="R59" s="2">
        <f>IFERROR(VLOOKUP(B59,'Inventario Profit'!$A$1:I283,9,0),0)</f>
        <v>0</v>
      </c>
      <c r="S59" s="2">
        <f t="shared" si="14"/>
        <v>0</v>
      </c>
      <c r="T59" s="2"/>
    </row>
    <row r="60" spans="2:21" s="14" customFormat="1" ht="16.5" customHeight="1" x14ac:dyDescent="0.3">
      <c r="B60" s="60">
        <v>44414855</v>
      </c>
      <c r="C60" s="43" t="s">
        <v>132</v>
      </c>
      <c r="D60" s="13" t="s">
        <v>4</v>
      </c>
      <c r="E60" s="68">
        <f>+VLOOKUP(B60,'Recepcion de Producto'!$A$4:K134,11,0)</f>
        <v>0</v>
      </c>
      <c r="F60" s="11">
        <f>+VLOOKUP(B60,'Salida de Producto'!$A$4:U134,21,0)</f>
        <v>0</v>
      </c>
      <c r="G60" s="87" t="s">
        <v>26</v>
      </c>
      <c r="H60" s="89">
        <f t="shared" si="4"/>
        <v>0</v>
      </c>
      <c r="I60" s="12"/>
      <c r="J60" s="90">
        <f t="shared" si="11"/>
        <v>0</v>
      </c>
      <c r="K60" s="17">
        <v>0.02</v>
      </c>
      <c r="L60" s="39">
        <f t="shared" ref="L60:L65" si="19">K60*J60</f>
        <v>0</v>
      </c>
      <c r="M60" s="75">
        <f t="shared" si="13"/>
        <v>0</v>
      </c>
      <c r="N60" s="63"/>
      <c r="O60" s="63">
        <f>IFERROR(VLOOKUP(B60,'Inventario Profit'!$A$1:G284,7,0),0)</f>
        <v>0</v>
      </c>
      <c r="P60" s="62">
        <f t="shared" si="5"/>
        <v>0</v>
      </c>
      <c r="Q60" s="54">
        <f t="shared" si="12"/>
        <v>0</v>
      </c>
      <c r="R60" s="2">
        <f>IFERROR(VLOOKUP(B60,'Inventario Profit'!$A$1:I284,9,0),0)</f>
        <v>0</v>
      </c>
      <c r="S60" s="2">
        <f t="shared" si="14"/>
        <v>0</v>
      </c>
      <c r="T60" s="2"/>
    </row>
    <row r="61" spans="2:21" x14ac:dyDescent="0.3">
      <c r="B61" s="60">
        <v>550032121</v>
      </c>
      <c r="C61" s="43" t="s">
        <v>134</v>
      </c>
      <c r="D61" s="13" t="s">
        <v>18</v>
      </c>
      <c r="E61" s="68">
        <f>+VLOOKUP(B61,'Recepcion de Producto'!$A$4:K135,11,0)</f>
        <v>0</v>
      </c>
      <c r="F61" s="11">
        <f>+VLOOKUP(B61,'Salida de Producto'!$A$4:U135,21,0)</f>
        <v>0</v>
      </c>
      <c r="G61" s="87" t="s">
        <v>26</v>
      </c>
      <c r="H61" s="89">
        <f t="shared" si="4"/>
        <v>0</v>
      </c>
      <c r="I61" s="12"/>
      <c r="J61" s="90">
        <f t="shared" si="11"/>
        <v>0</v>
      </c>
      <c r="K61" s="17">
        <v>0.20799999999999999</v>
      </c>
      <c r="L61" s="39">
        <f t="shared" si="19"/>
        <v>0</v>
      </c>
      <c r="M61" s="75">
        <f t="shared" si="13"/>
        <v>0</v>
      </c>
      <c r="N61" s="63"/>
      <c r="O61" s="63">
        <f>IFERROR(VLOOKUP(B61,'Inventario Profit'!$A$1:G285,7,0),0)</f>
        <v>0</v>
      </c>
      <c r="P61" s="62">
        <f t="shared" si="5"/>
        <v>0</v>
      </c>
      <c r="Q61" s="54">
        <f t="shared" si="12"/>
        <v>0</v>
      </c>
      <c r="R61" s="2">
        <f>IFERROR(VLOOKUP(B61,'Inventario Profit'!$A$1:I285,9,0),0)</f>
        <v>0</v>
      </c>
      <c r="S61" s="2">
        <f t="shared" si="14"/>
        <v>0</v>
      </c>
      <c r="T61" s="2"/>
      <c r="U61" s="14"/>
    </row>
    <row r="62" spans="2:21" s="14" customFormat="1" x14ac:dyDescent="0.3">
      <c r="B62" s="60">
        <v>45387905</v>
      </c>
      <c r="C62" s="43" t="s">
        <v>136</v>
      </c>
      <c r="D62" s="13" t="s">
        <v>3</v>
      </c>
      <c r="E62" s="68">
        <f>+VLOOKUP(B62,'Recepcion de Producto'!$A$4:K136,11,0)</f>
        <v>0</v>
      </c>
      <c r="F62" s="11">
        <f>+VLOOKUP(B62,'Salida de Producto'!$A$4:U136,21,0)</f>
        <v>0</v>
      </c>
      <c r="G62" s="87" t="s">
        <v>26</v>
      </c>
      <c r="H62" s="89">
        <f t="shared" si="4"/>
        <v>0</v>
      </c>
      <c r="I62" s="12"/>
      <c r="J62" s="90">
        <f t="shared" si="11"/>
        <v>0</v>
      </c>
      <c r="K62" s="17">
        <v>1.2E-2</v>
      </c>
      <c r="L62" s="39">
        <f t="shared" si="19"/>
        <v>0</v>
      </c>
      <c r="M62" s="75">
        <f t="shared" si="13"/>
        <v>0</v>
      </c>
      <c r="N62" s="63"/>
      <c r="O62" s="63">
        <f>IFERROR(VLOOKUP(B62,'Inventario Profit'!$A$1:G286,7,0),0)</f>
        <v>0</v>
      </c>
      <c r="P62" s="62">
        <f t="shared" si="5"/>
        <v>0</v>
      </c>
      <c r="Q62" s="54">
        <f t="shared" si="12"/>
        <v>0</v>
      </c>
      <c r="R62" s="2">
        <f>IFERROR(VLOOKUP(B62,'Inventario Profit'!$A$1:I286,9,0),0)</f>
        <v>0</v>
      </c>
      <c r="S62" s="2">
        <f t="shared" si="14"/>
        <v>0</v>
      </c>
      <c r="T62" s="2"/>
    </row>
    <row r="63" spans="2:21" s="6" customFormat="1" x14ac:dyDescent="0.3">
      <c r="B63" s="60">
        <v>550029925</v>
      </c>
      <c r="C63" s="43" t="s">
        <v>138</v>
      </c>
      <c r="D63" s="13" t="s">
        <v>18</v>
      </c>
      <c r="E63" s="68">
        <f>+VLOOKUP(B63,'Recepcion de Producto'!$A$4:K137,11,0)</f>
        <v>0</v>
      </c>
      <c r="F63" s="11">
        <f>+VLOOKUP(B63,'Salida de Producto'!$A$4:U137,21,0)</f>
        <v>0</v>
      </c>
      <c r="G63" s="87" t="s">
        <v>26</v>
      </c>
      <c r="H63" s="89">
        <f t="shared" si="4"/>
        <v>0</v>
      </c>
      <c r="I63" s="12"/>
      <c r="J63" s="90">
        <f t="shared" si="11"/>
        <v>0</v>
      </c>
      <c r="K63" s="17">
        <v>0.20899999999999999</v>
      </c>
      <c r="L63" s="39">
        <f t="shared" si="19"/>
        <v>0</v>
      </c>
      <c r="M63" s="75">
        <f t="shared" si="13"/>
        <v>0</v>
      </c>
      <c r="N63" s="63"/>
      <c r="O63" s="63">
        <f>IFERROR(VLOOKUP(B63,'Inventario Profit'!$A$1:G287,7,0),0)</f>
        <v>0</v>
      </c>
      <c r="P63" s="62">
        <f t="shared" si="5"/>
        <v>0</v>
      </c>
      <c r="Q63" s="54">
        <f t="shared" si="12"/>
        <v>0</v>
      </c>
      <c r="R63" s="2">
        <f>IFERROR(VLOOKUP(B63,'Inventario Profit'!$A$1:I287,9,0),0)</f>
        <v>0</v>
      </c>
      <c r="S63" s="2">
        <f t="shared" si="14"/>
        <v>0</v>
      </c>
      <c r="T63" s="2"/>
      <c r="U63" s="14"/>
    </row>
    <row r="64" spans="2:21" x14ac:dyDescent="0.3">
      <c r="B64" s="60">
        <v>45372905</v>
      </c>
      <c r="C64" s="43" t="s">
        <v>140</v>
      </c>
      <c r="D64" s="13" t="s">
        <v>3</v>
      </c>
      <c r="E64" s="68">
        <f>+VLOOKUP(B64,'Recepcion de Producto'!$A$4:K138,11,0)</f>
        <v>0</v>
      </c>
      <c r="F64" s="11">
        <f>+VLOOKUP(B64,'Salida de Producto'!$A$4:U138,21,0)</f>
        <v>0</v>
      </c>
      <c r="G64" s="87" t="s">
        <v>26</v>
      </c>
      <c r="H64" s="89">
        <f t="shared" si="4"/>
        <v>0</v>
      </c>
      <c r="I64" s="12"/>
      <c r="J64" s="90">
        <f t="shared" si="11"/>
        <v>0</v>
      </c>
      <c r="K64" s="17">
        <v>1.2E-2</v>
      </c>
      <c r="L64" s="39">
        <f t="shared" si="19"/>
        <v>0</v>
      </c>
      <c r="M64" s="75">
        <f t="shared" si="13"/>
        <v>0</v>
      </c>
      <c r="N64" s="63"/>
      <c r="O64" s="63">
        <f>IFERROR(VLOOKUP(B64,'Inventario Profit'!$A$1:G288,7,0),0)</f>
        <v>0</v>
      </c>
      <c r="P64" s="62">
        <f t="shared" si="5"/>
        <v>0</v>
      </c>
      <c r="Q64" s="54">
        <f t="shared" si="12"/>
        <v>0</v>
      </c>
      <c r="R64" s="2">
        <f>IFERROR(VLOOKUP(B64,'Inventario Profit'!$A$1:I288,9,0),0)</f>
        <v>0</v>
      </c>
      <c r="S64" s="2">
        <f t="shared" si="14"/>
        <v>0</v>
      </c>
      <c r="T64" s="2"/>
      <c r="U64" s="14"/>
    </row>
    <row r="65" spans="2:21" s="14" customFormat="1" x14ac:dyDescent="0.3">
      <c r="B65" s="60">
        <v>45372855</v>
      </c>
      <c r="C65" s="43" t="s">
        <v>142</v>
      </c>
      <c r="D65" s="13" t="s">
        <v>4</v>
      </c>
      <c r="E65" s="68">
        <f>+VLOOKUP(B65,'Recepcion de Producto'!$A$4:K139,11,0)</f>
        <v>0</v>
      </c>
      <c r="F65" s="11">
        <f>+VLOOKUP(B65,'Salida de Producto'!$A$4:U139,21,0)</f>
        <v>0</v>
      </c>
      <c r="G65" s="87" t="s">
        <v>26</v>
      </c>
      <c r="H65" s="89">
        <f t="shared" si="4"/>
        <v>0</v>
      </c>
      <c r="I65" s="12"/>
      <c r="J65" s="90">
        <f t="shared" si="11"/>
        <v>0</v>
      </c>
      <c r="K65" s="17">
        <v>0.02</v>
      </c>
      <c r="L65" s="39">
        <f t="shared" si="19"/>
        <v>0</v>
      </c>
      <c r="M65" s="75">
        <f t="shared" si="13"/>
        <v>0</v>
      </c>
      <c r="N65" s="63"/>
      <c r="O65" s="63">
        <f>IFERROR(VLOOKUP(B65,'Inventario Profit'!$A$1:G289,7,0),0)</f>
        <v>0</v>
      </c>
      <c r="P65" s="62">
        <f t="shared" si="5"/>
        <v>0</v>
      </c>
      <c r="Q65" s="54">
        <f t="shared" si="12"/>
        <v>0</v>
      </c>
      <c r="R65" s="2">
        <f>IFERROR(VLOOKUP(B65,'Inventario Profit'!$A$1:I289,9,0),0)</f>
        <v>0</v>
      </c>
      <c r="S65" s="2">
        <f t="shared" si="14"/>
        <v>0</v>
      </c>
      <c r="T65" s="2"/>
    </row>
    <row r="66" spans="2:21" x14ac:dyDescent="0.3">
      <c r="B66" s="60">
        <v>45372809</v>
      </c>
      <c r="C66" s="43" t="s">
        <v>144</v>
      </c>
      <c r="D66" s="13" t="s">
        <v>894</v>
      </c>
      <c r="E66" s="68">
        <f>+VLOOKUP(B66,'Recepcion de Producto'!$A$4:K140,11,0)</f>
        <v>0</v>
      </c>
      <c r="F66" s="11">
        <f>+VLOOKUP(B66,'Salida de Producto'!$A$4:U140,21,0)</f>
        <v>0</v>
      </c>
      <c r="G66" s="87" t="s">
        <v>25</v>
      </c>
      <c r="H66" s="89">
        <f t="shared" si="4"/>
        <v>0</v>
      </c>
      <c r="I66" s="12"/>
      <c r="J66" s="90">
        <f t="shared" si="11"/>
        <v>0</v>
      </c>
      <c r="K66" s="51">
        <v>0.20899999999999999</v>
      </c>
      <c r="L66" s="40">
        <f>J66*K66</f>
        <v>0</v>
      </c>
      <c r="M66" s="75">
        <f t="shared" si="13"/>
        <v>0</v>
      </c>
      <c r="N66" s="63"/>
      <c r="O66" s="63">
        <f>IFERROR(VLOOKUP(B66,'Inventario Profit'!$A$1:G290,7,0),0)</f>
        <v>0</v>
      </c>
      <c r="P66" s="62">
        <f t="shared" si="5"/>
        <v>0</v>
      </c>
      <c r="Q66" s="54">
        <f t="shared" si="12"/>
        <v>0</v>
      </c>
      <c r="R66" s="2">
        <f>IFERROR(VLOOKUP(B66,'Inventario Profit'!$A$1:I290,9,0),0)</f>
        <v>0</v>
      </c>
      <c r="S66" s="2">
        <f t="shared" si="14"/>
        <v>0</v>
      </c>
      <c r="T66" s="2"/>
      <c r="U66" s="14"/>
    </row>
    <row r="67" spans="2:21" x14ac:dyDescent="0.3">
      <c r="B67" s="60">
        <v>43592855</v>
      </c>
      <c r="C67" s="43" t="s">
        <v>146</v>
      </c>
      <c r="D67" s="13" t="s">
        <v>4</v>
      </c>
      <c r="E67" s="68">
        <f>+VLOOKUP(B67,'Recepcion de Producto'!$A$4:K141,11,0)</f>
        <v>0</v>
      </c>
      <c r="F67" s="11">
        <f>+VLOOKUP(B67,'Salida de Producto'!$A$4:U141,21,0)</f>
        <v>0</v>
      </c>
      <c r="G67" s="87" t="s">
        <v>26</v>
      </c>
      <c r="H67" s="89">
        <f t="shared" si="4"/>
        <v>0</v>
      </c>
      <c r="I67" s="12"/>
      <c r="J67" s="90">
        <f t="shared" si="11"/>
        <v>0</v>
      </c>
      <c r="K67" s="17">
        <v>0.02</v>
      </c>
      <c r="L67" s="39">
        <f t="shared" ref="L67:L73" si="20">K67*J67</f>
        <v>0</v>
      </c>
      <c r="M67" s="75">
        <f t="shared" si="13"/>
        <v>0</v>
      </c>
      <c r="N67" s="63"/>
      <c r="O67" s="63">
        <f>IFERROR(VLOOKUP(B67,'Inventario Profit'!$A$1:G291,7,0),0)</f>
        <v>0</v>
      </c>
      <c r="P67" s="62">
        <f t="shared" si="5"/>
        <v>0</v>
      </c>
      <c r="Q67" s="54">
        <f t="shared" si="12"/>
        <v>0</v>
      </c>
      <c r="R67" s="2">
        <f>IFERROR(VLOOKUP(B67,'Inventario Profit'!$A$1:I291,9,0),0)</f>
        <v>0</v>
      </c>
      <c r="S67" s="2">
        <f t="shared" si="14"/>
        <v>0</v>
      </c>
      <c r="T67" s="2"/>
      <c r="U67" s="14"/>
    </row>
    <row r="68" spans="2:21" s="14" customFormat="1" x14ac:dyDescent="0.3">
      <c r="B68" s="60">
        <v>550049814</v>
      </c>
      <c r="C68" s="43" t="s">
        <v>148</v>
      </c>
      <c r="D68" s="13" t="s">
        <v>2</v>
      </c>
      <c r="E68" s="68">
        <f>+VLOOKUP(B68,'Recepcion de Producto'!$A$4:K142,11,0)</f>
        <v>0</v>
      </c>
      <c r="F68" s="11">
        <f>+VLOOKUP(B68,'Salida de Producto'!$A$4:U142,21,0)</f>
        <v>0</v>
      </c>
      <c r="G68" s="87" t="s">
        <v>26</v>
      </c>
      <c r="H68" s="89">
        <f t="shared" si="4"/>
        <v>0</v>
      </c>
      <c r="I68" s="12"/>
      <c r="J68" s="90">
        <f t="shared" si="11"/>
        <v>0</v>
      </c>
      <c r="K68" s="17">
        <v>6.0000000000000001E-3</v>
      </c>
      <c r="L68" s="39">
        <f t="shared" si="20"/>
        <v>0</v>
      </c>
      <c r="M68" s="75">
        <f t="shared" si="13"/>
        <v>0</v>
      </c>
      <c r="N68" s="63"/>
      <c r="O68" s="63">
        <f>IFERROR(VLOOKUP(B68,'Inventario Profit'!$A$1:G292,7,0),0)</f>
        <v>0</v>
      </c>
      <c r="P68" s="62">
        <f t="shared" si="5"/>
        <v>0</v>
      </c>
      <c r="Q68" s="54">
        <f t="shared" si="12"/>
        <v>0</v>
      </c>
      <c r="R68" s="2">
        <f>IFERROR(VLOOKUP(B68,'Inventario Profit'!$A$1:I292,9,0),0)</f>
        <v>0</v>
      </c>
      <c r="S68" s="2">
        <f t="shared" si="14"/>
        <v>0</v>
      </c>
      <c r="T68" s="2"/>
    </row>
    <row r="69" spans="2:21" s="14" customFormat="1" x14ac:dyDescent="0.3">
      <c r="B69" s="60">
        <v>550026900</v>
      </c>
      <c r="C69" s="43" t="s">
        <v>150</v>
      </c>
      <c r="D69" s="13" t="s">
        <v>18</v>
      </c>
      <c r="E69" s="68">
        <f>+VLOOKUP(B69,'Recepcion de Producto'!$A$4:K143,11,0)</f>
        <v>0</v>
      </c>
      <c r="F69" s="11">
        <f>+VLOOKUP(B69,'Salida de Producto'!$A$4:U143,21,0)</f>
        <v>0</v>
      </c>
      <c r="G69" s="87" t="s">
        <v>26</v>
      </c>
      <c r="H69" s="89">
        <f t="shared" si="4"/>
        <v>0</v>
      </c>
      <c r="I69" s="12"/>
      <c r="J69" s="90">
        <f t="shared" ref="J69:J78" si="21">SUM(I69:I69)</f>
        <v>0</v>
      </c>
      <c r="K69" s="17">
        <v>0.20799999999999999</v>
      </c>
      <c r="L69" s="39">
        <f t="shared" si="20"/>
        <v>0</v>
      </c>
      <c r="M69" s="75">
        <f t="shared" si="13"/>
        <v>0</v>
      </c>
      <c r="N69" s="63"/>
      <c r="O69" s="63">
        <f>IFERROR(VLOOKUP(B69,'Inventario Profit'!$A$1:G293,7,0),0)</f>
        <v>0</v>
      </c>
      <c r="P69" s="62">
        <f t="shared" si="5"/>
        <v>0</v>
      </c>
      <c r="Q69" s="54">
        <f t="shared" si="12"/>
        <v>0</v>
      </c>
      <c r="R69" s="2">
        <f>IFERROR(VLOOKUP(B69,'Inventario Profit'!$A$1:I293,9,0),0)</f>
        <v>0</v>
      </c>
      <c r="S69" s="2">
        <f t="shared" si="14"/>
        <v>0</v>
      </c>
      <c r="T69" s="2"/>
    </row>
    <row r="70" spans="2:21" s="6" customFormat="1" x14ac:dyDescent="0.3">
      <c r="B70" s="60">
        <v>550026907</v>
      </c>
      <c r="C70" s="43" t="s">
        <v>152</v>
      </c>
      <c r="D70" s="13" t="s">
        <v>18</v>
      </c>
      <c r="E70" s="68">
        <f>+VLOOKUP(B70,'Recepcion de Producto'!$A$4:K144,11,0)</f>
        <v>0</v>
      </c>
      <c r="F70" s="11">
        <f>+VLOOKUP(B70,'Salida de Producto'!$A$4:U144,21,0)</f>
        <v>0</v>
      </c>
      <c r="G70" s="87" t="s">
        <v>26</v>
      </c>
      <c r="H70" s="89">
        <f t="shared" ref="H70:H78" si="22">E70-F70</f>
        <v>0</v>
      </c>
      <c r="I70" s="12"/>
      <c r="J70" s="90">
        <f t="shared" si="21"/>
        <v>0</v>
      </c>
      <c r="K70" s="17">
        <v>0.20799999999999999</v>
      </c>
      <c r="L70" s="39">
        <f t="shared" si="20"/>
        <v>0</v>
      </c>
      <c r="M70" s="75">
        <f t="shared" si="13"/>
        <v>0</v>
      </c>
      <c r="N70" s="63"/>
      <c r="O70" s="63">
        <f>IFERROR(VLOOKUP(B70,'Inventario Profit'!$A$1:G294,7,0),0)</f>
        <v>0</v>
      </c>
      <c r="P70" s="62">
        <f t="shared" ref="P70:P78" si="23">+O70-N70</f>
        <v>0</v>
      </c>
      <c r="Q70" s="54">
        <f t="shared" si="12"/>
        <v>0</v>
      </c>
      <c r="R70" s="2">
        <f>IFERROR(VLOOKUP(B70,'Inventario Profit'!$A$1:I294,9,0),0)</f>
        <v>0</v>
      </c>
      <c r="S70" s="2">
        <f t="shared" si="14"/>
        <v>0</v>
      </c>
      <c r="T70" s="2"/>
      <c r="U70" s="14"/>
    </row>
    <row r="71" spans="2:21" s="6" customFormat="1" x14ac:dyDescent="0.3">
      <c r="B71" s="60">
        <v>550026891</v>
      </c>
      <c r="C71" s="43" t="s">
        <v>154</v>
      </c>
      <c r="D71" s="13" t="s">
        <v>5</v>
      </c>
      <c r="E71" s="68">
        <f>+VLOOKUP(B71,'Recepcion de Producto'!$A$4:K145,11,0)</f>
        <v>0</v>
      </c>
      <c r="F71" s="11">
        <f>+VLOOKUP(B71,'Salida de Producto'!$A$4:U145,21,0)</f>
        <v>0</v>
      </c>
      <c r="G71" s="87" t="s">
        <v>26</v>
      </c>
      <c r="H71" s="89">
        <f t="shared" si="22"/>
        <v>0</v>
      </c>
      <c r="I71" s="12"/>
      <c r="J71" s="90">
        <f t="shared" si="21"/>
        <v>0</v>
      </c>
      <c r="K71" s="17">
        <v>1.7999999999999999E-2</v>
      </c>
      <c r="L71" s="39">
        <f t="shared" si="20"/>
        <v>0</v>
      </c>
      <c r="M71" s="75">
        <f t="shared" ref="M71:M78" si="24">L71/1.124</f>
        <v>0</v>
      </c>
      <c r="N71" s="63"/>
      <c r="O71" s="63">
        <f>IFERROR(VLOOKUP(B71,'Inventario Profit'!$A$1:G295,7,0),0)</f>
        <v>0</v>
      </c>
      <c r="P71" s="62">
        <f t="shared" si="23"/>
        <v>0</v>
      </c>
      <c r="Q71" s="54">
        <f t="shared" si="12"/>
        <v>0</v>
      </c>
      <c r="R71" s="2">
        <f>IFERROR(VLOOKUP(B71,'Inventario Profit'!$A$1:I295,9,0),0)</f>
        <v>0</v>
      </c>
      <c r="S71" s="2">
        <f t="shared" si="14"/>
        <v>0</v>
      </c>
      <c r="T71" s="2"/>
      <c r="U71" s="14"/>
    </row>
    <row r="72" spans="2:21" x14ac:dyDescent="0.3">
      <c r="B72" s="60">
        <v>550050052</v>
      </c>
      <c r="C72" s="43" t="s">
        <v>156</v>
      </c>
      <c r="D72" s="13" t="s">
        <v>2</v>
      </c>
      <c r="E72" s="68">
        <f>+VLOOKUP(B72,'Recepcion de Producto'!$A$4:K146,11,0)</f>
        <v>0</v>
      </c>
      <c r="F72" s="11">
        <f>+VLOOKUP(B72,'Salida de Producto'!$A$4:U146,21,0)</f>
        <v>0</v>
      </c>
      <c r="G72" s="87" t="s">
        <v>26</v>
      </c>
      <c r="H72" s="89">
        <f t="shared" si="22"/>
        <v>0</v>
      </c>
      <c r="I72" s="12"/>
      <c r="J72" s="90">
        <f t="shared" si="21"/>
        <v>0</v>
      </c>
      <c r="K72" s="17">
        <v>6.0000000000000001E-3</v>
      </c>
      <c r="L72" s="39">
        <f t="shared" si="20"/>
        <v>0</v>
      </c>
      <c r="M72" s="75">
        <f t="shared" si="24"/>
        <v>0</v>
      </c>
      <c r="N72" s="63"/>
      <c r="O72" s="63">
        <f>IFERROR(VLOOKUP(B72,'Inventario Profit'!$A$1:G296,7,0),0)</f>
        <v>0</v>
      </c>
      <c r="P72" s="62">
        <f t="shared" si="23"/>
        <v>0</v>
      </c>
      <c r="Q72" s="54">
        <f t="shared" si="12"/>
        <v>0</v>
      </c>
      <c r="R72" s="2">
        <f>IFERROR(VLOOKUP(B72,'Inventario Profit'!$A$1:I296,9,0),0)</f>
        <v>0</v>
      </c>
      <c r="S72" s="2">
        <f t="shared" si="14"/>
        <v>0</v>
      </c>
      <c r="T72" s="93"/>
      <c r="U72" s="14"/>
    </row>
    <row r="73" spans="2:21" s="14" customFormat="1" x14ac:dyDescent="0.3">
      <c r="B73" s="60">
        <v>550045415</v>
      </c>
      <c r="C73" s="43" t="s">
        <v>158</v>
      </c>
      <c r="D73" s="13" t="s">
        <v>5</v>
      </c>
      <c r="E73" s="68">
        <f>+VLOOKUP(B73,'Recepcion de Producto'!$A$4:K147,11,0)</f>
        <v>0</v>
      </c>
      <c r="F73" s="11">
        <f>+VLOOKUP(B73,'Salida de Producto'!$A$4:U147,21,0)</f>
        <v>0</v>
      </c>
      <c r="G73" s="87" t="s">
        <v>26</v>
      </c>
      <c r="H73" s="89">
        <f t="shared" si="22"/>
        <v>0</v>
      </c>
      <c r="I73" s="12"/>
      <c r="J73" s="90">
        <f t="shared" si="21"/>
        <v>0</v>
      </c>
      <c r="K73" s="18">
        <v>1.9E-2</v>
      </c>
      <c r="L73" s="39">
        <f t="shared" si="20"/>
        <v>0</v>
      </c>
      <c r="M73" s="75">
        <f t="shared" si="24"/>
        <v>0</v>
      </c>
      <c r="N73" s="63"/>
      <c r="O73" s="63">
        <f>IFERROR(VLOOKUP(B73,'Inventario Profit'!$A$1:G297,7,0),0)</f>
        <v>0</v>
      </c>
      <c r="P73" s="62">
        <f t="shared" si="23"/>
        <v>0</v>
      </c>
      <c r="Q73" s="54">
        <f t="shared" si="12"/>
        <v>0</v>
      </c>
      <c r="R73" s="2">
        <f>IFERROR(VLOOKUP(B73,'Inventario Profit'!$A$1:I297,9,0),0)</f>
        <v>0</v>
      </c>
      <c r="S73" s="2">
        <f t="shared" si="14"/>
        <v>0</v>
      </c>
      <c r="T73" s="2"/>
    </row>
    <row r="74" spans="2:21" s="14" customFormat="1" x14ac:dyDescent="0.3">
      <c r="B74" s="60">
        <v>550047744</v>
      </c>
      <c r="C74" s="43" t="s">
        <v>900</v>
      </c>
      <c r="D74" s="13" t="s">
        <v>909</v>
      </c>
      <c r="E74" s="68">
        <f>+VLOOKUP(B74,'Recepcion de Producto'!$A$4:K148,11,0)</f>
        <v>0</v>
      </c>
      <c r="F74" s="11">
        <f>+VLOOKUP(B74,'Salida de Producto'!$A$4:U148,21,0)</f>
        <v>0</v>
      </c>
      <c r="G74" s="87" t="s">
        <v>26</v>
      </c>
      <c r="H74" s="89">
        <f t="shared" si="22"/>
        <v>0</v>
      </c>
      <c r="I74" s="12"/>
      <c r="J74" s="90">
        <f t="shared" si="21"/>
        <v>0</v>
      </c>
      <c r="K74" s="18"/>
      <c r="L74" s="39"/>
      <c r="M74" s="75"/>
      <c r="N74" s="63"/>
      <c r="O74" s="63">
        <f>IFERROR(VLOOKUP(B74,'Inventario Profit'!$A$1:G298,7,0),0)</f>
        <v>0</v>
      </c>
      <c r="P74" s="62">
        <f t="shared" si="23"/>
        <v>0</v>
      </c>
      <c r="Q74" s="54">
        <f t="shared" si="12"/>
        <v>0</v>
      </c>
      <c r="R74" s="2">
        <f>IFERROR(VLOOKUP(B74,'Inventario Profit'!$A$1:I298,9,0),0)</f>
        <v>0</v>
      </c>
      <c r="S74" s="2">
        <f t="shared" si="14"/>
        <v>0</v>
      </c>
      <c r="T74" s="2"/>
    </row>
    <row r="75" spans="2:21" s="14" customFormat="1" x14ac:dyDescent="0.3">
      <c r="B75" s="60">
        <v>6560200055</v>
      </c>
      <c r="C75" s="43" t="s">
        <v>160</v>
      </c>
      <c r="D75" s="13" t="s">
        <v>18</v>
      </c>
      <c r="E75" s="68">
        <f>+VLOOKUP(B75,'Recepcion de Producto'!$A$4:K149,11,0)</f>
        <v>0</v>
      </c>
      <c r="F75" s="11">
        <f>+VLOOKUP(B75,'Salida de Producto'!$A$4:U149,21,0)</f>
        <v>0</v>
      </c>
      <c r="G75" s="87" t="s">
        <v>24</v>
      </c>
      <c r="H75" s="89">
        <f t="shared" si="22"/>
        <v>0</v>
      </c>
      <c r="I75" s="12"/>
      <c r="J75" s="90">
        <f t="shared" si="21"/>
        <v>0</v>
      </c>
      <c r="K75" s="52">
        <v>0.20799999999999999</v>
      </c>
      <c r="L75" s="40">
        <f>J75*K75</f>
        <v>0</v>
      </c>
      <c r="M75" s="75">
        <f t="shared" si="24"/>
        <v>0</v>
      </c>
      <c r="N75" s="63"/>
      <c r="O75" s="63">
        <f>IFERROR(VLOOKUP(B75,'Inventario Profit'!$A$1:G299,7,0),0)</f>
        <v>0</v>
      </c>
      <c r="P75" s="62">
        <f t="shared" si="23"/>
        <v>0</v>
      </c>
      <c r="Q75" s="54">
        <f t="shared" si="12"/>
        <v>0</v>
      </c>
      <c r="R75" s="2">
        <f>IFERROR(VLOOKUP(B75,'Inventario Profit'!$A$1:I299,9,0),0)</f>
        <v>0</v>
      </c>
      <c r="S75" s="2">
        <f t="shared" si="14"/>
        <v>0</v>
      </c>
      <c r="T75" s="2"/>
    </row>
    <row r="76" spans="2:21" s="14" customFormat="1" x14ac:dyDescent="0.3">
      <c r="B76" s="60">
        <v>6560500055</v>
      </c>
      <c r="C76" s="43" t="s">
        <v>162</v>
      </c>
      <c r="D76" s="13" t="s">
        <v>18</v>
      </c>
      <c r="E76" s="68">
        <f>+VLOOKUP(B76,'Recepcion de Producto'!$A$4:K150,11,0)</f>
        <v>0</v>
      </c>
      <c r="F76" s="11">
        <f>+VLOOKUP(B76,'Salida de Producto'!$A$4:U150,21,0)</f>
        <v>0</v>
      </c>
      <c r="G76" s="87" t="s">
        <v>26</v>
      </c>
      <c r="H76" s="89">
        <f t="shared" si="22"/>
        <v>0</v>
      </c>
      <c r="I76" s="12"/>
      <c r="J76" s="90">
        <f t="shared" si="21"/>
        <v>0</v>
      </c>
      <c r="K76" s="18">
        <v>0.20799999999999999</v>
      </c>
      <c r="L76" s="39">
        <f>K76*J76</f>
        <v>0</v>
      </c>
      <c r="M76" s="75">
        <f t="shared" si="24"/>
        <v>0</v>
      </c>
      <c r="N76" s="63"/>
      <c r="O76" s="63">
        <f>IFERROR(VLOOKUP(B76,'Inventario Profit'!$A$1:G300,7,0),0)</f>
        <v>0</v>
      </c>
      <c r="P76" s="62">
        <f t="shared" si="23"/>
        <v>0</v>
      </c>
      <c r="Q76" s="54">
        <f t="shared" si="12"/>
        <v>0</v>
      </c>
      <c r="R76" s="2">
        <f>IFERROR(VLOOKUP(B76,'Inventario Profit'!$A$1:I300,9,0),0)</f>
        <v>0</v>
      </c>
      <c r="S76" s="2">
        <f t="shared" si="14"/>
        <v>0</v>
      </c>
      <c r="T76" s="2"/>
    </row>
    <row r="77" spans="2:21" s="14" customFormat="1" x14ac:dyDescent="0.3">
      <c r="B77" s="60">
        <v>6560300055</v>
      </c>
      <c r="C77" s="43" t="s">
        <v>893</v>
      </c>
      <c r="D77" s="13" t="s">
        <v>18</v>
      </c>
      <c r="E77" s="68">
        <f>+VLOOKUP(B77,'Recepcion de Producto'!$A$4:K151,11,0)</f>
        <v>0</v>
      </c>
      <c r="F77" s="11">
        <f>+VLOOKUP(B77,'Salida de Producto'!$A$4:U151,21,0)</f>
        <v>0</v>
      </c>
      <c r="G77" s="87" t="s">
        <v>26</v>
      </c>
      <c r="H77" s="89">
        <f t="shared" si="22"/>
        <v>0</v>
      </c>
      <c r="I77" s="12"/>
      <c r="J77" s="90">
        <f t="shared" si="21"/>
        <v>0</v>
      </c>
      <c r="K77" s="21"/>
      <c r="L77" s="64"/>
      <c r="M77" s="76"/>
      <c r="N77" s="63"/>
      <c r="O77" s="63">
        <f>IFERROR(VLOOKUP(B77,'Inventario Profit'!$A$1:G301,7,0),0)</f>
        <v>0</v>
      </c>
      <c r="P77" s="62">
        <f t="shared" si="23"/>
        <v>0</v>
      </c>
      <c r="Q77" s="54">
        <f t="shared" si="12"/>
        <v>0</v>
      </c>
      <c r="R77" s="2">
        <f>IFERROR(VLOOKUP(B77,'Inventario Profit'!$A$1:I301,9,0),0)</f>
        <v>0</v>
      </c>
      <c r="S77" s="2">
        <f t="shared" si="14"/>
        <v>0</v>
      </c>
      <c r="T77" s="2"/>
    </row>
    <row r="78" spans="2:21" ht="15" thickBot="1" x14ac:dyDescent="0.35">
      <c r="B78" s="61">
        <v>550043380</v>
      </c>
      <c r="C78" s="43" t="s">
        <v>164</v>
      </c>
      <c r="D78" s="71" t="s">
        <v>18</v>
      </c>
      <c r="E78" s="68">
        <f>+VLOOKUP(B78,'Recepcion de Producto'!$A$4:K152,11,0)</f>
        <v>0</v>
      </c>
      <c r="F78" s="11">
        <f>+VLOOKUP(B78,'Salida de Producto'!$A$4:U152,21,0)</f>
        <v>0</v>
      </c>
      <c r="G78" s="88" t="s">
        <v>25</v>
      </c>
      <c r="H78" s="89">
        <f t="shared" si="22"/>
        <v>0</v>
      </c>
      <c r="I78" s="12"/>
      <c r="J78" s="90">
        <f t="shared" si="21"/>
        <v>0</v>
      </c>
      <c r="K78" s="53">
        <v>0.20799999999999999</v>
      </c>
      <c r="L78" s="41">
        <f>J78*K78</f>
        <v>0</v>
      </c>
      <c r="M78" s="77">
        <f t="shared" si="24"/>
        <v>0</v>
      </c>
      <c r="N78" s="63"/>
      <c r="O78" s="63">
        <f>IFERROR(VLOOKUP(B78,'Inventario Profit'!$A$1:G302,7,0),0)</f>
        <v>0</v>
      </c>
      <c r="P78" s="62">
        <f t="shared" si="23"/>
        <v>0</v>
      </c>
      <c r="Q78" s="54">
        <f t="shared" si="12"/>
        <v>0</v>
      </c>
      <c r="R78" s="4">
        <f>IFERROR(VLOOKUP(B78,'Inventario Profit'!$A$1:I302,9,0),0)</f>
        <v>0</v>
      </c>
      <c r="S78" s="2">
        <f t="shared" si="14"/>
        <v>0</v>
      </c>
      <c r="T78" s="4"/>
    </row>
    <row r="79" spans="2:21" x14ac:dyDescent="0.3">
      <c r="C79" s="14"/>
      <c r="J79" s="14"/>
      <c r="K79" s="14"/>
      <c r="L79" s="24"/>
      <c r="M79" s="25"/>
      <c r="N79" s="14"/>
      <c r="Q79" s="59"/>
      <c r="R79" s="84"/>
      <c r="S79" s="59"/>
      <c r="T79" s="84"/>
    </row>
    <row r="80" spans="2:21" x14ac:dyDescent="0.3">
      <c r="J80" s="14"/>
      <c r="K80" s="14"/>
      <c r="L80" s="24"/>
      <c r="M80" s="25"/>
      <c r="N80" s="14"/>
      <c r="Q80" s="59"/>
      <c r="R80" s="14"/>
    </row>
    <row r="81" spans="3:18" x14ac:dyDescent="0.3">
      <c r="J81" s="14"/>
      <c r="K81" s="14"/>
      <c r="L81" s="24"/>
      <c r="M81" s="25"/>
      <c r="Q81" s="14"/>
      <c r="R81" s="14"/>
    </row>
    <row r="82" spans="3:18" x14ac:dyDescent="0.3">
      <c r="C82" s="20"/>
      <c r="J82" s="14"/>
      <c r="N82" s="14"/>
    </row>
    <row r="83" spans="3:18" ht="31.2" x14ac:dyDescent="0.3">
      <c r="C83" s="31" t="s">
        <v>28</v>
      </c>
      <c r="H83" s="14"/>
      <c r="Q83" s="14"/>
    </row>
    <row r="84" spans="3:18" ht="15.6" x14ac:dyDescent="0.3">
      <c r="C84" s="32">
        <f>1-0/74</f>
        <v>1</v>
      </c>
      <c r="H84" s="14"/>
      <c r="J84" s="14"/>
    </row>
    <row r="85" spans="3:18" ht="15.6" x14ac:dyDescent="0.3">
      <c r="D85" s="30"/>
      <c r="G85" s="29"/>
      <c r="H85" s="27"/>
      <c r="J85" s="14"/>
    </row>
    <row r="86" spans="3:18" ht="15.6" x14ac:dyDescent="0.3">
      <c r="D86" s="28"/>
      <c r="G86" s="29"/>
      <c r="H86" s="27"/>
      <c r="J86" s="14"/>
    </row>
    <row r="87" spans="3:18" x14ac:dyDescent="0.3">
      <c r="J87" s="14"/>
      <c r="M87" s="24"/>
    </row>
    <row r="88" spans="3:18" x14ac:dyDescent="0.3">
      <c r="M88" s="24"/>
    </row>
    <row r="89" spans="3:18" x14ac:dyDescent="0.3">
      <c r="E89" s="14"/>
      <c r="F89" s="14"/>
      <c r="H89" s="14"/>
      <c r="M89" s="24"/>
    </row>
    <row r="90" spans="3:18" x14ac:dyDescent="0.3">
      <c r="E90" s="14"/>
      <c r="F90" s="14"/>
      <c r="H90" s="14"/>
      <c r="K90" s="109"/>
      <c r="M90" s="24"/>
    </row>
    <row r="91" spans="3:18" x14ac:dyDescent="0.3">
      <c r="E91" s="14"/>
      <c r="F91" s="14"/>
      <c r="H91" s="14"/>
      <c r="M91" s="24"/>
    </row>
    <row r="92" spans="3:18" x14ac:dyDescent="0.3">
      <c r="E92" s="14"/>
      <c r="F92" s="14"/>
      <c r="H92" s="14"/>
      <c r="M92" s="24"/>
    </row>
    <row r="93" spans="3:18" x14ac:dyDescent="0.3">
      <c r="E93" s="14"/>
      <c r="F93" s="14"/>
      <c r="H93" s="14"/>
      <c r="M93" s="24"/>
    </row>
    <row r="94" spans="3:18" x14ac:dyDescent="0.3">
      <c r="E94" s="14"/>
      <c r="F94" s="14"/>
      <c r="H94" s="14"/>
    </row>
  </sheetData>
  <autoFilter ref="B3:T79" xr:uid="{09F14407-C1F1-4011-A8CF-EC4E0DCC1833}"/>
  <conditionalFormatting sqref="Q4:Q43 Q45:Q80">
    <cfRule type="cellIs" dxfId="9" priority="33" operator="lessThan">
      <formula>0</formula>
    </cfRule>
    <cfRule type="cellIs" dxfId="8" priority="34" operator="greaterThan">
      <formula>0</formula>
    </cfRule>
  </conditionalFormatting>
  <conditionalFormatting sqref="I3">
    <cfRule type="containsText" dxfId="7" priority="3" operator="containsText" text="amarillo y naranja">
      <formula>NOT(ISERROR(SEARCH("amarillo y naranja",I3)))</formula>
    </cfRule>
    <cfRule type="containsText" dxfId="6" priority="4" operator="containsText" text="amarillo y naranja">
      <formula>NOT(ISERROR(SEARCH("amarillo y naranja",I3)))</formula>
    </cfRule>
    <cfRule type="containsText" dxfId="5" priority="5" operator="containsText" text="amarillo y naranja ">
      <formula>NOT(ISERROR(SEARCH("amarillo y naranja ",I3)))</formula>
    </cfRule>
    <cfRule type="containsText" dxfId="4" priority="6" operator="containsText" text="Naranja">
      <formula>NOT(ISERROR(SEARCH("Naranja",I3)))</formula>
    </cfRule>
    <cfRule type="containsText" dxfId="3" priority="7" operator="containsText" text="Naranja">
      <formula>NOT(ISERROR(SEARCH("Naranja",I3)))</formula>
    </cfRule>
    <cfRule type="containsText" dxfId="2" priority="8" operator="containsText" text="amarillo ">
      <formula>NOT(ISERROR(SEARCH("amarillo ",I3)))</formula>
    </cfRule>
  </conditionalFormatting>
  <conditionalFormatting sqref="Q44">
    <cfRule type="cellIs" dxfId="1" priority="1" operator="lessThan">
      <formula>0</formula>
    </cfRule>
    <cfRule type="cellIs" dxfId="0" priority="2" operator="greaterThan">
      <formula>0</formula>
    </cfRule>
  </conditionalFormatting>
  <printOptions horizontalCentered="1"/>
  <pageMargins left="0" right="0" top="0" bottom="0" header="0" footer="0"/>
  <pageSetup scale="50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53D83-224B-467D-88E3-2F54F4CA9F23}">
  <sheetPr codeName="Hoja4"/>
  <dimension ref="A1:J589"/>
  <sheetViews>
    <sheetView showGridLines="0" topLeftCell="A58" workbookViewId="0">
      <selection activeCell="A71" sqref="A71:B71"/>
    </sheetView>
  </sheetViews>
  <sheetFormatPr baseColWidth="10" defaultRowHeight="13.8" x14ac:dyDescent="0.3"/>
  <cols>
    <col min="1" max="1" width="11.33203125" style="111" bestFit="1" customWidth="1"/>
    <col min="2" max="2" width="42.109375" style="111" customWidth="1"/>
    <col min="3" max="3" width="17.44140625" style="111" bestFit="1" customWidth="1"/>
    <col min="4" max="4" width="24.77734375" style="111" bestFit="1" customWidth="1"/>
    <col min="5" max="5" width="17.5546875" style="111" bestFit="1" customWidth="1"/>
    <col min="6" max="6" width="23.6640625" style="111" bestFit="1" customWidth="1"/>
    <col min="7" max="7" width="17.5546875" style="111" bestFit="1" customWidth="1"/>
    <col min="8" max="8" width="16.33203125" style="111" bestFit="1" customWidth="1"/>
    <col min="9" max="9" width="21.5546875" style="111" bestFit="1" customWidth="1"/>
    <col min="10" max="10" width="23" style="111" bestFit="1" customWidth="1"/>
    <col min="11" max="16384" width="11.5546875" style="111"/>
  </cols>
  <sheetData>
    <row r="1" spans="1:10" ht="15.6" x14ac:dyDescent="0.3">
      <c r="A1" s="110" t="s">
        <v>953</v>
      </c>
      <c r="B1" s="110" t="s">
        <v>954</v>
      </c>
      <c r="C1" s="110" t="s">
        <v>955</v>
      </c>
      <c r="D1" s="110" t="s">
        <v>956</v>
      </c>
      <c r="E1" s="110" t="s">
        <v>957</v>
      </c>
      <c r="F1" s="110" t="s">
        <v>958</v>
      </c>
      <c r="G1" s="110" t="s">
        <v>959</v>
      </c>
      <c r="H1" s="110" t="s">
        <v>960</v>
      </c>
      <c r="I1" s="110" t="s">
        <v>961</v>
      </c>
      <c r="J1" s="110" t="s">
        <v>962</v>
      </c>
    </row>
    <row r="2" spans="1:10" x14ac:dyDescent="0.3">
      <c r="A2" s="112">
        <v>13239</v>
      </c>
      <c r="B2" s="111" t="s">
        <v>1141</v>
      </c>
      <c r="C2" s="111" t="s">
        <v>187</v>
      </c>
      <c r="D2" s="113">
        <v>0</v>
      </c>
      <c r="E2" s="113">
        <v>0</v>
      </c>
      <c r="F2" s="113">
        <v>0</v>
      </c>
      <c r="G2" s="113">
        <v>0</v>
      </c>
      <c r="H2" s="113">
        <v>0</v>
      </c>
      <c r="I2" s="113">
        <v>0</v>
      </c>
      <c r="J2" s="113">
        <v>0</v>
      </c>
    </row>
    <row r="3" spans="1:10" x14ac:dyDescent="0.3">
      <c r="A3" s="112">
        <v>14970</v>
      </c>
      <c r="B3" s="111" t="s">
        <v>1142</v>
      </c>
      <c r="C3" s="111" t="s">
        <v>187</v>
      </c>
      <c r="D3" s="113">
        <v>0</v>
      </c>
      <c r="E3" s="113">
        <v>0</v>
      </c>
      <c r="F3" s="113">
        <v>0</v>
      </c>
      <c r="G3" s="113">
        <v>0</v>
      </c>
      <c r="H3" s="113">
        <v>0</v>
      </c>
      <c r="I3" s="113">
        <v>0</v>
      </c>
      <c r="J3" s="113">
        <v>0</v>
      </c>
    </row>
    <row r="4" spans="1:10" x14ac:dyDescent="0.3">
      <c r="A4" s="112">
        <v>14971</v>
      </c>
      <c r="B4" s="111" t="s">
        <v>1143</v>
      </c>
      <c r="C4" s="111" t="s">
        <v>187</v>
      </c>
      <c r="D4" s="113">
        <v>0</v>
      </c>
      <c r="E4" s="113">
        <v>0</v>
      </c>
      <c r="F4" s="113">
        <v>0</v>
      </c>
      <c r="G4" s="113">
        <v>0</v>
      </c>
      <c r="H4" s="113">
        <v>0</v>
      </c>
      <c r="I4" s="113">
        <v>0</v>
      </c>
      <c r="J4" s="113">
        <v>0</v>
      </c>
    </row>
    <row r="5" spans="1:10" x14ac:dyDescent="0.3">
      <c r="A5" s="112">
        <v>14972</v>
      </c>
      <c r="B5" s="111" t="s">
        <v>1144</v>
      </c>
      <c r="C5" s="111" t="s">
        <v>187</v>
      </c>
      <c r="D5" s="113">
        <v>0</v>
      </c>
      <c r="E5" s="113">
        <v>0</v>
      </c>
      <c r="F5" s="113">
        <v>0</v>
      </c>
      <c r="G5" s="113">
        <v>0</v>
      </c>
      <c r="H5" s="113">
        <v>0</v>
      </c>
      <c r="I5" s="113">
        <v>0</v>
      </c>
      <c r="J5" s="113">
        <v>0</v>
      </c>
    </row>
    <row r="6" spans="1:10" x14ac:dyDescent="0.3">
      <c r="A6" s="112">
        <v>14973</v>
      </c>
      <c r="B6" s="111" t="s">
        <v>1145</v>
      </c>
      <c r="C6" s="111" t="s">
        <v>187</v>
      </c>
      <c r="D6" s="113">
        <v>0</v>
      </c>
      <c r="E6" s="113">
        <v>0</v>
      </c>
      <c r="F6" s="113">
        <v>0</v>
      </c>
      <c r="G6" s="113">
        <v>0</v>
      </c>
      <c r="H6" s="113">
        <v>0</v>
      </c>
      <c r="I6" s="113">
        <v>0</v>
      </c>
      <c r="J6" s="113">
        <v>0</v>
      </c>
    </row>
    <row r="7" spans="1:10" x14ac:dyDescent="0.3">
      <c r="A7" s="112">
        <v>15010</v>
      </c>
      <c r="B7" s="111" t="s">
        <v>1146</v>
      </c>
      <c r="C7" s="111" t="s">
        <v>187</v>
      </c>
      <c r="D7" s="113">
        <v>0</v>
      </c>
      <c r="E7" s="113">
        <v>0</v>
      </c>
      <c r="F7" s="113">
        <v>0</v>
      </c>
      <c r="G7" s="113">
        <v>0</v>
      </c>
      <c r="H7" s="113">
        <v>0</v>
      </c>
      <c r="I7" s="113">
        <v>0</v>
      </c>
      <c r="J7" s="113">
        <v>0</v>
      </c>
    </row>
    <row r="8" spans="1:10" x14ac:dyDescent="0.3">
      <c r="A8" s="112">
        <v>16236</v>
      </c>
      <c r="B8" s="111" t="s">
        <v>1147</v>
      </c>
      <c r="C8" s="111" t="s">
        <v>187</v>
      </c>
      <c r="D8" s="113">
        <v>0</v>
      </c>
      <c r="E8" s="113">
        <v>0</v>
      </c>
      <c r="F8" s="113">
        <v>0</v>
      </c>
      <c r="G8" s="113">
        <v>0</v>
      </c>
      <c r="H8" s="113">
        <v>0</v>
      </c>
      <c r="I8" s="113">
        <v>0</v>
      </c>
      <c r="J8" s="113">
        <v>0</v>
      </c>
    </row>
    <row r="9" spans="1:10" x14ac:dyDescent="0.3">
      <c r="A9" s="112">
        <v>17010</v>
      </c>
      <c r="B9" s="111" t="s">
        <v>1148</v>
      </c>
      <c r="C9" s="111" t="s">
        <v>187</v>
      </c>
      <c r="D9" s="113">
        <v>0</v>
      </c>
      <c r="E9" s="113">
        <v>0</v>
      </c>
      <c r="F9" s="113">
        <v>0</v>
      </c>
      <c r="G9" s="113">
        <v>0</v>
      </c>
      <c r="H9" s="113">
        <v>0</v>
      </c>
      <c r="I9" s="113">
        <v>0</v>
      </c>
      <c r="J9" s="113">
        <v>0</v>
      </c>
    </row>
    <row r="10" spans="1:10" x14ac:dyDescent="0.3">
      <c r="A10" s="112">
        <v>17020</v>
      </c>
      <c r="B10" s="111" t="s">
        <v>1149</v>
      </c>
      <c r="C10" s="111" t="s">
        <v>187</v>
      </c>
      <c r="D10" s="113">
        <v>0</v>
      </c>
      <c r="E10" s="113">
        <v>0</v>
      </c>
      <c r="F10" s="113">
        <v>0</v>
      </c>
      <c r="G10" s="113">
        <v>0</v>
      </c>
      <c r="H10" s="113">
        <v>0</v>
      </c>
      <c r="I10" s="113">
        <v>0</v>
      </c>
      <c r="J10" s="113">
        <v>0</v>
      </c>
    </row>
    <row r="11" spans="1:10" x14ac:dyDescent="0.3">
      <c r="A11" s="112">
        <v>19503</v>
      </c>
      <c r="B11" s="111" t="s">
        <v>1150</v>
      </c>
      <c r="C11" s="111" t="s">
        <v>187</v>
      </c>
      <c r="D11" s="113">
        <v>0</v>
      </c>
      <c r="E11" s="113">
        <v>0</v>
      </c>
      <c r="F11" s="113">
        <v>0</v>
      </c>
      <c r="G11" s="113">
        <v>0</v>
      </c>
      <c r="H11" s="113">
        <v>0</v>
      </c>
      <c r="I11" s="113">
        <v>0</v>
      </c>
      <c r="J11" s="113">
        <v>0</v>
      </c>
    </row>
    <row r="12" spans="1:10" x14ac:dyDescent="0.3">
      <c r="A12" s="112">
        <v>20032</v>
      </c>
      <c r="B12" s="111" t="s">
        <v>1151</v>
      </c>
      <c r="C12" s="111" t="s">
        <v>187</v>
      </c>
      <c r="D12" s="113">
        <v>0</v>
      </c>
      <c r="E12" s="113">
        <v>0</v>
      </c>
      <c r="F12" s="113">
        <v>0</v>
      </c>
      <c r="G12" s="113">
        <v>0</v>
      </c>
      <c r="H12" s="113">
        <v>0</v>
      </c>
      <c r="I12" s="113">
        <v>0</v>
      </c>
      <c r="J12" s="113">
        <v>0</v>
      </c>
    </row>
    <row r="13" spans="1:10" x14ac:dyDescent="0.3">
      <c r="A13" s="112">
        <v>20034</v>
      </c>
      <c r="B13" s="111" t="s">
        <v>1151</v>
      </c>
      <c r="C13" s="111" t="s">
        <v>187</v>
      </c>
      <c r="D13" s="113">
        <v>0</v>
      </c>
      <c r="E13" s="113">
        <v>0</v>
      </c>
      <c r="F13" s="113">
        <v>0</v>
      </c>
      <c r="G13" s="113">
        <v>0</v>
      </c>
      <c r="H13" s="113">
        <v>0</v>
      </c>
      <c r="I13" s="113">
        <v>0</v>
      </c>
      <c r="J13" s="113">
        <v>0</v>
      </c>
    </row>
    <row r="14" spans="1:10" x14ac:dyDescent="0.3">
      <c r="A14" s="112">
        <v>20333</v>
      </c>
      <c r="B14" s="111" t="s">
        <v>1152</v>
      </c>
      <c r="C14" s="111" t="s">
        <v>187</v>
      </c>
      <c r="D14" s="113">
        <v>0</v>
      </c>
      <c r="E14" s="113">
        <v>0</v>
      </c>
      <c r="F14" s="113">
        <v>0</v>
      </c>
      <c r="G14" s="113">
        <v>0</v>
      </c>
      <c r="H14" s="113">
        <v>0</v>
      </c>
      <c r="I14" s="113">
        <v>0</v>
      </c>
      <c r="J14" s="113">
        <v>0</v>
      </c>
    </row>
    <row r="15" spans="1:10" x14ac:dyDescent="0.3">
      <c r="A15" s="112">
        <v>21746</v>
      </c>
      <c r="B15" s="111" t="s">
        <v>1153</v>
      </c>
      <c r="C15" s="111" t="s">
        <v>187</v>
      </c>
      <c r="D15" s="113">
        <v>0</v>
      </c>
      <c r="E15" s="113">
        <v>0</v>
      </c>
      <c r="F15" s="113">
        <v>0</v>
      </c>
      <c r="G15" s="113">
        <v>0</v>
      </c>
      <c r="H15" s="113">
        <v>0</v>
      </c>
      <c r="I15" s="113">
        <v>0</v>
      </c>
      <c r="J15" s="113">
        <v>0</v>
      </c>
    </row>
    <row r="16" spans="1:10" x14ac:dyDescent="0.3">
      <c r="A16" s="112">
        <v>21748</v>
      </c>
      <c r="B16" s="111" t="s">
        <v>1154</v>
      </c>
      <c r="C16" s="111" t="s">
        <v>187</v>
      </c>
      <c r="D16" s="113">
        <v>0</v>
      </c>
      <c r="E16" s="113">
        <v>0</v>
      </c>
      <c r="F16" s="113">
        <v>0</v>
      </c>
      <c r="G16" s="113">
        <v>0</v>
      </c>
      <c r="H16" s="113">
        <v>0</v>
      </c>
      <c r="I16" s="113">
        <v>0</v>
      </c>
      <c r="J16" s="113">
        <v>0</v>
      </c>
    </row>
    <row r="17" spans="1:10" x14ac:dyDescent="0.3">
      <c r="A17" s="112">
        <v>27771</v>
      </c>
      <c r="B17" s="111" t="s">
        <v>1155</v>
      </c>
      <c r="C17" s="111" t="s">
        <v>187</v>
      </c>
      <c r="D17" s="113">
        <v>0</v>
      </c>
      <c r="E17" s="113">
        <v>0</v>
      </c>
      <c r="F17" s="113">
        <v>0</v>
      </c>
      <c r="G17" s="113">
        <v>0</v>
      </c>
      <c r="H17" s="113">
        <v>0</v>
      </c>
      <c r="I17" s="113">
        <v>0</v>
      </c>
      <c r="J17" s="113">
        <v>0</v>
      </c>
    </row>
    <row r="18" spans="1:10" x14ac:dyDescent="0.3">
      <c r="A18" s="112">
        <v>27774</v>
      </c>
      <c r="B18" s="111" t="s">
        <v>1156</v>
      </c>
      <c r="C18" s="111" t="s">
        <v>187</v>
      </c>
      <c r="D18" s="113">
        <v>0</v>
      </c>
      <c r="E18" s="113">
        <v>0</v>
      </c>
      <c r="F18" s="113">
        <v>0</v>
      </c>
      <c r="G18" s="113">
        <v>0</v>
      </c>
      <c r="H18" s="113">
        <v>0</v>
      </c>
      <c r="I18" s="113">
        <v>0</v>
      </c>
      <c r="J18" s="113">
        <v>0</v>
      </c>
    </row>
    <row r="19" spans="1:10" x14ac:dyDescent="0.3">
      <c r="A19" s="112">
        <v>27812</v>
      </c>
      <c r="B19" s="111" t="s">
        <v>1157</v>
      </c>
      <c r="C19" s="111" t="s">
        <v>187</v>
      </c>
      <c r="D19" s="113">
        <v>0</v>
      </c>
      <c r="E19" s="113">
        <v>0</v>
      </c>
      <c r="F19" s="113">
        <v>0</v>
      </c>
      <c r="G19" s="113">
        <v>0</v>
      </c>
      <c r="H19" s="113">
        <v>0</v>
      </c>
      <c r="I19" s="113">
        <v>0</v>
      </c>
      <c r="J19" s="113">
        <v>0</v>
      </c>
    </row>
    <row r="20" spans="1:10" x14ac:dyDescent="0.3">
      <c r="A20" s="112">
        <v>34951</v>
      </c>
      <c r="B20" s="111" t="s">
        <v>1158</v>
      </c>
      <c r="C20" s="111" t="s">
        <v>187</v>
      </c>
      <c r="D20" s="113">
        <v>0</v>
      </c>
      <c r="E20" s="113">
        <v>0</v>
      </c>
      <c r="F20" s="113">
        <v>0</v>
      </c>
      <c r="G20" s="113">
        <v>0</v>
      </c>
      <c r="H20" s="113">
        <v>0</v>
      </c>
      <c r="I20" s="113">
        <v>0</v>
      </c>
      <c r="J20" s="113">
        <v>0</v>
      </c>
    </row>
    <row r="21" spans="1:10" x14ac:dyDescent="0.3">
      <c r="A21" s="112">
        <v>40926905</v>
      </c>
      <c r="B21" s="111" t="s">
        <v>90</v>
      </c>
      <c r="C21" s="111" t="s">
        <v>172</v>
      </c>
      <c r="D21" s="113">
        <v>0</v>
      </c>
      <c r="E21" s="113">
        <v>0</v>
      </c>
      <c r="F21" s="113">
        <v>0</v>
      </c>
      <c r="G21" s="113">
        <v>0</v>
      </c>
      <c r="H21" s="113">
        <v>0</v>
      </c>
      <c r="I21" s="113">
        <v>0</v>
      </c>
      <c r="J21" s="113">
        <v>1</v>
      </c>
    </row>
    <row r="22" spans="1:10" x14ac:dyDescent="0.3">
      <c r="A22" s="112">
        <v>41051905</v>
      </c>
      <c r="B22" s="111" t="s">
        <v>88</v>
      </c>
      <c r="C22" s="111" t="s">
        <v>172</v>
      </c>
      <c r="D22" s="113">
        <v>0</v>
      </c>
      <c r="E22" s="113">
        <v>0</v>
      </c>
      <c r="F22" s="113">
        <v>0</v>
      </c>
      <c r="G22" s="113">
        <v>0</v>
      </c>
      <c r="H22" s="113">
        <v>0</v>
      </c>
      <c r="I22" s="113">
        <v>0</v>
      </c>
      <c r="J22" s="113">
        <v>1</v>
      </c>
    </row>
    <row r="23" spans="1:10" x14ac:dyDescent="0.3">
      <c r="A23" s="112">
        <v>41068905</v>
      </c>
      <c r="B23" s="111" t="s">
        <v>174</v>
      </c>
      <c r="C23" s="111" t="s">
        <v>172</v>
      </c>
      <c r="D23" s="113">
        <v>0</v>
      </c>
      <c r="E23" s="113">
        <v>0</v>
      </c>
      <c r="F23" s="113">
        <v>0</v>
      </c>
      <c r="G23" s="113">
        <v>0</v>
      </c>
      <c r="H23" s="113">
        <v>0</v>
      </c>
      <c r="I23" s="113">
        <v>0</v>
      </c>
      <c r="J23" s="113">
        <v>1</v>
      </c>
    </row>
    <row r="24" spans="1:10" x14ac:dyDescent="0.3">
      <c r="A24" s="112">
        <v>43509809</v>
      </c>
      <c r="B24" s="111" t="s">
        <v>72</v>
      </c>
      <c r="C24" s="111" t="s">
        <v>175</v>
      </c>
      <c r="D24" s="113">
        <v>0</v>
      </c>
      <c r="E24" s="113">
        <v>0</v>
      </c>
      <c r="F24" s="113">
        <v>0</v>
      </c>
      <c r="G24" s="113">
        <v>0</v>
      </c>
      <c r="H24" s="113">
        <v>0</v>
      </c>
      <c r="I24" s="113">
        <v>0</v>
      </c>
      <c r="J24" s="113">
        <v>0</v>
      </c>
    </row>
    <row r="25" spans="1:10" x14ac:dyDescent="0.3">
      <c r="A25" s="112">
        <v>43509905</v>
      </c>
      <c r="B25" s="111" t="s">
        <v>70</v>
      </c>
      <c r="C25" s="111" t="s">
        <v>172</v>
      </c>
      <c r="D25" s="113">
        <v>0</v>
      </c>
      <c r="E25" s="113">
        <v>0</v>
      </c>
      <c r="F25" s="113">
        <v>0</v>
      </c>
      <c r="G25" s="113">
        <v>0</v>
      </c>
      <c r="H25" s="113">
        <v>0</v>
      </c>
      <c r="I25" s="113">
        <v>0</v>
      </c>
      <c r="J25" s="113">
        <v>1</v>
      </c>
    </row>
    <row r="26" spans="1:10" x14ac:dyDescent="0.3">
      <c r="A26" s="112">
        <v>43512905</v>
      </c>
      <c r="B26" s="111" t="s">
        <v>70</v>
      </c>
      <c r="C26" s="111" t="s">
        <v>172</v>
      </c>
      <c r="D26" s="113">
        <v>0</v>
      </c>
      <c r="E26" s="113">
        <v>0</v>
      </c>
      <c r="F26" s="113">
        <v>0</v>
      </c>
      <c r="G26" s="113">
        <v>0</v>
      </c>
      <c r="H26" s="113">
        <v>0</v>
      </c>
      <c r="I26" s="113">
        <v>0</v>
      </c>
      <c r="J26" s="113">
        <v>1</v>
      </c>
    </row>
    <row r="27" spans="1:10" x14ac:dyDescent="0.3">
      <c r="A27" s="112">
        <v>43592855</v>
      </c>
      <c r="B27" s="111" t="s">
        <v>146</v>
      </c>
      <c r="C27" s="111" t="s">
        <v>177</v>
      </c>
      <c r="D27" s="113">
        <v>0</v>
      </c>
      <c r="E27" s="113">
        <v>0</v>
      </c>
      <c r="F27" s="113">
        <v>0</v>
      </c>
      <c r="G27" s="113">
        <v>0</v>
      </c>
      <c r="H27" s="113">
        <v>0</v>
      </c>
      <c r="I27" s="113">
        <v>0</v>
      </c>
      <c r="J27" s="113">
        <v>0</v>
      </c>
    </row>
    <row r="28" spans="1:10" x14ac:dyDescent="0.3">
      <c r="A28" s="112">
        <v>44243809</v>
      </c>
      <c r="B28" s="111" t="s">
        <v>128</v>
      </c>
      <c r="C28" s="111" t="s">
        <v>175</v>
      </c>
      <c r="D28" s="113">
        <v>28</v>
      </c>
      <c r="E28" s="113">
        <v>28</v>
      </c>
      <c r="F28" s="113">
        <v>0</v>
      </c>
      <c r="G28" s="113">
        <v>0</v>
      </c>
      <c r="H28" s="113">
        <v>28</v>
      </c>
      <c r="I28" s="113">
        <v>28</v>
      </c>
      <c r="J28" s="113">
        <v>0</v>
      </c>
    </row>
    <row r="29" spans="1:10" x14ac:dyDescent="0.3">
      <c r="A29" s="112">
        <v>44243855</v>
      </c>
      <c r="B29" s="111" t="s">
        <v>124</v>
      </c>
      <c r="C29" s="111" t="s">
        <v>177</v>
      </c>
      <c r="D29" s="113">
        <v>0</v>
      </c>
      <c r="E29" s="113">
        <v>0</v>
      </c>
      <c r="F29" s="113">
        <v>0</v>
      </c>
      <c r="G29" s="113">
        <v>0</v>
      </c>
      <c r="H29" s="113">
        <v>0</v>
      </c>
      <c r="I29" s="113">
        <v>0</v>
      </c>
      <c r="J29" s="113">
        <v>0</v>
      </c>
    </row>
    <row r="30" spans="1:10" x14ac:dyDescent="0.3">
      <c r="A30" s="112">
        <v>44245809</v>
      </c>
      <c r="B30" s="111" t="s">
        <v>120</v>
      </c>
      <c r="C30" s="111" t="s">
        <v>175</v>
      </c>
      <c r="D30" s="113">
        <v>0</v>
      </c>
      <c r="E30" s="113">
        <v>0</v>
      </c>
      <c r="F30" s="113">
        <v>0</v>
      </c>
      <c r="G30" s="113">
        <v>0</v>
      </c>
      <c r="H30" s="113">
        <v>0</v>
      </c>
      <c r="I30" s="113">
        <v>0</v>
      </c>
      <c r="J30" s="113">
        <v>0</v>
      </c>
    </row>
    <row r="31" spans="1:10" x14ac:dyDescent="0.3">
      <c r="A31" s="112">
        <v>44245855</v>
      </c>
      <c r="B31" s="111" t="s">
        <v>122</v>
      </c>
      <c r="C31" s="111" t="s">
        <v>177</v>
      </c>
      <c r="D31" s="113">
        <v>0</v>
      </c>
      <c r="E31" s="113">
        <v>0</v>
      </c>
      <c r="F31" s="113">
        <v>0</v>
      </c>
      <c r="G31" s="113">
        <v>0</v>
      </c>
      <c r="H31" s="113">
        <v>0</v>
      </c>
      <c r="I31" s="113">
        <v>0</v>
      </c>
      <c r="J31" s="113">
        <v>0</v>
      </c>
    </row>
    <row r="32" spans="1:10" x14ac:dyDescent="0.3">
      <c r="A32" s="112">
        <v>44414855</v>
      </c>
      <c r="B32" s="111" t="s">
        <v>132</v>
      </c>
      <c r="C32" s="111" t="s">
        <v>177</v>
      </c>
      <c r="D32" s="113">
        <v>0</v>
      </c>
      <c r="E32" s="113">
        <v>0</v>
      </c>
      <c r="F32" s="113">
        <v>0</v>
      </c>
      <c r="G32" s="113">
        <v>0</v>
      </c>
      <c r="H32" s="113">
        <v>0</v>
      </c>
      <c r="I32" s="113">
        <v>0</v>
      </c>
      <c r="J32" s="113">
        <v>0</v>
      </c>
    </row>
    <row r="33" spans="1:10" x14ac:dyDescent="0.3">
      <c r="A33" s="112">
        <v>44774905</v>
      </c>
      <c r="B33" s="111" t="s">
        <v>44</v>
      </c>
      <c r="C33" s="111" t="s">
        <v>172</v>
      </c>
      <c r="D33" s="113">
        <v>0</v>
      </c>
      <c r="E33" s="113">
        <v>0</v>
      </c>
      <c r="F33" s="113">
        <v>0</v>
      </c>
      <c r="G33" s="113">
        <v>0</v>
      </c>
      <c r="H33" s="113">
        <v>0</v>
      </c>
      <c r="I33" s="113">
        <v>0</v>
      </c>
      <c r="J33" s="113">
        <v>1</v>
      </c>
    </row>
    <row r="34" spans="1:10" x14ac:dyDescent="0.3">
      <c r="A34" s="112">
        <v>45312905</v>
      </c>
      <c r="B34" s="111" t="s">
        <v>42</v>
      </c>
      <c r="C34" s="111" t="s">
        <v>172</v>
      </c>
      <c r="D34" s="113">
        <v>0</v>
      </c>
      <c r="E34" s="113">
        <v>0</v>
      </c>
      <c r="F34" s="113">
        <v>0</v>
      </c>
      <c r="G34" s="113">
        <v>0</v>
      </c>
      <c r="H34" s="113">
        <v>0</v>
      </c>
      <c r="I34" s="113">
        <v>0</v>
      </c>
      <c r="J34" s="113">
        <v>1</v>
      </c>
    </row>
    <row r="35" spans="1:10" x14ac:dyDescent="0.3">
      <c r="A35" s="112">
        <v>45372809</v>
      </c>
      <c r="B35" s="111" t="s">
        <v>144</v>
      </c>
      <c r="C35" s="111" t="s">
        <v>175</v>
      </c>
      <c r="D35" s="113">
        <v>0</v>
      </c>
      <c r="E35" s="113">
        <v>0</v>
      </c>
      <c r="F35" s="113">
        <v>0</v>
      </c>
      <c r="G35" s="113">
        <v>0</v>
      </c>
      <c r="H35" s="113">
        <v>0</v>
      </c>
      <c r="I35" s="113">
        <v>0</v>
      </c>
      <c r="J35" s="113">
        <v>0</v>
      </c>
    </row>
    <row r="36" spans="1:10" x14ac:dyDescent="0.3">
      <c r="A36" s="112">
        <v>45372855</v>
      </c>
      <c r="B36" s="111" t="s">
        <v>142</v>
      </c>
      <c r="C36" s="111" t="s">
        <v>177</v>
      </c>
      <c r="D36" s="113">
        <v>0</v>
      </c>
      <c r="E36" s="113">
        <v>0</v>
      </c>
      <c r="F36" s="113">
        <v>0</v>
      </c>
      <c r="G36" s="113">
        <v>0</v>
      </c>
      <c r="H36" s="113">
        <v>0</v>
      </c>
      <c r="I36" s="113">
        <v>0</v>
      </c>
      <c r="J36" s="113">
        <v>0</v>
      </c>
    </row>
    <row r="37" spans="1:10" x14ac:dyDescent="0.3">
      <c r="A37" s="112">
        <v>45372905</v>
      </c>
      <c r="B37" s="111" t="s">
        <v>140</v>
      </c>
      <c r="C37" s="111" t="s">
        <v>172</v>
      </c>
      <c r="D37" s="113">
        <v>0</v>
      </c>
      <c r="E37" s="113">
        <v>0</v>
      </c>
      <c r="F37" s="113">
        <v>0</v>
      </c>
      <c r="G37" s="113">
        <v>0</v>
      </c>
      <c r="H37" s="113">
        <v>0</v>
      </c>
      <c r="I37" s="113">
        <v>0</v>
      </c>
      <c r="J37" s="113">
        <v>1</v>
      </c>
    </row>
    <row r="38" spans="1:10" x14ac:dyDescent="0.3">
      <c r="A38" s="112">
        <v>45387905</v>
      </c>
      <c r="B38" s="111" t="s">
        <v>136</v>
      </c>
      <c r="C38" s="111" t="s">
        <v>172</v>
      </c>
      <c r="D38" s="113">
        <v>0</v>
      </c>
      <c r="E38" s="113">
        <v>0</v>
      </c>
      <c r="F38" s="113">
        <v>0</v>
      </c>
      <c r="G38" s="113">
        <v>0</v>
      </c>
      <c r="H38" s="113">
        <v>0</v>
      </c>
      <c r="I38" s="113">
        <v>0</v>
      </c>
      <c r="J38" s="113">
        <v>1</v>
      </c>
    </row>
    <row r="39" spans="1:10" x14ac:dyDescent="0.3">
      <c r="A39" s="112">
        <v>45657855</v>
      </c>
      <c r="B39" s="111" t="s">
        <v>30</v>
      </c>
      <c r="C39" s="111" t="s">
        <v>177</v>
      </c>
      <c r="D39" s="113">
        <v>0</v>
      </c>
      <c r="E39" s="113">
        <v>0</v>
      </c>
      <c r="F39" s="113">
        <v>0</v>
      </c>
      <c r="G39" s="113">
        <v>0</v>
      </c>
      <c r="H39" s="113">
        <v>0</v>
      </c>
      <c r="I39" s="113">
        <v>0</v>
      </c>
      <c r="J39" s="113">
        <v>0</v>
      </c>
    </row>
    <row r="40" spans="1:10" x14ac:dyDescent="0.3">
      <c r="A40" s="112">
        <v>45659855</v>
      </c>
      <c r="B40" s="111" t="s">
        <v>32</v>
      </c>
      <c r="C40" s="111" t="s">
        <v>177</v>
      </c>
      <c r="D40" s="113">
        <v>0</v>
      </c>
      <c r="E40" s="113">
        <v>0</v>
      </c>
      <c r="F40" s="113">
        <v>0</v>
      </c>
      <c r="G40" s="113">
        <v>0</v>
      </c>
      <c r="H40" s="113">
        <v>0</v>
      </c>
      <c r="I40" s="113">
        <v>0</v>
      </c>
      <c r="J40" s="113">
        <v>0</v>
      </c>
    </row>
    <row r="41" spans="1:10" x14ac:dyDescent="0.3">
      <c r="A41" s="112">
        <v>45660855</v>
      </c>
      <c r="B41" s="111" t="s">
        <v>36</v>
      </c>
      <c r="C41" s="111" t="s">
        <v>177</v>
      </c>
      <c r="D41" s="113">
        <v>0</v>
      </c>
      <c r="E41" s="113">
        <v>0</v>
      </c>
      <c r="F41" s="113">
        <v>0</v>
      </c>
      <c r="G41" s="113">
        <v>0</v>
      </c>
      <c r="H41" s="113">
        <v>0</v>
      </c>
      <c r="I41" s="113">
        <v>0</v>
      </c>
      <c r="J41" s="113">
        <v>0</v>
      </c>
    </row>
    <row r="42" spans="1:10" x14ac:dyDescent="0.3">
      <c r="A42" s="112">
        <v>45683809</v>
      </c>
      <c r="B42" s="111" t="s">
        <v>34</v>
      </c>
      <c r="C42" s="111" t="s">
        <v>175</v>
      </c>
      <c r="D42" s="113">
        <v>0</v>
      </c>
      <c r="E42" s="113">
        <v>0</v>
      </c>
      <c r="F42" s="113">
        <v>0</v>
      </c>
      <c r="G42" s="113">
        <v>0</v>
      </c>
      <c r="H42" s="113">
        <v>0</v>
      </c>
      <c r="I42" s="113">
        <v>0</v>
      </c>
      <c r="J42" s="113">
        <v>0</v>
      </c>
    </row>
    <row r="43" spans="1:10" x14ac:dyDescent="0.3">
      <c r="A43" s="112">
        <v>45684809</v>
      </c>
      <c r="B43" s="111" t="s">
        <v>38</v>
      </c>
      <c r="C43" s="111" t="s">
        <v>175</v>
      </c>
      <c r="D43" s="113">
        <v>0</v>
      </c>
      <c r="E43" s="113">
        <v>0</v>
      </c>
      <c r="F43" s="113">
        <v>0</v>
      </c>
      <c r="G43" s="113">
        <v>0</v>
      </c>
      <c r="H43" s="113">
        <v>0</v>
      </c>
      <c r="I43" s="113">
        <v>0</v>
      </c>
      <c r="J43" s="113">
        <v>0</v>
      </c>
    </row>
    <row r="44" spans="1:10" x14ac:dyDescent="0.3">
      <c r="A44" s="112">
        <v>45685855</v>
      </c>
      <c r="B44" s="111" t="s">
        <v>40</v>
      </c>
      <c r="C44" s="111" t="s">
        <v>177</v>
      </c>
      <c r="D44" s="113">
        <v>0</v>
      </c>
      <c r="E44" s="113">
        <v>0</v>
      </c>
      <c r="F44" s="113">
        <v>0</v>
      </c>
      <c r="G44" s="113">
        <v>0</v>
      </c>
      <c r="H44" s="113">
        <v>0</v>
      </c>
      <c r="I44" s="113">
        <v>0</v>
      </c>
      <c r="J44" s="113">
        <v>0</v>
      </c>
    </row>
    <row r="45" spans="1:10" x14ac:dyDescent="0.3">
      <c r="A45" s="112">
        <v>500000214</v>
      </c>
      <c r="B45" s="111" t="s">
        <v>179</v>
      </c>
      <c r="C45" s="111" t="s">
        <v>963</v>
      </c>
      <c r="D45" s="113">
        <v>0</v>
      </c>
      <c r="E45" s="113">
        <v>0</v>
      </c>
      <c r="F45" s="113">
        <v>0</v>
      </c>
      <c r="G45" s="113">
        <v>0</v>
      </c>
      <c r="H45" s="113">
        <v>0</v>
      </c>
      <c r="I45" s="113">
        <v>0</v>
      </c>
      <c r="J45" s="113">
        <v>0</v>
      </c>
    </row>
    <row r="46" spans="1:10" x14ac:dyDescent="0.3">
      <c r="A46" s="112">
        <v>550014136</v>
      </c>
      <c r="B46" s="111" t="s">
        <v>54</v>
      </c>
      <c r="C46" s="111" t="s">
        <v>175</v>
      </c>
      <c r="D46" s="113">
        <v>0</v>
      </c>
      <c r="E46" s="113">
        <v>0</v>
      </c>
      <c r="F46" s="113">
        <v>0</v>
      </c>
      <c r="G46" s="113">
        <v>0</v>
      </c>
      <c r="H46" s="113">
        <v>0</v>
      </c>
      <c r="I46" s="113">
        <v>0</v>
      </c>
      <c r="J46" s="113">
        <v>0</v>
      </c>
    </row>
    <row r="47" spans="1:10" x14ac:dyDescent="0.3">
      <c r="A47" s="112">
        <v>550022409</v>
      </c>
      <c r="B47" s="111" t="s">
        <v>988</v>
      </c>
      <c r="C47" s="111" t="s">
        <v>175</v>
      </c>
      <c r="D47" s="113">
        <v>0</v>
      </c>
      <c r="E47" s="113">
        <v>0</v>
      </c>
      <c r="F47" s="113">
        <v>0</v>
      </c>
      <c r="G47" s="113">
        <v>0</v>
      </c>
      <c r="H47" s="113">
        <v>0</v>
      </c>
      <c r="I47" s="113">
        <v>0</v>
      </c>
      <c r="J47" s="113">
        <v>0</v>
      </c>
    </row>
    <row r="48" spans="1:10" x14ac:dyDescent="0.3">
      <c r="A48" s="112">
        <v>550022488</v>
      </c>
      <c r="B48" s="111" t="s">
        <v>106</v>
      </c>
      <c r="C48" s="111" t="s">
        <v>175</v>
      </c>
      <c r="D48" s="113">
        <v>0</v>
      </c>
      <c r="E48" s="113">
        <v>0</v>
      </c>
      <c r="F48" s="113">
        <v>0</v>
      </c>
      <c r="G48" s="113">
        <v>0</v>
      </c>
      <c r="H48" s="113">
        <v>0</v>
      </c>
      <c r="I48" s="113">
        <v>0</v>
      </c>
      <c r="J48" s="113">
        <v>0</v>
      </c>
    </row>
    <row r="49" spans="1:10" x14ac:dyDescent="0.3">
      <c r="A49" s="112">
        <v>550025692</v>
      </c>
      <c r="B49" s="111" t="s">
        <v>114</v>
      </c>
      <c r="C49" s="111" t="s">
        <v>177</v>
      </c>
      <c r="D49" s="113">
        <v>0</v>
      </c>
      <c r="E49" s="113">
        <v>0</v>
      </c>
      <c r="F49" s="113">
        <v>0</v>
      </c>
      <c r="G49" s="113">
        <v>0</v>
      </c>
      <c r="H49" s="113">
        <v>0</v>
      </c>
      <c r="I49" s="113">
        <v>0</v>
      </c>
      <c r="J49" s="113">
        <v>0</v>
      </c>
    </row>
    <row r="50" spans="1:10" x14ac:dyDescent="0.3">
      <c r="A50" s="112">
        <v>550025702</v>
      </c>
      <c r="B50" s="111" t="s">
        <v>118</v>
      </c>
      <c r="C50" s="111" t="s">
        <v>177</v>
      </c>
      <c r="D50" s="113">
        <v>0</v>
      </c>
      <c r="E50" s="113">
        <v>0</v>
      </c>
      <c r="F50" s="113">
        <v>0</v>
      </c>
      <c r="G50" s="113">
        <v>0</v>
      </c>
      <c r="H50" s="113">
        <v>0</v>
      </c>
      <c r="I50" s="113">
        <v>0</v>
      </c>
      <c r="J50" s="113">
        <v>0</v>
      </c>
    </row>
    <row r="51" spans="1:10" x14ac:dyDescent="0.3">
      <c r="A51" s="112">
        <v>550025731</v>
      </c>
      <c r="B51" s="111" t="s">
        <v>68</v>
      </c>
      <c r="C51" s="111" t="s">
        <v>175</v>
      </c>
      <c r="D51" s="113">
        <v>0</v>
      </c>
      <c r="E51" s="113">
        <v>0</v>
      </c>
      <c r="F51" s="113">
        <v>0</v>
      </c>
      <c r="G51" s="113">
        <v>0</v>
      </c>
      <c r="H51" s="113">
        <v>0</v>
      </c>
      <c r="I51" s="113">
        <v>0</v>
      </c>
      <c r="J51" s="113">
        <v>0</v>
      </c>
    </row>
    <row r="52" spans="1:10" x14ac:dyDescent="0.3">
      <c r="A52" s="112">
        <v>550026300</v>
      </c>
      <c r="B52" s="111" t="s">
        <v>58</v>
      </c>
      <c r="C52" s="111" t="s">
        <v>177</v>
      </c>
      <c r="D52" s="113">
        <v>0</v>
      </c>
      <c r="E52" s="113">
        <v>0</v>
      </c>
      <c r="F52" s="113">
        <v>0</v>
      </c>
      <c r="G52" s="113">
        <v>0</v>
      </c>
      <c r="H52" s="113">
        <v>0</v>
      </c>
      <c r="I52" s="113">
        <v>0</v>
      </c>
      <c r="J52" s="113">
        <v>0</v>
      </c>
    </row>
    <row r="53" spans="1:10" x14ac:dyDescent="0.3">
      <c r="A53" s="112">
        <v>550026301</v>
      </c>
      <c r="B53" s="111" t="s">
        <v>964</v>
      </c>
      <c r="C53" s="111" t="s">
        <v>177</v>
      </c>
      <c r="D53" s="113">
        <v>0</v>
      </c>
      <c r="E53" s="113">
        <v>0</v>
      </c>
      <c r="F53" s="113">
        <v>0</v>
      </c>
      <c r="G53" s="113">
        <v>0</v>
      </c>
      <c r="H53" s="113">
        <v>0</v>
      </c>
      <c r="I53" s="113">
        <v>0</v>
      </c>
      <c r="J53" s="113">
        <v>0</v>
      </c>
    </row>
    <row r="54" spans="1:10" x14ac:dyDescent="0.3">
      <c r="A54" s="112">
        <v>550026697</v>
      </c>
      <c r="B54" s="111" t="s">
        <v>104</v>
      </c>
      <c r="C54" s="111" t="s">
        <v>177</v>
      </c>
      <c r="D54" s="113">
        <v>0</v>
      </c>
      <c r="E54" s="113">
        <v>0</v>
      </c>
      <c r="F54" s="113">
        <v>0</v>
      </c>
      <c r="G54" s="113">
        <v>0</v>
      </c>
      <c r="H54" s="113">
        <v>0</v>
      </c>
      <c r="I54" s="113">
        <v>0</v>
      </c>
      <c r="J54" s="113">
        <v>0</v>
      </c>
    </row>
    <row r="55" spans="1:10" x14ac:dyDescent="0.3">
      <c r="A55" s="112">
        <v>550026699</v>
      </c>
      <c r="B55" s="111" t="s">
        <v>102</v>
      </c>
      <c r="C55" s="111" t="s">
        <v>175</v>
      </c>
      <c r="D55" s="113">
        <v>0</v>
      </c>
      <c r="E55" s="113">
        <v>0</v>
      </c>
      <c r="F55" s="113">
        <v>0</v>
      </c>
      <c r="G55" s="113">
        <v>0</v>
      </c>
      <c r="H55" s="113">
        <v>0</v>
      </c>
      <c r="I55" s="113">
        <v>0</v>
      </c>
      <c r="J55" s="113">
        <v>0</v>
      </c>
    </row>
    <row r="56" spans="1:10" x14ac:dyDescent="0.3">
      <c r="A56" s="112">
        <v>550026700</v>
      </c>
      <c r="B56" s="111" t="s">
        <v>100</v>
      </c>
      <c r="C56" s="111" t="s">
        <v>177</v>
      </c>
      <c r="D56" s="113">
        <v>0</v>
      </c>
      <c r="E56" s="113">
        <v>0</v>
      </c>
      <c r="F56" s="113">
        <v>0</v>
      </c>
      <c r="G56" s="113">
        <v>0</v>
      </c>
      <c r="H56" s="113">
        <v>0</v>
      </c>
      <c r="I56" s="113">
        <v>0</v>
      </c>
      <c r="J56" s="113">
        <v>0</v>
      </c>
    </row>
    <row r="57" spans="1:10" x14ac:dyDescent="0.3">
      <c r="A57" s="112">
        <v>550026710</v>
      </c>
      <c r="B57" s="111" t="s">
        <v>98</v>
      </c>
      <c r="C57" s="111" t="s">
        <v>175</v>
      </c>
      <c r="D57" s="113">
        <v>0</v>
      </c>
      <c r="E57" s="113">
        <v>0</v>
      </c>
      <c r="F57" s="113">
        <v>0</v>
      </c>
      <c r="G57" s="113">
        <v>0</v>
      </c>
      <c r="H57" s="113">
        <v>0</v>
      </c>
      <c r="I57" s="113">
        <v>0</v>
      </c>
      <c r="J57" s="113">
        <v>0</v>
      </c>
    </row>
    <row r="58" spans="1:10" x14ac:dyDescent="0.3">
      <c r="A58" s="112">
        <v>550026834</v>
      </c>
      <c r="B58" s="111" t="s">
        <v>116</v>
      </c>
      <c r="C58" s="111" t="s">
        <v>175</v>
      </c>
      <c r="D58" s="113">
        <v>0</v>
      </c>
      <c r="E58" s="113">
        <v>0</v>
      </c>
      <c r="F58" s="113">
        <v>0</v>
      </c>
      <c r="G58" s="113">
        <v>0</v>
      </c>
      <c r="H58" s="113">
        <v>0</v>
      </c>
      <c r="I58" s="113">
        <v>0</v>
      </c>
      <c r="J58" s="113">
        <v>0</v>
      </c>
    </row>
    <row r="59" spans="1:10" x14ac:dyDescent="0.3">
      <c r="A59" s="112">
        <v>550026891</v>
      </c>
      <c r="B59" s="111" t="s">
        <v>154</v>
      </c>
      <c r="C59" s="111" t="s">
        <v>177</v>
      </c>
      <c r="D59" s="113">
        <v>0</v>
      </c>
      <c r="E59" s="113">
        <v>0</v>
      </c>
      <c r="F59" s="113">
        <v>0</v>
      </c>
      <c r="G59" s="113">
        <v>0</v>
      </c>
      <c r="H59" s="113">
        <v>0</v>
      </c>
      <c r="I59" s="113">
        <v>0</v>
      </c>
      <c r="J59" s="113">
        <v>0</v>
      </c>
    </row>
    <row r="60" spans="1:10" x14ac:dyDescent="0.3">
      <c r="A60" s="112">
        <v>550026900</v>
      </c>
      <c r="B60" s="111" t="s">
        <v>150</v>
      </c>
      <c r="C60" s="111" t="s">
        <v>175</v>
      </c>
      <c r="D60" s="113">
        <v>0</v>
      </c>
      <c r="E60" s="113">
        <v>0</v>
      </c>
      <c r="F60" s="113">
        <v>0</v>
      </c>
      <c r="G60" s="113">
        <v>0</v>
      </c>
      <c r="H60" s="113">
        <v>0</v>
      </c>
      <c r="I60" s="113">
        <v>0</v>
      </c>
      <c r="J60" s="113">
        <v>0</v>
      </c>
    </row>
    <row r="61" spans="1:10" x14ac:dyDescent="0.3">
      <c r="A61" s="112">
        <v>550026902</v>
      </c>
      <c r="B61" s="111" t="s">
        <v>965</v>
      </c>
      <c r="C61" s="111" t="s">
        <v>175</v>
      </c>
      <c r="D61" s="113">
        <v>0</v>
      </c>
      <c r="E61" s="113">
        <v>0</v>
      </c>
      <c r="F61" s="113">
        <v>0</v>
      </c>
      <c r="G61" s="113">
        <v>0</v>
      </c>
      <c r="H61" s="113">
        <v>0</v>
      </c>
      <c r="I61" s="113">
        <v>0</v>
      </c>
      <c r="J61" s="113">
        <v>0</v>
      </c>
    </row>
    <row r="62" spans="1:10" x14ac:dyDescent="0.3">
      <c r="A62" s="112">
        <v>550026907</v>
      </c>
      <c r="B62" s="111" t="s">
        <v>152</v>
      </c>
      <c r="C62" s="111" t="s">
        <v>175</v>
      </c>
      <c r="D62" s="113">
        <v>0</v>
      </c>
      <c r="E62" s="113">
        <v>0</v>
      </c>
      <c r="F62" s="113">
        <v>0</v>
      </c>
      <c r="G62" s="113">
        <v>0</v>
      </c>
      <c r="H62" s="113">
        <v>0</v>
      </c>
      <c r="I62" s="113">
        <v>0</v>
      </c>
      <c r="J62" s="113">
        <v>0</v>
      </c>
    </row>
    <row r="63" spans="1:10" x14ac:dyDescent="0.3">
      <c r="A63" s="112">
        <v>550026919</v>
      </c>
      <c r="B63" s="111" t="s">
        <v>966</v>
      </c>
      <c r="C63" s="111" t="s">
        <v>175</v>
      </c>
      <c r="D63" s="113">
        <v>0</v>
      </c>
      <c r="E63" s="113">
        <v>0</v>
      </c>
      <c r="F63" s="113">
        <v>0</v>
      </c>
      <c r="G63" s="113">
        <v>0</v>
      </c>
      <c r="H63" s="113">
        <v>0</v>
      </c>
      <c r="I63" s="113">
        <v>0</v>
      </c>
      <c r="J63" s="113">
        <v>0</v>
      </c>
    </row>
    <row r="64" spans="1:10" x14ac:dyDescent="0.3">
      <c r="A64" s="112">
        <v>550027265</v>
      </c>
      <c r="B64" s="111" t="s">
        <v>56</v>
      </c>
      <c r="C64" s="111" t="s">
        <v>177</v>
      </c>
      <c r="D64" s="113">
        <v>0</v>
      </c>
      <c r="E64" s="113">
        <v>0</v>
      </c>
      <c r="F64" s="113">
        <v>0</v>
      </c>
      <c r="G64" s="113">
        <v>0</v>
      </c>
      <c r="H64" s="113">
        <v>0</v>
      </c>
      <c r="I64" s="113">
        <v>0</v>
      </c>
      <c r="J64" s="113">
        <v>0</v>
      </c>
    </row>
    <row r="65" spans="1:10" x14ac:dyDescent="0.3">
      <c r="A65" s="112">
        <v>550027631</v>
      </c>
      <c r="B65" s="111" t="s">
        <v>62</v>
      </c>
      <c r="C65" s="111" t="s">
        <v>172</v>
      </c>
      <c r="D65" s="113">
        <v>0</v>
      </c>
      <c r="E65" s="113">
        <v>0</v>
      </c>
      <c r="F65" s="113">
        <v>0</v>
      </c>
      <c r="G65" s="113">
        <v>0</v>
      </c>
      <c r="H65" s="113">
        <v>0</v>
      </c>
      <c r="I65" s="113">
        <v>0</v>
      </c>
      <c r="J65" s="113">
        <v>1</v>
      </c>
    </row>
    <row r="66" spans="1:10" x14ac:dyDescent="0.3">
      <c r="A66" s="112">
        <v>550027680</v>
      </c>
      <c r="B66" s="111" t="s">
        <v>967</v>
      </c>
      <c r="C66" s="111" t="s">
        <v>175</v>
      </c>
      <c r="D66" s="113">
        <v>0</v>
      </c>
      <c r="E66" s="113">
        <v>0</v>
      </c>
      <c r="F66" s="113">
        <v>0</v>
      </c>
      <c r="G66" s="113">
        <v>0</v>
      </c>
      <c r="H66" s="113">
        <v>0</v>
      </c>
      <c r="I66" s="113">
        <v>0</v>
      </c>
      <c r="J66" s="113">
        <v>0</v>
      </c>
    </row>
    <row r="67" spans="1:10" x14ac:dyDescent="0.3">
      <c r="A67" s="112">
        <v>550029925</v>
      </c>
      <c r="B67" s="111" t="s">
        <v>138</v>
      </c>
      <c r="C67" s="111" t="s">
        <v>175</v>
      </c>
      <c r="D67" s="113">
        <v>0</v>
      </c>
      <c r="E67" s="113">
        <v>0</v>
      </c>
      <c r="F67" s="113">
        <v>0</v>
      </c>
      <c r="G67" s="113">
        <v>0</v>
      </c>
      <c r="H67" s="113">
        <v>0</v>
      </c>
      <c r="I67" s="113">
        <v>0</v>
      </c>
      <c r="J67" s="113">
        <v>0</v>
      </c>
    </row>
    <row r="68" spans="1:10" x14ac:dyDescent="0.3">
      <c r="A68" s="112">
        <v>550032121</v>
      </c>
      <c r="B68" s="111" t="s">
        <v>134</v>
      </c>
      <c r="C68" s="111" t="s">
        <v>175</v>
      </c>
      <c r="D68" s="113">
        <v>0</v>
      </c>
      <c r="E68" s="113">
        <v>0</v>
      </c>
      <c r="F68" s="113">
        <v>0</v>
      </c>
      <c r="G68" s="113">
        <v>0</v>
      </c>
      <c r="H68" s="113">
        <v>0</v>
      </c>
      <c r="I68" s="113">
        <v>0</v>
      </c>
      <c r="J68" s="113">
        <v>0</v>
      </c>
    </row>
    <row r="69" spans="1:10" x14ac:dyDescent="0.3">
      <c r="A69" s="112">
        <v>550036183</v>
      </c>
      <c r="B69" s="111" t="s">
        <v>110</v>
      </c>
      <c r="C69" s="111" t="s">
        <v>175</v>
      </c>
      <c r="D69" s="113">
        <v>0</v>
      </c>
      <c r="E69" s="113">
        <v>0</v>
      </c>
      <c r="F69" s="113">
        <v>0</v>
      </c>
      <c r="G69" s="113">
        <v>0</v>
      </c>
      <c r="H69" s="113">
        <v>0</v>
      </c>
      <c r="I69" s="113">
        <v>0</v>
      </c>
      <c r="J69" s="113">
        <v>0</v>
      </c>
    </row>
    <row r="70" spans="1:10" x14ac:dyDescent="0.3">
      <c r="A70" s="112">
        <v>550036571</v>
      </c>
      <c r="B70" s="111" t="s">
        <v>108</v>
      </c>
      <c r="C70" s="111" t="s">
        <v>175</v>
      </c>
      <c r="D70" s="113">
        <v>0</v>
      </c>
      <c r="E70" s="113">
        <v>0</v>
      </c>
      <c r="F70" s="113">
        <v>0</v>
      </c>
      <c r="G70" s="113">
        <v>0</v>
      </c>
      <c r="H70" s="113">
        <v>0</v>
      </c>
      <c r="I70" s="113">
        <v>0</v>
      </c>
      <c r="J70" s="113">
        <v>0</v>
      </c>
    </row>
    <row r="71" spans="1:10" x14ac:dyDescent="0.3">
      <c r="A71" s="112">
        <v>550038020</v>
      </c>
      <c r="B71" s="111" t="s">
        <v>128</v>
      </c>
      <c r="C71" s="111" t="s">
        <v>175</v>
      </c>
      <c r="D71" s="113">
        <v>0</v>
      </c>
      <c r="E71" s="113">
        <v>0</v>
      </c>
      <c r="F71" s="113">
        <v>0</v>
      </c>
      <c r="G71" s="113">
        <v>0</v>
      </c>
      <c r="H71" s="113">
        <v>0</v>
      </c>
      <c r="I71" s="113">
        <v>0</v>
      </c>
      <c r="J71" s="113">
        <v>0</v>
      </c>
    </row>
    <row r="72" spans="1:10" x14ac:dyDescent="0.3">
      <c r="A72" s="112">
        <v>550043380</v>
      </c>
      <c r="B72" s="111" t="s">
        <v>164</v>
      </c>
      <c r="C72" s="111" t="s">
        <v>175</v>
      </c>
      <c r="D72" s="113">
        <v>0</v>
      </c>
      <c r="E72" s="113">
        <v>0</v>
      </c>
      <c r="F72" s="113">
        <v>0</v>
      </c>
      <c r="G72" s="113">
        <v>0</v>
      </c>
      <c r="H72" s="113">
        <v>0</v>
      </c>
      <c r="I72" s="113">
        <v>0</v>
      </c>
      <c r="J72" s="113">
        <v>0</v>
      </c>
    </row>
    <row r="73" spans="1:10" x14ac:dyDescent="0.3">
      <c r="A73" s="112">
        <v>550044601</v>
      </c>
      <c r="B73" s="111" t="s">
        <v>968</v>
      </c>
      <c r="C73" s="111" t="s">
        <v>175</v>
      </c>
      <c r="D73" s="113">
        <v>0</v>
      </c>
      <c r="E73" s="113">
        <v>0</v>
      </c>
      <c r="F73" s="113">
        <v>0</v>
      </c>
      <c r="G73" s="113">
        <v>0</v>
      </c>
      <c r="H73" s="113">
        <v>0</v>
      </c>
      <c r="I73" s="113">
        <v>0</v>
      </c>
      <c r="J73" s="113">
        <v>0</v>
      </c>
    </row>
    <row r="74" spans="1:10" x14ac:dyDescent="0.3">
      <c r="A74" s="112">
        <v>550045415</v>
      </c>
      <c r="B74" s="111" t="s">
        <v>158</v>
      </c>
      <c r="C74" s="111" t="s">
        <v>177</v>
      </c>
      <c r="D74" s="113">
        <v>0</v>
      </c>
      <c r="E74" s="113">
        <v>0</v>
      </c>
      <c r="F74" s="113">
        <v>0</v>
      </c>
      <c r="G74" s="113">
        <v>0</v>
      </c>
      <c r="H74" s="113">
        <v>0</v>
      </c>
      <c r="I74" s="113">
        <v>0</v>
      </c>
      <c r="J74" s="113">
        <v>0</v>
      </c>
    </row>
    <row r="75" spans="1:10" x14ac:dyDescent="0.3">
      <c r="A75" s="112">
        <v>550045436</v>
      </c>
      <c r="B75" s="111" t="s">
        <v>126</v>
      </c>
      <c r="C75" s="111" t="s">
        <v>172</v>
      </c>
      <c r="D75" s="113">
        <v>0</v>
      </c>
      <c r="E75" s="113">
        <v>0</v>
      </c>
      <c r="F75" s="113">
        <v>0</v>
      </c>
      <c r="G75" s="113">
        <v>0</v>
      </c>
      <c r="H75" s="113">
        <v>0</v>
      </c>
      <c r="I75" s="113">
        <v>0</v>
      </c>
      <c r="J75" s="113">
        <v>1</v>
      </c>
    </row>
    <row r="76" spans="1:10" x14ac:dyDescent="0.3">
      <c r="A76" s="112">
        <v>550045438</v>
      </c>
      <c r="B76" s="111" t="s">
        <v>130</v>
      </c>
      <c r="C76" s="111" t="s">
        <v>172</v>
      </c>
      <c r="D76" s="113">
        <v>0</v>
      </c>
      <c r="E76" s="113">
        <v>0</v>
      </c>
      <c r="F76" s="113">
        <v>0</v>
      </c>
      <c r="G76" s="113">
        <v>0</v>
      </c>
      <c r="H76" s="113">
        <v>0</v>
      </c>
      <c r="I76" s="113">
        <v>0</v>
      </c>
      <c r="J76" s="113">
        <v>1</v>
      </c>
    </row>
    <row r="77" spans="1:10" x14ac:dyDescent="0.3">
      <c r="A77" s="112">
        <v>550045838</v>
      </c>
      <c r="B77" s="111" t="s">
        <v>952</v>
      </c>
      <c r="C77" s="111" t="s">
        <v>172</v>
      </c>
      <c r="D77" s="113">
        <v>0</v>
      </c>
      <c r="E77" s="113">
        <v>0</v>
      </c>
      <c r="F77" s="113">
        <v>8</v>
      </c>
      <c r="G77" s="113">
        <v>8</v>
      </c>
      <c r="H77" s="113">
        <v>8</v>
      </c>
      <c r="I77" s="113">
        <v>8</v>
      </c>
      <c r="J77" s="113">
        <v>1</v>
      </c>
    </row>
    <row r="78" spans="1:10" x14ac:dyDescent="0.3">
      <c r="A78" s="112">
        <v>550045853</v>
      </c>
      <c r="B78" s="111" t="s">
        <v>76</v>
      </c>
      <c r="C78" s="111" t="s">
        <v>172</v>
      </c>
      <c r="D78" s="113">
        <v>0</v>
      </c>
      <c r="E78" s="113">
        <v>0</v>
      </c>
      <c r="F78" s="113">
        <v>0</v>
      </c>
      <c r="G78" s="113">
        <v>0</v>
      </c>
      <c r="H78" s="113">
        <v>0</v>
      </c>
      <c r="I78" s="113">
        <v>0</v>
      </c>
      <c r="J78" s="113">
        <v>1</v>
      </c>
    </row>
    <row r="79" spans="1:10" x14ac:dyDescent="0.3">
      <c r="A79" s="112">
        <v>550045885</v>
      </c>
      <c r="B79" s="111" t="s">
        <v>78</v>
      </c>
      <c r="C79" s="111" t="s">
        <v>172</v>
      </c>
      <c r="D79" s="113">
        <v>0</v>
      </c>
      <c r="E79" s="113">
        <v>0</v>
      </c>
      <c r="F79" s="113">
        <v>0</v>
      </c>
      <c r="G79" s="113">
        <v>0</v>
      </c>
      <c r="H79" s="113">
        <v>0</v>
      </c>
      <c r="I79" s="113">
        <v>0</v>
      </c>
      <c r="J79" s="113">
        <v>1</v>
      </c>
    </row>
    <row r="80" spans="1:10" x14ac:dyDescent="0.3">
      <c r="A80" s="112">
        <v>550045901</v>
      </c>
      <c r="B80" s="111" t="s">
        <v>969</v>
      </c>
      <c r="C80" s="111" t="s">
        <v>172</v>
      </c>
      <c r="D80" s="113">
        <v>0</v>
      </c>
      <c r="E80" s="113">
        <v>0</v>
      </c>
      <c r="F80" s="113">
        <v>0</v>
      </c>
      <c r="G80" s="113">
        <v>0</v>
      </c>
      <c r="H80" s="113">
        <v>0</v>
      </c>
      <c r="I80" s="113">
        <v>0</v>
      </c>
      <c r="J80" s="113">
        <v>1</v>
      </c>
    </row>
    <row r="81" spans="1:10" x14ac:dyDescent="0.3">
      <c r="A81" s="112">
        <v>550045905</v>
      </c>
      <c r="B81" s="111" t="s">
        <v>84</v>
      </c>
      <c r="C81" s="111" t="s">
        <v>172</v>
      </c>
      <c r="D81" s="113">
        <v>0</v>
      </c>
      <c r="E81" s="113">
        <v>0</v>
      </c>
      <c r="F81" s="113">
        <v>0</v>
      </c>
      <c r="G81" s="113">
        <v>0</v>
      </c>
      <c r="H81" s="113">
        <v>0</v>
      </c>
      <c r="I81" s="113">
        <v>0</v>
      </c>
      <c r="J81" s="113">
        <v>1</v>
      </c>
    </row>
    <row r="82" spans="1:10" x14ac:dyDescent="0.3">
      <c r="A82" s="112">
        <v>550047075</v>
      </c>
      <c r="B82" s="111" t="s">
        <v>60</v>
      </c>
      <c r="C82" s="111" t="s">
        <v>175</v>
      </c>
      <c r="D82" s="113">
        <v>0</v>
      </c>
      <c r="E82" s="113">
        <v>0</v>
      </c>
      <c r="F82" s="113">
        <v>0</v>
      </c>
      <c r="G82" s="113">
        <v>0</v>
      </c>
      <c r="H82" s="113">
        <v>0</v>
      </c>
      <c r="I82" s="113">
        <v>0</v>
      </c>
      <c r="J82" s="113">
        <v>0</v>
      </c>
    </row>
    <row r="83" spans="1:10" x14ac:dyDescent="0.3">
      <c r="A83" s="112">
        <v>550047079</v>
      </c>
      <c r="B83" s="111" t="s">
        <v>52</v>
      </c>
      <c r="C83" s="111" t="s">
        <v>175</v>
      </c>
      <c r="D83" s="113">
        <v>0</v>
      </c>
      <c r="E83" s="113">
        <v>0</v>
      </c>
      <c r="F83" s="113">
        <v>0</v>
      </c>
      <c r="G83" s="113">
        <v>0</v>
      </c>
      <c r="H83" s="113">
        <v>0</v>
      </c>
      <c r="I83" s="113">
        <v>0</v>
      </c>
      <c r="J83" s="113">
        <v>0</v>
      </c>
    </row>
    <row r="84" spans="1:10" x14ac:dyDescent="0.3">
      <c r="A84" s="112">
        <v>550047182</v>
      </c>
      <c r="B84" s="111" t="s">
        <v>1136</v>
      </c>
      <c r="C84" s="111" t="s">
        <v>175</v>
      </c>
      <c r="D84" s="113">
        <v>0</v>
      </c>
      <c r="E84" s="113">
        <v>0</v>
      </c>
      <c r="F84" s="113">
        <v>0</v>
      </c>
      <c r="G84" s="113">
        <v>0</v>
      </c>
      <c r="H84" s="113">
        <v>0</v>
      </c>
      <c r="I84" s="113">
        <v>0</v>
      </c>
      <c r="J84" s="113">
        <v>0</v>
      </c>
    </row>
    <row r="85" spans="1:10" x14ac:dyDescent="0.3">
      <c r="A85" s="112">
        <v>550047184</v>
      </c>
      <c r="B85" s="111" t="s">
        <v>1000</v>
      </c>
      <c r="C85" s="111" t="s">
        <v>175</v>
      </c>
      <c r="D85" s="113">
        <v>0</v>
      </c>
      <c r="E85" s="113">
        <v>0</v>
      </c>
      <c r="F85" s="113">
        <v>0</v>
      </c>
      <c r="G85" s="113">
        <v>0</v>
      </c>
      <c r="H85" s="113">
        <v>0</v>
      </c>
      <c r="I85" s="113">
        <v>0</v>
      </c>
      <c r="J85" s="113">
        <v>0</v>
      </c>
    </row>
    <row r="86" spans="1:10" x14ac:dyDescent="0.3">
      <c r="A86" s="112">
        <v>550047744</v>
      </c>
      <c r="B86" s="111" t="s">
        <v>1135</v>
      </c>
      <c r="C86" s="111" t="s">
        <v>970</v>
      </c>
      <c r="D86" s="113">
        <v>0</v>
      </c>
      <c r="E86" s="113">
        <v>0</v>
      </c>
      <c r="F86" s="113">
        <v>0</v>
      </c>
      <c r="G86" s="113">
        <v>0</v>
      </c>
      <c r="H86" s="113">
        <v>0</v>
      </c>
      <c r="I86" s="113">
        <v>0</v>
      </c>
      <c r="J86" s="113">
        <v>0</v>
      </c>
    </row>
    <row r="87" spans="1:10" x14ac:dyDescent="0.3">
      <c r="A87" s="112">
        <v>550049041</v>
      </c>
      <c r="B87" s="111" t="s">
        <v>92</v>
      </c>
      <c r="C87" s="111" t="s">
        <v>172</v>
      </c>
      <c r="D87" s="113">
        <v>0</v>
      </c>
      <c r="E87" s="113">
        <v>0</v>
      </c>
      <c r="F87" s="113">
        <v>0</v>
      </c>
      <c r="G87" s="113">
        <v>0</v>
      </c>
      <c r="H87" s="113">
        <v>0</v>
      </c>
      <c r="I87" s="113">
        <v>0</v>
      </c>
      <c r="J87" s="113">
        <v>1</v>
      </c>
    </row>
    <row r="88" spans="1:10" x14ac:dyDescent="0.3">
      <c r="A88" s="112">
        <v>550049771</v>
      </c>
      <c r="B88" s="111" t="s">
        <v>112</v>
      </c>
      <c r="C88" s="111" t="s">
        <v>172</v>
      </c>
      <c r="D88" s="113">
        <v>0</v>
      </c>
      <c r="E88" s="113">
        <v>0</v>
      </c>
      <c r="F88" s="113">
        <v>0</v>
      </c>
      <c r="G88" s="113">
        <v>0</v>
      </c>
      <c r="H88" s="113">
        <v>0</v>
      </c>
      <c r="I88" s="113">
        <v>0</v>
      </c>
      <c r="J88" s="113">
        <v>1</v>
      </c>
    </row>
    <row r="89" spans="1:10" x14ac:dyDescent="0.3">
      <c r="A89" s="112">
        <v>550049811</v>
      </c>
      <c r="B89" s="111" t="s">
        <v>971</v>
      </c>
      <c r="C89" s="111" t="s">
        <v>172</v>
      </c>
      <c r="D89" s="113">
        <v>0</v>
      </c>
      <c r="E89" s="113">
        <v>0</v>
      </c>
      <c r="F89" s="113">
        <v>0</v>
      </c>
      <c r="G89" s="113">
        <v>0</v>
      </c>
      <c r="H89" s="113">
        <v>0</v>
      </c>
      <c r="I89" s="113">
        <v>0</v>
      </c>
      <c r="J89" s="113">
        <v>1</v>
      </c>
    </row>
    <row r="90" spans="1:10" x14ac:dyDescent="0.3">
      <c r="A90" s="112">
        <v>550049812</v>
      </c>
      <c r="B90" s="111" t="s">
        <v>972</v>
      </c>
      <c r="C90" s="111" t="s">
        <v>172</v>
      </c>
      <c r="D90" s="113">
        <v>0</v>
      </c>
      <c r="E90" s="113">
        <v>0</v>
      </c>
      <c r="F90" s="113">
        <v>0</v>
      </c>
      <c r="G90" s="113">
        <v>0</v>
      </c>
      <c r="H90" s="113">
        <v>0</v>
      </c>
      <c r="I90" s="113">
        <v>0</v>
      </c>
      <c r="J90" s="113">
        <v>1</v>
      </c>
    </row>
    <row r="91" spans="1:10" x14ac:dyDescent="0.3">
      <c r="A91" s="112">
        <v>550049814</v>
      </c>
      <c r="B91" s="111" t="s">
        <v>148</v>
      </c>
      <c r="C91" s="111" t="s">
        <v>172</v>
      </c>
      <c r="D91" s="113">
        <v>0</v>
      </c>
      <c r="E91" s="113">
        <v>0</v>
      </c>
      <c r="F91" s="113">
        <v>0</v>
      </c>
      <c r="G91" s="113">
        <v>0</v>
      </c>
      <c r="H91" s="113">
        <v>0</v>
      </c>
      <c r="I91" s="113">
        <v>0</v>
      </c>
      <c r="J91" s="113">
        <v>1</v>
      </c>
    </row>
    <row r="92" spans="1:10" x14ac:dyDescent="0.3">
      <c r="A92" s="112">
        <v>550050052</v>
      </c>
      <c r="B92" s="111" t="s">
        <v>156</v>
      </c>
      <c r="C92" s="111" t="s">
        <v>172</v>
      </c>
      <c r="D92" s="113">
        <v>0</v>
      </c>
      <c r="E92" s="113">
        <v>0</v>
      </c>
      <c r="F92" s="113">
        <v>0</v>
      </c>
      <c r="G92" s="113">
        <v>0</v>
      </c>
      <c r="H92" s="113">
        <v>0</v>
      </c>
      <c r="I92" s="113">
        <v>0</v>
      </c>
      <c r="J92" s="113">
        <v>1</v>
      </c>
    </row>
    <row r="93" spans="1:10" x14ac:dyDescent="0.3">
      <c r="A93" s="112">
        <v>550050102</v>
      </c>
      <c r="B93" s="111" t="s">
        <v>94</v>
      </c>
      <c r="C93" s="111" t="s">
        <v>172</v>
      </c>
      <c r="D93" s="113">
        <v>0</v>
      </c>
      <c r="E93" s="113">
        <v>0</v>
      </c>
      <c r="F93" s="113">
        <v>0</v>
      </c>
      <c r="G93" s="113">
        <v>0</v>
      </c>
      <c r="H93" s="113">
        <v>0</v>
      </c>
      <c r="I93" s="113">
        <v>0</v>
      </c>
      <c r="J93" s="113">
        <v>1</v>
      </c>
    </row>
    <row r="94" spans="1:10" x14ac:dyDescent="0.3">
      <c r="A94" s="112">
        <v>550050706</v>
      </c>
      <c r="B94" s="111" t="s">
        <v>64</v>
      </c>
      <c r="C94" s="111" t="s">
        <v>177</v>
      </c>
      <c r="D94" s="113">
        <v>0</v>
      </c>
      <c r="E94" s="113">
        <v>0</v>
      </c>
      <c r="F94" s="113">
        <v>0</v>
      </c>
      <c r="G94" s="113">
        <v>0</v>
      </c>
      <c r="H94" s="113">
        <v>0</v>
      </c>
      <c r="I94" s="113">
        <v>0</v>
      </c>
      <c r="J94" s="113">
        <v>0</v>
      </c>
    </row>
    <row r="95" spans="1:10" x14ac:dyDescent="0.3">
      <c r="A95" s="112">
        <v>550050708</v>
      </c>
      <c r="B95" s="111" t="s">
        <v>66</v>
      </c>
      <c r="C95" s="111" t="s">
        <v>177</v>
      </c>
      <c r="D95" s="113">
        <v>0</v>
      </c>
      <c r="E95" s="113">
        <v>0</v>
      </c>
      <c r="F95" s="113">
        <v>0</v>
      </c>
      <c r="G95" s="113">
        <v>0</v>
      </c>
      <c r="H95" s="113">
        <v>0</v>
      </c>
      <c r="I95" s="113">
        <v>0</v>
      </c>
      <c r="J95" s="113">
        <v>0</v>
      </c>
    </row>
    <row r="96" spans="1:10" x14ac:dyDescent="0.3">
      <c r="A96" s="112">
        <v>550052035</v>
      </c>
      <c r="B96" s="111" t="s">
        <v>182</v>
      </c>
      <c r="C96" s="111" t="s">
        <v>172</v>
      </c>
      <c r="D96" s="113">
        <v>0</v>
      </c>
      <c r="E96" s="113">
        <v>0</v>
      </c>
      <c r="F96" s="113">
        <v>0</v>
      </c>
      <c r="G96" s="113">
        <v>0</v>
      </c>
      <c r="H96" s="113">
        <v>0</v>
      </c>
      <c r="I96" s="113">
        <v>0</v>
      </c>
      <c r="J96" s="113">
        <v>1</v>
      </c>
    </row>
    <row r="97" spans="1:10" x14ac:dyDescent="0.3">
      <c r="A97" s="112">
        <v>550052038</v>
      </c>
      <c r="B97" s="111" t="s">
        <v>82</v>
      </c>
      <c r="C97" s="111" t="s">
        <v>172</v>
      </c>
      <c r="D97" s="113">
        <v>0</v>
      </c>
      <c r="E97" s="113">
        <v>0</v>
      </c>
      <c r="F97" s="113">
        <v>0</v>
      </c>
      <c r="G97" s="113">
        <v>0</v>
      </c>
      <c r="H97" s="113">
        <v>0</v>
      </c>
      <c r="I97" s="113">
        <v>0</v>
      </c>
      <c r="J97" s="113">
        <v>1</v>
      </c>
    </row>
    <row r="98" spans="1:10" x14ac:dyDescent="0.3">
      <c r="A98" s="112">
        <v>550052219</v>
      </c>
      <c r="B98" s="111" t="s">
        <v>973</v>
      </c>
      <c r="C98" s="111" t="s">
        <v>175</v>
      </c>
      <c r="D98" s="113">
        <v>0</v>
      </c>
      <c r="E98" s="113">
        <v>0</v>
      </c>
      <c r="F98" s="113">
        <v>0</v>
      </c>
      <c r="G98" s="113">
        <v>0</v>
      </c>
      <c r="H98" s="113">
        <v>0</v>
      </c>
      <c r="I98" s="113">
        <v>0</v>
      </c>
      <c r="J98" s="113">
        <v>0</v>
      </c>
    </row>
    <row r="99" spans="1:10" x14ac:dyDescent="0.3">
      <c r="A99" s="112">
        <v>550052774</v>
      </c>
      <c r="B99" s="111" t="s">
        <v>46</v>
      </c>
      <c r="C99" s="111" t="s">
        <v>175</v>
      </c>
      <c r="D99" s="113">
        <v>0</v>
      </c>
      <c r="E99" s="113">
        <v>0</v>
      </c>
      <c r="F99" s="113">
        <v>0</v>
      </c>
      <c r="G99" s="113">
        <v>0</v>
      </c>
      <c r="H99" s="113">
        <v>0</v>
      </c>
      <c r="I99" s="113">
        <v>0</v>
      </c>
      <c r="J99" s="113">
        <v>0</v>
      </c>
    </row>
    <row r="100" spans="1:10" x14ac:dyDescent="0.3">
      <c r="A100" s="112">
        <v>550052775</v>
      </c>
      <c r="B100" s="111" t="s">
        <v>48</v>
      </c>
      <c r="C100" s="111" t="s">
        <v>175</v>
      </c>
      <c r="D100" s="113">
        <v>0</v>
      </c>
      <c r="E100" s="113">
        <v>0</v>
      </c>
      <c r="F100" s="113">
        <v>0</v>
      </c>
      <c r="G100" s="113">
        <v>0</v>
      </c>
      <c r="H100" s="113">
        <v>0</v>
      </c>
      <c r="I100" s="113">
        <v>0</v>
      </c>
      <c r="J100" s="113">
        <v>0</v>
      </c>
    </row>
    <row r="101" spans="1:10" x14ac:dyDescent="0.3">
      <c r="A101" s="112">
        <v>550053426</v>
      </c>
      <c r="B101" s="111" t="s">
        <v>74</v>
      </c>
      <c r="C101" s="111" t="s">
        <v>175</v>
      </c>
      <c r="D101" s="113">
        <v>0</v>
      </c>
      <c r="E101" s="113">
        <v>0</v>
      </c>
      <c r="F101" s="113">
        <v>0</v>
      </c>
      <c r="G101" s="113">
        <v>0</v>
      </c>
      <c r="H101" s="113">
        <v>0</v>
      </c>
      <c r="I101" s="113">
        <v>0</v>
      </c>
      <c r="J101" s="113">
        <v>0</v>
      </c>
    </row>
    <row r="102" spans="1:10" x14ac:dyDescent="0.3">
      <c r="A102" s="112">
        <v>550053587</v>
      </c>
      <c r="B102" s="111" t="s">
        <v>974</v>
      </c>
      <c r="C102" s="111" t="s">
        <v>172</v>
      </c>
      <c r="D102" s="113">
        <v>0</v>
      </c>
      <c r="E102" s="113">
        <v>0</v>
      </c>
      <c r="F102" s="113">
        <v>0</v>
      </c>
      <c r="G102" s="113">
        <v>0</v>
      </c>
      <c r="H102" s="113">
        <v>0</v>
      </c>
      <c r="I102" s="113">
        <v>0</v>
      </c>
      <c r="J102" s="113">
        <v>1</v>
      </c>
    </row>
    <row r="103" spans="1:10" x14ac:dyDescent="0.3">
      <c r="A103" s="112">
        <v>550054282</v>
      </c>
      <c r="B103" s="111" t="s">
        <v>975</v>
      </c>
      <c r="C103" s="111" t="s">
        <v>177</v>
      </c>
      <c r="D103" s="113">
        <v>0</v>
      </c>
      <c r="E103" s="113">
        <v>0</v>
      </c>
      <c r="F103" s="113">
        <v>0</v>
      </c>
      <c r="G103" s="113">
        <v>0</v>
      </c>
      <c r="H103" s="113">
        <v>0</v>
      </c>
      <c r="I103" s="113">
        <v>0</v>
      </c>
      <c r="J103" s="113">
        <v>0</v>
      </c>
    </row>
    <row r="104" spans="1:10" x14ac:dyDescent="0.3">
      <c r="A104" s="112">
        <v>550054547</v>
      </c>
      <c r="B104" s="111" t="s">
        <v>50</v>
      </c>
      <c r="C104" s="111" t="s">
        <v>175</v>
      </c>
      <c r="D104" s="113">
        <v>0</v>
      </c>
      <c r="E104" s="113">
        <v>0</v>
      </c>
      <c r="F104" s="113">
        <v>0</v>
      </c>
      <c r="G104" s="113">
        <v>0</v>
      </c>
      <c r="H104" s="113">
        <v>0</v>
      </c>
      <c r="I104" s="113">
        <v>0</v>
      </c>
      <c r="J104" s="113">
        <v>0</v>
      </c>
    </row>
    <row r="105" spans="1:10" x14ac:dyDescent="0.3">
      <c r="A105" s="112">
        <v>550056833</v>
      </c>
      <c r="B105" s="111" t="s">
        <v>989</v>
      </c>
      <c r="C105" s="111" t="s">
        <v>172</v>
      </c>
      <c r="D105" s="113">
        <v>0</v>
      </c>
      <c r="E105" s="113">
        <v>0</v>
      </c>
      <c r="F105" s="113">
        <v>0</v>
      </c>
      <c r="G105" s="113">
        <v>0</v>
      </c>
      <c r="H105" s="113">
        <v>0</v>
      </c>
      <c r="I105" s="113">
        <v>0</v>
      </c>
      <c r="J105" s="113">
        <v>1</v>
      </c>
    </row>
    <row r="106" spans="1:10" x14ac:dyDescent="0.3">
      <c r="A106" s="112">
        <v>550057742</v>
      </c>
      <c r="B106" s="111" t="s">
        <v>96</v>
      </c>
      <c r="C106" s="111" t="s">
        <v>172</v>
      </c>
      <c r="D106" s="113">
        <v>0</v>
      </c>
      <c r="E106" s="113">
        <v>0</v>
      </c>
      <c r="F106" s="113">
        <v>0</v>
      </c>
      <c r="G106" s="113">
        <v>0</v>
      </c>
      <c r="H106" s="113">
        <v>0</v>
      </c>
      <c r="I106" s="113">
        <v>0</v>
      </c>
      <c r="J106" s="113">
        <v>1</v>
      </c>
    </row>
    <row r="107" spans="1:10" x14ac:dyDescent="0.3">
      <c r="A107" s="112">
        <v>550057747</v>
      </c>
      <c r="B107" s="111" t="s">
        <v>976</v>
      </c>
      <c r="C107" s="111" t="s">
        <v>175</v>
      </c>
      <c r="D107" s="113">
        <v>0</v>
      </c>
      <c r="E107" s="113">
        <v>0</v>
      </c>
      <c r="F107" s="113">
        <v>0</v>
      </c>
      <c r="G107" s="113">
        <v>0</v>
      </c>
      <c r="H107" s="113">
        <v>0</v>
      </c>
      <c r="I107" s="113">
        <v>0</v>
      </c>
      <c r="J107" s="113">
        <v>0</v>
      </c>
    </row>
    <row r="108" spans="1:10" x14ac:dyDescent="0.3">
      <c r="A108" s="112">
        <v>550057749</v>
      </c>
      <c r="B108" s="111" t="s">
        <v>80</v>
      </c>
      <c r="C108" s="111" t="s">
        <v>172</v>
      </c>
      <c r="D108" s="113">
        <v>0</v>
      </c>
      <c r="E108" s="113">
        <v>0</v>
      </c>
      <c r="F108" s="113">
        <v>0</v>
      </c>
      <c r="G108" s="113">
        <v>0</v>
      </c>
      <c r="H108" s="113">
        <v>0</v>
      </c>
      <c r="I108" s="113">
        <v>0</v>
      </c>
      <c r="J108" s="113">
        <v>1</v>
      </c>
    </row>
    <row r="109" spans="1:10" x14ac:dyDescent="0.3">
      <c r="A109" s="112">
        <v>550057751</v>
      </c>
      <c r="B109" s="111" t="s">
        <v>1161</v>
      </c>
      <c r="C109" s="111" t="s">
        <v>172</v>
      </c>
      <c r="D109" s="113">
        <v>0</v>
      </c>
      <c r="E109" s="113">
        <v>0</v>
      </c>
      <c r="F109" s="113">
        <v>0</v>
      </c>
      <c r="G109" s="113">
        <v>0</v>
      </c>
      <c r="H109" s="113">
        <v>0</v>
      </c>
      <c r="I109" s="113">
        <v>0</v>
      </c>
      <c r="J109" s="113">
        <v>1</v>
      </c>
    </row>
    <row r="110" spans="1:10" x14ac:dyDescent="0.3">
      <c r="A110" s="112">
        <v>550057767</v>
      </c>
      <c r="B110" s="111" t="s">
        <v>86</v>
      </c>
      <c r="C110" s="111" t="s">
        <v>172</v>
      </c>
      <c r="D110" s="113">
        <v>0</v>
      </c>
      <c r="E110" s="113">
        <v>0</v>
      </c>
      <c r="F110" s="113">
        <v>0</v>
      </c>
      <c r="G110" s="113">
        <v>0</v>
      </c>
      <c r="H110" s="113">
        <v>0</v>
      </c>
      <c r="I110" s="113">
        <v>0</v>
      </c>
      <c r="J110" s="113">
        <v>1</v>
      </c>
    </row>
    <row r="111" spans="1:10" x14ac:dyDescent="0.3">
      <c r="A111" s="112">
        <v>550059865</v>
      </c>
      <c r="B111" s="111" t="s">
        <v>977</v>
      </c>
      <c r="C111" s="111" t="s">
        <v>172</v>
      </c>
      <c r="D111" s="113">
        <v>0</v>
      </c>
      <c r="E111" s="113">
        <v>0</v>
      </c>
      <c r="F111" s="113">
        <v>0</v>
      </c>
      <c r="G111" s="113">
        <v>0</v>
      </c>
      <c r="H111" s="113">
        <v>0</v>
      </c>
      <c r="I111" s="113">
        <v>0</v>
      </c>
      <c r="J111" s="113">
        <v>1</v>
      </c>
    </row>
    <row r="112" spans="1:10" x14ac:dyDescent="0.3">
      <c r="A112" s="112">
        <v>550059866</v>
      </c>
      <c r="B112" s="111" t="s">
        <v>978</v>
      </c>
      <c r="C112" s="111" t="s">
        <v>172</v>
      </c>
      <c r="D112" s="113">
        <v>0</v>
      </c>
      <c r="E112" s="113">
        <v>0</v>
      </c>
      <c r="F112" s="113">
        <v>0</v>
      </c>
      <c r="G112" s="113">
        <v>0</v>
      </c>
      <c r="H112" s="113">
        <v>0</v>
      </c>
      <c r="I112" s="113">
        <v>0</v>
      </c>
      <c r="J112" s="113">
        <v>1</v>
      </c>
    </row>
    <row r="113" spans="1:10" x14ac:dyDescent="0.3">
      <c r="A113" s="112">
        <v>6560200055</v>
      </c>
      <c r="B113" s="111" t="s">
        <v>160</v>
      </c>
      <c r="C113" s="111" t="s">
        <v>175</v>
      </c>
      <c r="D113" s="113">
        <v>0</v>
      </c>
      <c r="E113" s="113">
        <v>0</v>
      </c>
      <c r="F113" s="113">
        <v>0</v>
      </c>
      <c r="G113" s="113">
        <v>0</v>
      </c>
      <c r="H113" s="113">
        <v>0</v>
      </c>
      <c r="I113" s="113">
        <v>0</v>
      </c>
      <c r="J113" s="113">
        <v>0</v>
      </c>
    </row>
    <row r="114" spans="1:10" x14ac:dyDescent="0.3">
      <c r="A114" s="112">
        <v>6560300055</v>
      </c>
      <c r="B114" s="111" t="s">
        <v>979</v>
      </c>
      <c r="C114" s="111" t="s">
        <v>175</v>
      </c>
      <c r="D114" s="113">
        <v>0</v>
      </c>
      <c r="E114" s="113">
        <v>0</v>
      </c>
      <c r="F114" s="113">
        <v>0</v>
      </c>
      <c r="G114" s="113">
        <v>0</v>
      </c>
      <c r="H114" s="113">
        <v>0</v>
      </c>
      <c r="I114" s="113">
        <v>0</v>
      </c>
      <c r="J114" s="113">
        <v>0</v>
      </c>
    </row>
    <row r="115" spans="1:10" x14ac:dyDescent="0.3">
      <c r="A115" s="112">
        <v>6560500055</v>
      </c>
      <c r="B115" s="111" t="s">
        <v>162</v>
      </c>
      <c r="C115" s="111" t="s">
        <v>175</v>
      </c>
      <c r="D115" s="113">
        <v>0</v>
      </c>
      <c r="E115" s="113">
        <v>0</v>
      </c>
      <c r="F115" s="113">
        <v>0</v>
      </c>
      <c r="G115" s="113">
        <v>0</v>
      </c>
      <c r="H115" s="113">
        <v>0</v>
      </c>
      <c r="I115" s="113">
        <v>0</v>
      </c>
      <c r="J115" s="113">
        <v>0</v>
      </c>
    </row>
    <row r="116" spans="1:10" x14ac:dyDescent="0.3">
      <c r="A116" s="112">
        <v>83290</v>
      </c>
      <c r="B116" s="111" t="s">
        <v>1159</v>
      </c>
      <c r="C116" s="111" t="s">
        <v>187</v>
      </c>
      <c r="D116" s="113">
        <v>0</v>
      </c>
      <c r="E116" s="113">
        <v>0</v>
      </c>
      <c r="F116" s="113">
        <v>0</v>
      </c>
      <c r="G116" s="113">
        <v>0</v>
      </c>
      <c r="H116" s="113">
        <v>0</v>
      </c>
      <c r="I116" s="113">
        <v>0</v>
      </c>
      <c r="J116" s="113">
        <v>0</v>
      </c>
    </row>
    <row r="117" spans="1:10" x14ac:dyDescent="0.3">
      <c r="A117" s="112">
        <v>83380</v>
      </c>
      <c r="B117" s="111" t="s">
        <v>1160</v>
      </c>
      <c r="C117" s="111" t="s">
        <v>187</v>
      </c>
      <c r="D117" s="113">
        <v>0</v>
      </c>
      <c r="E117" s="113">
        <v>0</v>
      </c>
      <c r="F117" s="113">
        <v>0</v>
      </c>
      <c r="G117" s="113">
        <v>0</v>
      </c>
      <c r="H117" s="113">
        <v>0</v>
      </c>
      <c r="I117" s="113">
        <v>0</v>
      </c>
      <c r="J117" s="113">
        <v>0</v>
      </c>
    </row>
    <row r="118" spans="1:10" x14ac:dyDescent="0.3">
      <c r="A118" s="111" t="s">
        <v>901</v>
      </c>
      <c r="B118" s="111" t="s">
        <v>912</v>
      </c>
      <c r="C118" s="111" t="s">
        <v>187</v>
      </c>
      <c r="D118" s="113">
        <v>136</v>
      </c>
      <c r="E118" s="113">
        <v>136</v>
      </c>
      <c r="F118" s="113">
        <v>3</v>
      </c>
      <c r="G118" s="113">
        <v>3</v>
      </c>
      <c r="H118" s="113">
        <v>139</v>
      </c>
      <c r="I118" s="113">
        <v>139</v>
      </c>
      <c r="J118" s="113">
        <v>0</v>
      </c>
    </row>
    <row r="119" spans="1:10" x14ac:dyDescent="0.3">
      <c r="A119" s="111" t="s">
        <v>902</v>
      </c>
      <c r="B119" s="111" t="s">
        <v>913</v>
      </c>
      <c r="C119" s="111" t="s">
        <v>187</v>
      </c>
      <c r="D119" s="113">
        <v>2</v>
      </c>
      <c r="E119" s="113">
        <v>2</v>
      </c>
      <c r="F119" s="113">
        <v>1</v>
      </c>
      <c r="G119" s="113">
        <v>1</v>
      </c>
      <c r="H119" s="113">
        <v>3</v>
      </c>
      <c r="I119" s="113">
        <v>3</v>
      </c>
      <c r="J119" s="113">
        <v>0</v>
      </c>
    </row>
    <row r="120" spans="1:10" x14ac:dyDescent="0.3">
      <c r="A120" s="111" t="s">
        <v>903</v>
      </c>
      <c r="B120" s="111" t="s">
        <v>914</v>
      </c>
      <c r="C120" s="111" t="s">
        <v>187</v>
      </c>
      <c r="D120" s="113">
        <v>0</v>
      </c>
      <c r="E120" s="113">
        <v>0</v>
      </c>
      <c r="F120" s="113">
        <v>0</v>
      </c>
      <c r="G120" s="113">
        <v>0</v>
      </c>
      <c r="H120" s="113">
        <v>0</v>
      </c>
      <c r="I120" s="113">
        <v>0</v>
      </c>
      <c r="J120" s="113">
        <v>0</v>
      </c>
    </row>
    <row r="121" spans="1:10" x14ac:dyDescent="0.3">
      <c r="A121" s="111" t="s">
        <v>185</v>
      </c>
      <c r="B121" s="111" t="s">
        <v>1001</v>
      </c>
      <c r="C121" s="111" t="s">
        <v>187</v>
      </c>
      <c r="D121" s="113">
        <v>0</v>
      </c>
      <c r="E121" s="113">
        <v>0</v>
      </c>
      <c r="F121" s="113">
        <v>0</v>
      </c>
      <c r="G121" s="113">
        <v>0</v>
      </c>
      <c r="H121" s="113">
        <v>0</v>
      </c>
      <c r="I121" s="113">
        <v>0</v>
      </c>
      <c r="J121" s="113">
        <v>24</v>
      </c>
    </row>
    <row r="122" spans="1:10" x14ac:dyDescent="0.3">
      <c r="A122" s="111" t="s">
        <v>188</v>
      </c>
      <c r="B122" s="111" t="s">
        <v>1002</v>
      </c>
      <c r="C122" s="111" t="s">
        <v>187</v>
      </c>
      <c r="D122" s="113">
        <v>0</v>
      </c>
      <c r="E122" s="113">
        <v>0</v>
      </c>
      <c r="F122" s="113">
        <v>0</v>
      </c>
      <c r="G122" s="113">
        <v>0</v>
      </c>
      <c r="H122" s="113">
        <v>0</v>
      </c>
      <c r="I122" s="113">
        <v>0</v>
      </c>
      <c r="J122" s="113">
        <v>24</v>
      </c>
    </row>
    <row r="123" spans="1:10" x14ac:dyDescent="0.3">
      <c r="A123" s="111" t="s">
        <v>190</v>
      </c>
      <c r="B123" s="111" t="s">
        <v>1003</v>
      </c>
      <c r="C123" s="111" t="s">
        <v>187</v>
      </c>
      <c r="D123" s="113">
        <v>0</v>
      </c>
      <c r="E123" s="113">
        <v>0</v>
      </c>
      <c r="F123" s="113">
        <v>0</v>
      </c>
      <c r="G123" s="113">
        <v>0</v>
      </c>
      <c r="H123" s="113">
        <v>0</v>
      </c>
      <c r="I123" s="113">
        <v>0</v>
      </c>
      <c r="J123" s="113">
        <v>24</v>
      </c>
    </row>
    <row r="124" spans="1:10" x14ac:dyDescent="0.3">
      <c r="A124" s="111" t="s">
        <v>192</v>
      </c>
      <c r="B124" s="111" t="s">
        <v>1004</v>
      </c>
      <c r="C124" s="111" t="s">
        <v>187</v>
      </c>
      <c r="D124" s="113">
        <v>0</v>
      </c>
      <c r="E124" s="113">
        <v>0</v>
      </c>
      <c r="F124" s="113">
        <v>0</v>
      </c>
      <c r="G124" s="113">
        <v>0</v>
      </c>
      <c r="H124" s="113">
        <v>0</v>
      </c>
      <c r="I124" s="113">
        <v>0</v>
      </c>
      <c r="J124" s="113">
        <v>24</v>
      </c>
    </row>
    <row r="125" spans="1:10" x14ac:dyDescent="0.3">
      <c r="A125" s="111" t="s">
        <v>194</v>
      </c>
      <c r="B125" s="111" t="s">
        <v>1005</v>
      </c>
      <c r="C125" s="111" t="s">
        <v>187</v>
      </c>
      <c r="D125" s="113">
        <v>0</v>
      </c>
      <c r="E125" s="113">
        <v>0</v>
      </c>
      <c r="F125" s="113">
        <v>0</v>
      </c>
      <c r="G125" s="113">
        <v>0</v>
      </c>
      <c r="H125" s="113">
        <v>0</v>
      </c>
      <c r="I125" s="113">
        <v>0</v>
      </c>
      <c r="J125" s="113">
        <v>24</v>
      </c>
    </row>
    <row r="126" spans="1:10" x14ac:dyDescent="0.3">
      <c r="A126" s="111" t="s">
        <v>196</v>
      </c>
      <c r="B126" s="111" t="s">
        <v>1006</v>
      </c>
      <c r="C126" s="111" t="s">
        <v>187</v>
      </c>
      <c r="D126" s="113">
        <v>0</v>
      </c>
      <c r="E126" s="113">
        <v>0</v>
      </c>
      <c r="F126" s="113">
        <v>0</v>
      </c>
      <c r="G126" s="113">
        <v>0</v>
      </c>
      <c r="H126" s="113">
        <v>0</v>
      </c>
      <c r="I126" s="113">
        <v>0</v>
      </c>
      <c r="J126" s="113">
        <v>24</v>
      </c>
    </row>
    <row r="127" spans="1:10" x14ac:dyDescent="0.3">
      <c r="A127" s="111" t="s">
        <v>198</v>
      </c>
      <c r="B127" s="111" t="s">
        <v>1007</v>
      </c>
      <c r="C127" s="111" t="s">
        <v>187</v>
      </c>
      <c r="D127" s="113">
        <v>0</v>
      </c>
      <c r="E127" s="113">
        <v>0</v>
      </c>
      <c r="F127" s="113">
        <v>0</v>
      </c>
      <c r="G127" s="113">
        <v>0</v>
      </c>
      <c r="H127" s="113">
        <v>0</v>
      </c>
      <c r="I127" s="113">
        <v>0</v>
      </c>
      <c r="J127" s="113">
        <v>24</v>
      </c>
    </row>
    <row r="128" spans="1:10" x14ac:dyDescent="0.3">
      <c r="A128" s="111" t="s">
        <v>200</v>
      </c>
      <c r="B128" s="111" t="s">
        <v>1008</v>
      </c>
      <c r="C128" s="111" t="s">
        <v>187</v>
      </c>
      <c r="D128" s="113">
        <v>0</v>
      </c>
      <c r="E128" s="113">
        <v>0</v>
      </c>
      <c r="F128" s="113">
        <v>0</v>
      </c>
      <c r="G128" s="113">
        <v>0</v>
      </c>
      <c r="H128" s="113">
        <v>0</v>
      </c>
      <c r="I128" s="113">
        <v>0</v>
      </c>
      <c r="J128" s="113">
        <v>24</v>
      </c>
    </row>
    <row r="129" spans="1:10" x14ac:dyDescent="0.3">
      <c r="A129" s="111" t="s">
        <v>202</v>
      </c>
      <c r="B129" s="111" t="s">
        <v>1009</v>
      </c>
      <c r="C129" s="111" t="s">
        <v>187</v>
      </c>
      <c r="D129" s="113">
        <v>0</v>
      </c>
      <c r="E129" s="113">
        <v>0</v>
      </c>
      <c r="F129" s="113">
        <v>0</v>
      </c>
      <c r="G129" s="113">
        <v>0</v>
      </c>
      <c r="H129" s="113">
        <v>0</v>
      </c>
      <c r="I129" s="113">
        <v>0</v>
      </c>
      <c r="J129" s="113">
        <v>24</v>
      </c>
    </row>
    <row r="130" spans="1:10" x14ac:dyDescent="0.3">
      <c r="A130" s="111" t="s">
        <v>1010</v>
      </c>
      <c r="B130" s="111" t="s">
        <v>1011</v>
      </c>
      <c r="C130" s="111" t="s">
        <v>187</v>
      </c>
      <c r="D130" s="113">
        <v>0</v>
      </c>
      <c r="E130" s="113">
        <v>0</v>
      </c>
      <c r="F130" s="113">
        <v>0</v>
      </c>
      <c r="G130" s="113">
        <v>0</v>
      </c>
      <c r="H130" s="113">
        <v>0</v>
      </c>
      <c r="I130" s="113">
        <v>0</v>
      </c>
      <c r="J130" s="113">
        <v>12</v>
      </c>
    </row>
    <row r="131" spans="1:10" x14ac:dyDescent="0.3">
      <c r="A131" s="111" t="s">
        <v>1012</v>
      </c>
      <c r="B131" s="111" t="s">
        <v>1013</v>
      </c>
      <c r="C131" s="111" t="s">
        <v>187</v>
      </c>
      <c r="D131" s="113">
        <v>0</v>
      </c>
      <c r="E131" s="113">
        <v>0</v>
      </c>
      <c r="F131" s="113">
        <v>0</v>
      </c>
      <c r="G131" s="113">
        <v>0</v>
      </c>
      <c r="H131" s="113">
        <v>0</v>
      </c>
      <c r="I131" s="113">
        <v>0</v>
      </c>
      <c r="J131" s="113">
        <v>4</v>
      </c>
    </row>
    <row r="132" spans="1:10" x14ac:dyDescent="0.3">
      <c r="A132" s="111" t="s">
        <v>204</v>
      </c>
      <c r="B132" s="111" t="s">
        <v>1014</v>
      </c>
      <c r="C132" s="111" t="s">
        <v>187</v>
      </c>
      <c r="D132" s="113">
        <v>0</v>
      </c>
      <c r="E132" s="113">
        <v>0</v>
      </c>
      <c r="F132" s="113">
        <v>0</v>
      </c>
      <c r="G132" s="113">
        <v>0</v>
      </c>
      <c r="H132" s="113">
        <v>0</v>
      </c>
      <c r="I132" s="113">
        <v>0</v>
      </c>
      <c r="J132" s="113">
        <v>24</v>
      </c>
    </row>
    <row r="133" spans="1:10" x14ac:dyDescent="0.3">
      <c r="A133" s="111" t="s">
        <v>206</v>
      </c>
      <c r="B133" s="111" t="s">
        <v>1015</v>
      </c>
      <c r="C133" s="111" t="s">
        <v>187</v>
      </c>
      <c r="D133" s="113">
        <v>0</v>
      </c>
      <c r="E133" s="113">
        <v>0</v>
      </c>
      <c r="F133" s="113">
        <v>0</v>
      </c>
      <c r="G133" s="113">
        <v>0</v>
      </c>
      <c r="H133" s="113">
        <v>0</v>
      </c>
      <c r="I133" s="113">
        <v>0</v>
      </c>
      <c r="J133" s="113">
        <v>24</v>
      </c>
    </row>
    <row r="134" spans="1:10" x14ac:dyDescent="0.3">
      <c r="A134" s="111" t="s">
        <v>208</v>
      </c>
      <c r="B134" s="111" t="s">
        <v>1016</v>
      </c>
      <c r="C134" s="111" t="s">
        <v>187</v>
      </c>
      <c r="D134" s="113">
        <v>0</v>
      </c>
      <c r="E134" s="113">
        <v>0</v>
      </c>
      <c r="F134" s="113">
        <v>0</v>
      </c>
      <c r="G134" s="113">
        <v>0</v>
      </c>
      <c r="H134" s="113">
        <v>0</v>
      </c>
      <c r="I134" s="113">
        <v>0</v>
      </c>
      <c r="J134" s="113">
        <v>24</v>
      </c>
    </row>
    <row r="135" spans="1:10" x14ac:dyDescent="0.3">
      <c r="A135" s="111" t="s">
        <v>210</v>
      </c>
      <c r="B135" s="111" t="s">
        <v>1017</v>
      </c>
      <c r="C135" s="111" t="s">
        <v>187</v>
      </c>
      <c r="D135" s="113">
        <v>0</v>
      </c>
      <c r="E135" s="113">
        <v>0</v>
      </c>
      <c r="F135" s="113">
        <v>0</v>
      </c>
      <c r="G135" s="113">
        <v>0</v>
      </c>
      <c r="H135" s="113">
        <v>0</v>
      </c>
      <c r="I135" s="113">
        <v>0</v>
      </c>
      <c r="J135" s="113">
        <v>12</v>
      </c>
    </row>
    <row r="136" spans="1:10" x14ac:dyDescent="0.3">
      <c r="A136" s="111" t="s">
        <v>212</v>
      </c>
      <c r="B136" s="111" t="s">
        <v>1018</v>
      </c>
      <c r="C136" s="111" t="s">
        <v>187</v>
      </c>
      <c r="D136" s="113">
        <v>0</v>
      </c>
      <c r="E136" s="113">
        <v>0</v>
      </c>
      <c r="F136" s="113">
        <v>0</v>
      </c>
      <c r="G136" s="113">
        <v>0</v>
      </c>
      <c r="H136" s="113">
        <v>0</v>
      </c>
      <c r="I136" s="113">
        <v>0</v>
      </c>
      <c r="J136" s="113">
        <v>24</v>
      </c>
    </row>
    <row r="137" spans="1:10" x14ac:dyDescent="0.3">
      <c r="A137" s="111" t="s">
        <v>1137</v>
      </c>
      <c r="B137" s="111" t="s">
        <v>1138</v>
      </c>
      <c r="C137" s="111" t="s">
        <v>187</v>
      </c>
      <c r="D137" s="113">
        <v>0</v>
      </c>
      <c r="E137" s="113">
        <v>0</v>
      </c>
      <c r="F137" s="113">
        <v>0</v>
      </c>
      <c r="G137" s="113">
        <v>0</v>
      </c>
      <c r="H137" s="113">
        <v>0</v>
      </c>
      <c r="I137" s="113">
        <v>0</v>
      </c>
      <c r="J137" s="113">
        <v>24</v>
      </c>
    </row>
    <row r="138" spans="1:10" x14ac:dyDescent="0.3">
      <c r="A138" s="111" t="s">
        <v>214</v>
      </c>
      <c r="B138" s="111" t="s">
        <v>1019</v>
      </c>
      <c r="C138" s="111" t="s">
        <v>187</v>
      </c>
      <c r="D138" s="113">
        <v>0</v>
      </c>
      <c r="E138" s="113">
        <v>0</v>
      </c>
      <c r="F138" s="113">
        <v>0</v>
      </c>
      <c r="G138" s="113">
        <v>0</v>
      </c>
      <c r="H138" s="113">
        <v>0</v>
      </c>
      <c r="I138" s="113">
        <v>0</v>
      </c>
      <c r="J138" s="113">
        <v>24</v>
      </c>
    </row>
    <row r="139" spans="1:10" x14ac:dyDescent="0.3">
      <c r="A139" s="111" t="s">
        <v>216</v>
      </c>
      <c r="B139" s="111" t="s">
        <v>1020</v>
      </c>
      <c r="C139" s="111" t="s">
        <v>187</v>
      </c>
      <c r="D139" s="113">
        <v>0</v>
      </c>
      <c r="E139" s="113">
        <v>0</v>
      </c>
      <c r="F139" s="113">
        <v>0</v>
      </c>
      <c r="G139" s="113">
        <v>0</v>
      </c>
      <c r="H139" s="113">
        <v>0</v>
      </c>
      <c r="I139" s="113">
        <v>0</v>
      </c>
      <c r="J139" s="113">
        <v>24</v>
      </c>
    </row>
    <row r="140" spans="1:10" x14ac:dyDescent="0.3">
      <c r="A140" s="111" t="s">
        <v>218</v>
      </c>
      <c r="B140" s="111" t="s">
        <v>1021</v>
      </c>
      <c r="C140" s="111" t="s">
        <v>187</v>
      </c>
      <c r="D140" s="113">
        <v>0</v>
      </c>
      <c r="E140" s="113">
        <v>0</v>
      </c>
      <c r="F140" s="113">
        <v>0</v>
      </c>
      <c r="G140" s="113">
        <v>0</v>
      </c>
      <c r="H140" s="113">
        <v>0</v>
      </c>
      <c r="I140" s="113">
        <v>0</v>
      </c>
      <c r="J140" s="113">
        <v>24</v>
      </c>
    </row>
    <row r="141" spans="1:10" x14ac:dyDescent="0.3">
      <c r="A141" s="111" t="s">
        <v>220</v>
      </c>
      <c r="B141" s="111" t="s">
        <v>1022</v>
      </c>
      <c r="C141" s="111" t="s">
        <v>187</v>
      </c>
      <c r="D141" s="113">
        <v>0</v>
      </c>
      <c r="E141" s="113">
        <v>0</v>
      </c>
      <c r="F141" s="113">
        <v>0</v>
      </c>
      <c r="G141" s="113">
        <v>0</v>
      </c>
      <c r="H141" s="113">
        <v>0</v>
      </c>
      <c r="I141" s="113">
        <v>0</v>
      </c>
      <c r="J141" s="113">
        <v>24</v>
      </c>
    </row>
    <row r="142" spans="1:10" x14ac:dyDescent="0.3">
      <c r="A142" s="111" t="s">
        <v>222</v>
      </c>
      <c r="B142" s="111" t="s">
        <v>1023</v>
      </c>
      <c r="C142" s="111" t="s">
        <v>187</v>
      </c>
      <c r="D142" s="113">
        <v>0</v>
      </c>
      <c r="E142" s="113">
        <v>0</v>
      </c>
      <c r="F142" s="113">
        <v>0</v>
      </c>
      <c r="G142" s="113">
        <v>0</v>
      </c>
      <c r="H142" s="113">
        <v>0</v>
      </c>
      <c r="I142" s="113">
        <v>0</v>
      </c>
      <c r="J142" s="113">
        <v>24</v>
      </c>
    </row>
    <row r="143" spans="1:10" x14ac:dyDescent="0.3">
      <c r="A143" s="111" t="s">
        <v>224</v>
      </c>
      <c r="B143" s="111" t="s">
        <v>1024</v>
      </c>
      <c r="C143" s="111" t="s">
        <v>187</v>
      </c>
      <c r="D143" s="113">
        <v>0</v>
      </c>
      <c r="E143" s="113">
        <v>0</v>
      </c>
      <c r="F143" s="113">
        <v>0</v>
      </c>
      <c r="G143" s="113">
        <v>0</v>
      </c>
      <c r="H143" s="113">
        <v>0</v>
      </c>
      <c r="I143" s="113">
        <v>0</v>
      </c>
      <c r="J143" s="113">
        <v>24</v>
      </c>
    </row>
    <row r="144" spans="1:10" x14ac:dyDescent="0.3">
      <c r="A144" s="111" t="s">
        <v>921</v>
      </c>
      <c r="B144" s="111" t="s">
        <v>922</v>
      </c>
      <c r="C144" s="111" t="s">
        <v>187</v>
      </c>
      <c r="D144" s="113">
        <v>8</v>
      </c>
      <c r="E144" s="113">
        <v>8</v>
      </c>
      <c r="F144" s="113">
        <v>0</v>
      </c>
      <c r="G144" s="113">
        <v>0</v>
      </c>
      <c r="H144" s="113">
        <v>8</v>
      </c>
      <c r="I144" s="113">
        <v>8</v>
      </c>
      <c r="J144" s="113">
        <v>0</v>
      </c>
    </row>
    <row r="145" spans="1:10" x14ac:dyDescent="0.3">
      <c r="A145" s="111" t="s">
        <v>923</v>
      </c>
      <c r="B145" s="111" t="s">
        <v>924</v>
      </c>
      <c r="C145" s="111" t="s">
        <v>187</v>
      </c>
      <c r="D145" s="113">
        <v>20</v>
      </c>
      <c r="E145" s="113">
        <v>20</v>
      </c>
      <c r="F145" s="113">
        <v>0</v>
      </c>
      <c r="G145" s="113">
        <v>0</v>
      </c>
      <c r="H145" s="113">
        <v>20</v>
      </c>
      <c r="I145" s="113">
        <v>20</v>
      </c>
      <c r="J145" s="113">
        <v>0</v>
      </c>
    </row>
    <row r="146" spans="1:10" x14ac:dyDescent="0.3">
      <c r="A146" s="111" t="s">
        <v>925</v>
      </c>
      <c r="B146" s="111" t="s">
        <v>926</v>
      </c>
      <c r="C146" s="111" t="s">
        <v>187</v>
      </c>
      <c r="D146" s="113">
        <v>28</v>
      </c>
      <c r="E146" s="113">
        <v>28</v>
      </c>
      <c r="F146" s="113">
        <v>0</v>
      </c>
      <c r="G146" s="113">
        <v>0</v>
      </c>
      <c r="H146" s="113">
        <v>28</v>
      </c>
      <c r="I146" s="113">
        <v>28</v>
      </c>
      <c r="J146" s="113">
        <v>0</v>
      </c>
    </row>
    <row r="147" spans="1:10" x14ac:dyDescent="0.3">
      <c r="A147" s="111" t="s">
        <v>927</v>
      </c>
      <c r="B147" s="111" t="s">
        <v>928</v>
      </c>
      <c r="C147" s="111" t="s">
        <v>187</v>
      </c>
      <c r="D147" s="113">
        <v>19</v>
      </c>
      <c r="E147" s="113">
        <v>19</v>
      </c>
      <c r="F147" s="113">
        <v>0</v>
      </c>
      <c r="G147" s="113">
        <v>0</v>
      </c>
      <c r="H147" s="113">
        <v>19</v>
      </c>
      <c r="I147" s="113">
        <v>19</v>
      </c>
      <c r="J147" s="113">
        <v>0</v>
      </c>
    </row>
    <row r="148" spans="1:10" x14ac:dyDescent="0.3">
      <c r="A148" s="111" t="s">
        <v>929</v>
      </c>
      <c r="B148" s="111" t="s">
        <v>944</v>
      </c>
      <c r="C148" s="111" t="s">
        <v>187</v>
      </c>
      <c r="D148" s="113">
        <v>34</v>
      </c>
      <c r="E148" s="113">
        <v>34</v>
      </c>
      <c r="F148" s="113">
        <v>0</v>
      </c>
      <c r="G148" s="113">
        <v>0</v>
      </c>
      <c r="H148" s="113">
        <v>34</v>
      </c>
      <c r="I148" s="113">
        <v>34</v>
      </c>
      <c r="J148" s="113">
        <v>0</v>
      </c>
    </row>
    <row r="149" spans="1:10" x14ac:dyDescent="0.3">
      <c r="A149" s="111" t="s">
        <v>226</v>
      </c>
      <c r="B149" s="111" t="s">
        <v>227</v>
      </c>
      <c r="C149" s="111" t="s">
        <v>172</v>
      </c>
      <c r="D149" s="113">
        <v>0</v>
      </c>
      <c r="E149" s="113">
        <v>0</v>
      </c>
      <c r="F149" s="113">
        <v>0</v>
      </c>
      <c r="G149" s="113">
        <v>0</v>
      </c>
      <c r="H149" s="113">
        <v>0</v>
      </c>
      <c r="I149" s="113">
        <v>0</v>
      </c>
      <c r="J149" s="113">
        <v>1</v>
      </c>
    </row>
    <row r="150" spans="1:10" x14ac:dyDescent="0.3">
      <c r="A150" s="111" t="s">
        <v>919</v>
      </c>
      <c r="B150" s="111" t="s">
        <v>920</v>
      </c>
      <c r="C150" s="111" t="s">
        <v>187</v>
      </c>
      <c r="D150" s="113">
        <v>1</v>
      </c>
      <c r="E150" s="113">
        <v>1</v>
      </c>
      <c r="F150" s="113">
        <v>0</v>
      </c>
      <c r="G150" s="113">
        <v>0</v>
      </c>
      <c r="H150" s="113">
        <v>1</v>
      </c>
      <c r="I150" s="113">
        <v>1</v>
      </c>
      <c r="J150" s="113">
        <v>0</v>
      </c>
    </row>
    <row r="151" spans="1:10" x14ac:dyDescent="0.3">
      <c r="A151" s="111" t="s">
        <v>930</v>
      </c>
      <c r="B151" s="111" t="s">
        <v>931</v>
      </c>
      <c r="C151" s="111" t="s">
        <v>187</v>
      </c>
      <c r="D151" s="113">
        <v>1</v>
      </c>
      <c r="E151" s="113">
        <v>1</v>
      </c>
      <c r="F151" s="113">
        <v>0</v>
      </c>
      <c r="G151" s="113">
        <v>0</v>
      </c>
      <c r="H151" s="113">
        <v>1</v>
      </c>
      <c r="I151" s="113">
        <v>1</v>
      </c>
      <c r="J151" s="113">
        <v>0</v>
      </c>
    </row>
    <row r="152" spans="1:10" x14ac:dyDescent="0.3">
      <c r="A152" s="111" t="s">
        <v>932</v>
      </c>
      <c r="B152" s="111" t="s">
        <v>933</v>
      </c>
      <c r="C152" s="111" t="s">
        <v>187</v>
      </c>
      <c r="D152" s="113">
        <v>0</v>
      </c>
      <c r="E152" s="113">
        <v>0</v>
      </c>
      <c r="F152" s="113">
        <v>0</v>
      </c>
      <c r="G152" s="113">
        <v>0</v>
      </c>
      <c r="H152" s="113">
        <v>0</v>
      </c>
      <c r="I152" s="113">
        <v>0</v>
      </c>
      <c r="J152" s="113">
        <v>0</v>
      </c>
    </row>
    <row r="153" spans="1:10" x14ac:dyDescent="0.3">
      <c r="A153" s="111" t="s">
        <v>934</v>
      </c>
      <c r="B153" s="111" t="s">
        <v>935</v>
      </c>
      <c r="C153" s="111" t="s">
        <v>187</v>
      </c>
      <c r="D153" s="113">
        <v>0</v>
      </c>
      <c r="E153" s="113">
        <v>0</v>
      </c>
      <c r="F153" s="113">
        <v>0</v>
      </c>
      <c r="G153" s="113">
        <v>0</v>
      </c>
      <c r="H153" s="113">
        <v>0</v>
      </c>
      <c r="I153" s="113">
        <v>0</v>
      </c>
      <c r="J153" s="113">
        <v>0</v>
      </c>
    </row>
    <row r="154" spans="1:10" x14ac:dyDescent="0.3">
      <c r="A154" s="111" t="s">
        <v>936</v>
      </c>
      <c r="B154" s="111" t="s">
        <v>937</v>
      </c>
      <c r="C154" s="111" t="s">
        <v>187</v>
      </c>
      <c r="D154" s="113">
        <v>16</v>
      </c>
      <c r="E154" s="113">
        <v>16</v>
      </c>
      <c r="F154" s="113">
        <v>0</v>
      </c>
      <c r="G154" s="113">
        <v>0</v>
      </c>
      <c r="H154" s="113">
        <v>16</v>
      </c>
      <c r="I154" s="113">
        <v>16</v>
      </c>
      <c r="J154" s="113">
        <v>0</v>
      </c>
    </row>
    <row r="155" spans="1:10" x14ac:dyDescent="0.3">
      <c r="A155" s="111" t="s">
        <v>938</v>
      </c>
      <c r="B155" s="111" t="s">
        <v>939</v>
      </c>
      <c r="C155" s="111" t="s">
        <v>187</v>
      </c>
      <c r="D155" s="113">
        <v>6</v>
      </c>
      <c r="E155" s="113">
        <v>6</v>
      </c>
      <c r="F155" s="113">
        <v>0</v>
      </c>
      <c r="G155" s="113">
        <v>0</v>
      </c>
      <c r="H155" s="113">
        <v>6</v>
      </c>
      <c r="I155" s="113">
        <v>6</v>
      </c>
      <c r="J155" s="113">
        <v>0</v>
      </c>
    </row>
    <row r="156" spans="1:10" x14ac:dyDescent="0.3">
      <c r="A156" s="111" t="s">
        <v>940</v>
      </c>
      <c r="B156" s="111" t="s">
        <v>945</v>
      </c>
      <c r="C156" s="111" t="s">
        <v>187</v>
      </c>
      <c r="D156" s="113">
        <v>20</v>
      </c>
      <c r="E156" s="113">
        <v>20</v>
      </c>
      <c r="F156" s="113">
        <v>0</v>
      </c>
      <c r="G156" s="113">
        <v>0</v>
      </c>
      <c r="H156" s="113">
        <v>20</v>
      </c>
      <c r="I156" s="113">
        <v>20</v>
      </c>
      <c r="J156" s="113">
        <v>0</v>
      </c>
    </row>
    <row r="157" spans="1:10" x14ac:dyDescent="0.3">
      <c r="A157" s="111" t="s">
        <v>941</v>
      </c>
      <c r="B157" s="111" t="s">
        <v>942</v>
      </c>
      <c r="C157" s="111" t="s">
        <v>187</v>
      </c>
      <c r="D157" s="113">
        <v>36</v>
      </c>
      <c r="E157" s="113">
        <v>36</v>
      </c>
      <c r="F157" s="113">
        <v>0</v>
      </c>
      <c r="G157" s="113">
        <v>0</v>
      </c>
      <c r="H157" s="113">
        <v>36</v>
      </c>
      <c r="I157" s="113">
        <v>36</v>
      </c>
      <c r="J157" s="113">
        <v>0</v>
      </c>
    </row>
    <row r="158" spans="1:10" x14ac:dyDescent="0.3">
      <c r="A158" s="111" t="s">
        <v>980</v>
      </c>
      <c r="B158" s="111" t="s">
        <v>981</v>
      </c>
      <c r="C158" s="111" t="s">
        <v>187</v>
      </c>
      <c r="D158" s="113">
        <v>0</v>
      </c>
      <c r="E158" s="113">
        <v>0</v>
      </c>
      <c r="F158" s="113">
        <v>0</v>
      </c>
      <c r="G158" s="113">
        <v>0</v>
      </c>
      <c r="H158" s="113">
        <v>0</v>
      </c>
      <c r="I158" s="113">
        <v>0</v>
      </c>
      <c r="J158" s="113">
        <v>0</v>
      </c>
    </row>
    <row r="159" spans="1:10" x14ac:dyDescent="0.3">
      <c r="A159" s="111" t="s">
        <v>990</v>
      </c>
      <c r="B159" s="111" t="s">
        <v>991</v>
      </c>
      <c r="C159" s="111" t="s">
        <v>187</v>
      </c>
      <c r="D159" s="113">
        <v>0</v>
      </c>
      <c r="E159" s="113">
        <v>0</v>
      </c>
      <c r="F159" s="113">
        <v>0</v>
      </c>
      <c r="G159" s="113">
        <v>0</v>
      </c>
      <c r="H159" s="113">
        <v>0</v>
      </c>
      <c r="I159" s="113">
        <v>0</v>
      </c>
      <c r="J159" s="113">
        <v>0</v>
      </c>
    </row>
    <row r="160" spans="1:10" x14ac:dyDescent="0.3">
      <c r="A160" s="111" t="s">
        <v>904</v>
      </c>
      <c r="B160" s="111" t="s">
        <v>915</v>
      </c>
      <c r="C160" s="111" t="s">
        <v>187</v>
      </c>
      <c r="D160" s="113">
        <v>0</v>
      </c>
      <c r="E160" s="113">
        <v>0</v>
      </c>
      <c r="F160" s="113">
        <v>3</v>
      </c>
      <c r="G160" s="113">
        <v>3</v>
      </c>
      <c r="H160" s="113">
        <v>3</v>
      </c>
      <c r="I160" s="113">
        <v>3</v>
      </c>
      <c r="J160" s="113">
        <v>0</v>
      </c>
    </row>
    <row r="161" spans="1:10" x14ac:dyDescent="0.3">
      <c r="A161" s="111" t="s">
        <v>905</v>
      </c>
      <c r="B161" s="111" t="s">
        <v>916</v>
      </c>
      <c r="C161" s="111" t="s">
        <v>187</v>
      </c>
      <c r="D161" s="113">
        <v>118</v>
      </c>
      <c r="E161" s="113">
        <v>118</v>
      </c>
      <c r="F161" s="113">
        <v>1</v>
      </c>
      <c r="G161" s="113">
        <v>1</v>
      </c>
      <c r="H161" s="113">
        <v>119</v>
      </c>
      <c r="I161" s="113">
        <v>119</v>
      </c>
      <c r="J161" s="113">
        <v>0</v>
      </c>
    </row>
    <row r="162" spans="1:10" x14ac:dyDescent="0.3">
      <c r="A162" s="111" t="s">
        <v>228</v>
      </c>
      <c r="B162" s="111" t="s">
        <v>1025</v>
      </c>
      <c r="C162" s="111" t="s">
        <v>187</v>
      </c>
      <c r="D162" s="113">
        <v>0</v>
      </c>
      <c r="E162" s="113">
        <v>0</v>
      </c>
      <c r="F162" s="113">
        <v>0</v>
      </c>
      <c r="G162" s="113">
        <v>0</v>
      </c>
      <c r="H162" s="113">
        <v>0</v>
      </c>
      <c r="I162" s="113">
        <v>0</v>
      </c>
      <c r="J162" s="113">
        <v>50</v>
      </c>
    </row>
    <row r="163" spans="1:10" x14ac:dyDescent="0.3">
      <c r="A163" s="111" t="s">
        <v>230</v>
      </c>
      <c r="B163" s="111" t="s">
        <v>1026</v>
      </c>
      <c r="C163" s="111" t="s">
        <v>187</v>
      </c>
      <c r="D163" s="113">
        <v>0</v>
      </c>
      <c r="E163" s="113">
        <v>0</v>
      </c>
      <c r="F163" s="113">
        <v>0</v>
      </c>
      <c r="G163" s="113">
        <v>0</v>
      </c>
      <c r="H163" s="113">
        <v>0</v>
      </c>
      <c r="I163" s="113">
        <v>0</v>
      </c>
      <c r="J163" s="113">
        <v>50</v>
      </c>
    </row>
    <row r="164" spans="1:10" x14ac:dyDescent="0.3">
      <c r="A164" s="111" t="s">
        <v>232</v>
      </c>
      <c r="B164" s="111" t="s">
        <v>1027</v>
      </c>
      <c r="C164" s="111" t="s">
        <v>187</v>
      </c>
      <c r="D164" s="113">
        <v>0</v>
      </c>
      <c r="E164" s="113">
        <v>0</v>
      </c>
      <c r="F164" s="113">
        <v>0</v>
      </c>
      <c r="G164" s="113">
        <v>0</v>
      </c>
      <c r="H164" s="113">
        <v>0</v>
      </c>
      <c r="I164" s="113">
        <v>0</v>
      </c>
      <c r="J164" s="113">
        <v>50</v>
      </c>
    </row>
    <row r="165" spans="1:10" x14ac:dyDescent="0.3">
      <c r="A165" s="111" t="s">
        <v>234</v>
      </c>
      <c r="B165" s="111" t="s">
        <v>1028</v>
      </c>
      <c r="C165" s="111" t="s">
        <v>187</v>
      </c>
      <c r="D165" s="113">
        <v>0</v>
      </c>
      <c r="E165" s="113">
        <v>0</v>
      </c>
      <c r="F165" s="113">
        <v>0</v>
      </c>
      <c r="G165" s="113">
        <v>0</v>
      </c>
      <c r="H165" s="113">
        <v>0</v>
      </c>
      <c r="I165" s="113">
        <v>0</v>
      </c>
      <c r="J165" s="113">
        <v>50</v>
      </c>
    </row>
    <row r="166" spans="1:10" x14ac:dyDescent="0.3">
      <c r="A166" s="111" t="s">
        <v>236</v>
      </c>
      <c r="B166" s="111" t="s">
        <v>1029</v>
      </c>
      <c r="C166" s="111" t="s">
        <v>187</v>
      </c>
      <c r="D166" s="113">
        <v>0</v>
      </c>
      <c r="E166" s="113">
        <v>0</v>
      </c>
      <c r="F166" s="113">
        <v>0</v>
      </c>
      <c r="G166" s="113">
        <v>0</v>
      </c>
      <c r="H166" s="113">
        <v>0</v>
      </c>
      <c r="I166" s="113">
        <v>0</v>
      </c>
      <c r="J166" s="113">
        <v>50</v>
      </c>
    </row>
    <row r="167" spans="1:10" x14ac:dyDescent="0.3">
      <c r="A167" s="111" t="s">
        <v>238</v>
      </c>
      <c r="B167" s="111" t="s">
        <v>1030</v>
      </c>
      <c r="C167" s="111" t="s">
        <v>187</v>
      </c>
      <c r="D167" s="113">
        <v>0</v>
      </c>
      <c r="E167" s="113">
        <v>0</v>
      </c>
      <c r="F167" s="113">
        <v>0</v>
      </c>
      <c r="G167" s="113">
        <v>0</v>
      </c>
      <c r="H167" s="113">
        <v>0</v>
      </c>
      <c r="I167" s="113">
        <v>0</v>
      </c>
      <c r="J167" s="113">
        <v>100</v>
      </c>
    </row>
    <row r="168" spans="1:10" x14ac:dyDescent="0.3">
      <c r="A168" s="111" t="s">
        <v>240</v>
      </c>
      <c r="B168" s="111" t="s">
        <v>1031</v>
      </c>
      <c r="C168" s="111" t="s">
        <v>187</v>
      </c>
      <c r="D168" s="113">
        <v>0</v>
      </c>
      <c r="E168" s="113">
        <v>0</v>
      </c>
      <c r="F168" s="113">
        <v>0</v>
      </c>
      <c r="G168" s="113">
        <v>0</v>
      </c>
      <c r="H168" s="113">
        <v>0</v>
      </c>
      <c r="I168" s="113">
        <v>0</v>
      </c>
      <c r="J168" s="113">
        <v>50</v>
      </c>
    </row>
    <row r="169" spans="1:10" x14ac:dyDescent="0.3">
      <c r="A169" s="111" t="s">
        <v>242</v>
      </c>
      <c r="B169" s="111" t="s">
        <v>1032</v>
      </c>
      <c r="C169" s="111" t="s">
        <v>187</v>
      </c>
      <c r="D169" s="113">
        <v>0</v>
      </c>
      <c r="E169" s="113">
        <v>0</v>
      </c>
      <c r="F169" s="113">
        <v>0</v>
      </c>
      <c r="G169" s="113">
        <v>0</v>
      </c>
      <c r="H169" s="113">
        <v>0</v>
      </c>
      <c r="I169" s="113">
        <v>0</v>
      </c>
      <c r="J169" s="113">
        <v>50</v>
      </c>
    </row>
    <row r="170" spans="1:10" x14ac:dyDescent="0.3">
      <c r="A170" s="111" t="s">
        <v>244</v>
      </c>
      <c r="B170" s="111" t="s">
        <v>1033</v>
      </c>
      <c r="C170" s="111" t="s">
        <v>187</v>
      </c>
      <c r="D170" s="113">
        <v>0</v>
      </c>
      <c r="E170" s="113">
        <v>0</v>
      </c>
      <c r="F170" s="113">
        <v>0</v>
      </c>
      <c r="G170" s="113">
        <v>0</v>
      </c>
      <c r="H170" s="113">
        <v>0</v>
      </c>
      <c r="I170" s="113">
        <v>0</v>
      </c>
      <c r="J170" s="113">
        <v>50</v>
      </c>
    </row>
    <row r="171" spans="1:10" x14ac:dyDescent="0.3">
      <c r="A171" s="111" t="s">
        <v>246</v>
      </c>
      <c r="B171" s="111" t="s">
        <v>1034</v>
      </c>
      <c r="C171" s="111" t="s">
        <v>187</v>
      </c>
      <c r="D171" s="113">
        <v>0</v>
      </c>
      <c r="E171" s="113">
        <v>0</v>
      </c>
      <c r="F171" s="113">
        <v>0</v>
      </c>
      <c r="G171" s="113">
        <v>0</v>
      </c>
      <c r="H171" s="113">
        <v>0</v>
      </c>
      <c r="I171" s="113">
        <v>0</v>
      </c>
      <c r="J171" s="113">
        <v>50</v>
      </c>
    </row>
    <row r="172" spans="1:10" x14ac:dyDescent="0.3">
      <c r="A172" s="111" t="s">
        <v>248</v>
      </c>
      <c r="B172" s="111" t="s">
        <v>1035</v>
      </c>
      <c r="C172" s="111" t="s">
        <v>187</v>
      </c>
      <c r="D172" s="113">
        <v>0</v>
      </c>
      <c r="E172" s="113">
        <v>0</v>
      </c>
      <c r="F172" s="113">
        <v>0</v>
      </c>
      <c r="G172" s="113">
        <v>0</v>
      </c>
      <c r="H172" s="113">
        <v>0</v>
      </c>
      <c r="I172" s="113">
        <v>0</v>
      </c>
      <c r="J172" s="113">
        <v>50</v>
      </c>
    </row>
    <row r="173" spans="1:10" x14ac:dyDescent="0.3">
      <c r="A173" s="111" t="s">
        <v>250</v>
      </c>
      <c r="B173" s="111" t="s">
        <v>1036</v>
      </c>
      <c r="C173" s="111" t="s">
        <v>187</v>
      </c>
      <c r="D173" s="113">
        <v>0</v>
      </c>
      <c r="E173" s="113">
        <v>0</v>
      </c>
      <c r="F173" s="113">
        <v>0</v>
      </c>
      <c r="G173" s="113">
        <v>0</v>
      </c>
      <c r="H173" s="113">
        <v>0</v>
      </c>
      <c r="I173" s="113">
        <v>0</v>
      </c>
      <c r="J173" s="113">
        <v>100</v>
      </c>
    </row>
    <row r="174" spans="1:10" x14ac:dyDescent="0.3">
      <c r="A174" s="111" t="s">
        <v>252</v>
      </c>
      <c r="B174" s="111" t="s">
        <v>1037</v>
      </c>
      <c r="C174" s="111" t="s">
        <v>187</v>
      </c>
      <c r="D174" s="113">
        <v>0</v>
      </c>
      <c r="E174" s="113">
        <v>0</v>
      </c>
      <c r="F174" s="113">
        <v>0</v>
      </c>
      <c r="G174" s="113">
        <v>0</v>
      </c>
      <c r="H174" s="113">
        <v>0</v>
      </c>
      <c r="I174" s="113">
        <v>0</v>
      </c>
      <c r="J174" s="113">
        <v>50</v>
      </c>
    </row>
    <row r="175" spans="1:10" x14ac:dyDescent="0.3">
      <c r="A175" s="111" t="s">
        <v>254</v>
      </c>
      <c r="B175" s="111" t="s">
        <v>1038</v>
      </c>
      <c r="C175" s="111" t="s">
        <v>187</v>
      </c>
      <c r="D175" s="113">
        <v>0</v>
      </c>
      <c r="E175" s="113">
        <v>0</v>
      </c>
      <c r="F175" s="113">
        <v>0</v>
      </c>
      <c r="G175" s="113">
        <v>0</v>
      </c>
      <c r="H175" s="113">
        <v>0</v>
      </c>
      <c r="I175" s="113">
        <v>0</v>
      </c>
      <c r="J175" s="113">
        <v>50</v>
      </c>
    </row>
    <row r="176" spans="1:10" x14ac:dyDescent="0.3">
      <c r="A176" s="111" t="s">
        <v>256</v>
      </c>
      <c r="B176" s="111" t="s">
        <v>1039</v>
      </c>
      <c r="C176" s="111" t="s">
        <v>187</v>
      </c>
      <c r="D176" s="113">
        <v>0</v>
      </c>
      <c r="E176" s="113">
        <v>0</v>
      </c>
      <c r="F176" s="113">
        <v>0</v>
      </c>
      <c r="G176" s="113">
        <v>0</v>
      </c>
      <c r="H176" s="113">
        <v>0</v>
      </c>
      <c r="I176" s="113">
        <v>0</v>
      </c>
      <c r="J176" s="113">
        <v>50</v>
      </c>
    </row>
    <row r="177" spans="1:10" x14ac:dyDescent="0.3">
      <c r="A177" s="111" t="s">
        <v>258</v>
      </c>
      <c r="B177" s="111" t="s">
        <v>1040</v>
      </c>
      <c r="C177" s="111" t="s">
        <v>187</v>
      </c>
      <c r="D177" s="113">
        <v>0</v>
      </c>
      <c r="E177" s="113">
        <v>0</v>
      </c>
      <c r="F177" s="113">
        <v>0</v>
      </c>
      <c r="G177" s="113">
        <v>0</v>
      </c>
      <c r="H177" s="113">
        <v>0</v>
      </c>
      <c r="I177" s="113">
        <v>0</v>
      </c>
      <c r="J177" s="113">
        <v>50</v>
      </c>
    </row>
    <row r="178" spans="1:10" x14ac:dyDescent="0.3">
      <c r="A178" s="111" t="s">
        <v>260</v>
      </c>
      <c r="B178" s="111" t="s">
        <v>1041</v>
      </c>
      <c r="C178" s="111" t="s">
        <v>187</v>
      </c>
      <c r="D178" s="113">
        <v>0</v>
      </c>
      <c r="E178" s="113">
        <v>0</v>
      </c>
      <c r="F178" s="113">
        <v>0</v>
      </c>
      <c r="G178" s="113">
        <v>0</v>
      </c>
      <c r="H178" s="113">
        <v>0</v>
      </c>
      <c r="I178" s="113">
        <v>0</v>
      </c>
      <c r="J178" s="113">
        <v>50</v>
      </c>
    </row>
    <row r="179" spans="1:10" x14ac:dyDescent="0.3">
      <c r="A179" s="111" t="s">
        <v>262</v>
      </c>
      <c r="B179" s="111" t="s">
        <v>1042</v>
      </c>
      <c r="C179" s="111" t="s">
        <v>187</v>
      </c>
      <c r="D179" s="113">
        <v>0</v>
      </c>
      <c r="E179" s="113">
        <v>0</v>
      </c>
      <c r="F179" s="113">
        <v>0</v>
      </c>
      <c r="G179" s="113">
        <v>0</v>
      </c>
      <c r="H179" s="113">
        <v>0</v>
      </c>
      <c r="I179" s="113">
        <v>0</v>
      </c>
      <c r="J179" s="113">
        <v>50</v>
      </c>
    </row>
    <row r="180" spans="1:10" x14ac:dyDescent="0.3">
      <c r="A180" s="111" t="s">
        <v>264</v>
      </c>
      <c r="B180" s="111" t="s">
        <v>1043</v>
      </c>
      <c r="C180" s="111" t="s">
        <v>187</v>
      </c>
      <c r="D180" s="113">
        <v>0</v>
      </c>
      <c r="E180" s="113">
        <v>0</v>
      </c>
      <c r="F180" s="113">
        <v>0</v>
      </c>
      <c r="G180" s="113">
        <v>0</v>
      </c>
      <c r="H180" s="113">
        <v>0</v>
      </c>
      <c r="I180" s="113">
        <v>0</v>
      </c>
      <c r="J180" s="113">
        <v>50</v>
      </c>
    </row>
    <row r="181" spans="1:10" x14ac:dyDescent="0.3">
      <c r="A181" s="111" t="s">
        <v>266</v>
      </c>
      <c r="B181" s="111" t="s">
        <v>1044</v>
      </c>
      <c r="C181" s="111" t="s">
        <v>187</v>
      </c>
      <c r="D181" s="113">
        <v>0</v>
      </c>
      <c r="E181" s="113">
        <v>0</v>
      </c>
      <c r="F181" s="113">
        <v>0</v>
      </c>
      <c r="G181" s="113">
        <v>0</v>
      </c>
      <c r="H181" s="113">
        <v>0</v>
      </c>
      <c r="I181" s="113">
        <v>0</v>
      </c>
      <c r="J181" s="113">
        <v>50</v>
      </c>
    </row>
    <row r="182" spans="1:10" x14ac:dyDescent="0.3">
      <c r="A182" s="111" t="s">
        <v>268</v>
      </c>
      <c r="B182" s="111" t="s">
        <v>1045</v>
      </c>
      <c r="C182" s="111" t="s">
        <v>187</v>
      </c>
      <c r="D182" s="113">
        <v>0</v>
      </c>
      <c r="E182" s="113">
        <v>0</v>
      </c>
      <c r="F182" s="113">
        <v>0</v>
      </c>
      <c r="G182" s="113">
        <v>0</v>
      </c>
      <c r="H182" s="113">
        <v>0</v>
      </c>
      <c r="I182" s="113">
        <v>0</v>
      </c>
      <c r="J182" s="113">
        <v>50</v>
      </c>
    </row>
    <row r="183" spans="1:10" x14ac:dyDescent="0.3">
      <c r="A183" s="111" t="s">
        <v>270</v>
      </c>
      <c r="B183" s="111" t="s">
        <v>1046</v>
      </c>
      <c r="C183" s="111" t="s">
        <v>187</v>
      </c>
      <c r="D183" s="113">
        <v>0</v>
      </c>
      <c r="E183" s="113">
        <v>0</v>
      </c>
      <c r="F183" s="113">
        <v>0</v>
      </c>
      <c r="G183" s="113">
        <v>0</v>
      </c>
      <c r="H183" s="113">
        <v>0</v>
      </c>
      <c r="I183" s="113">
        <v>0</v>
      </c>
      <c r="J183" s="113">
        <v>50</v>
      </c>
    </row>
    <row r="184" spans="1:10" x14ac:dyDescent="0.3">
      <c r="A184" s="111" t="s">
        <v>272</v>
      </c>
      <c r="B184" s="111" t="s">
        <v>1047</v>
      </c>
      <c r="C184" s="111" t="s">
        <v>187</v>
      </c>
      <c r="D184" s="113">
        <v>0</v>
      </c>
      <c r="E184" s="113">
        <v>0</v>
      </c>
      <c r="F184" s="113">
        <v>0</v>
      </c>
      <c r="G184" s="113">
        <v>0</v>
      </c>
      <c r="H184" s="113">
        <v>0</v>
      </c>
      <c r="I184" s="113">
        <v>0</v>
      </c>
      <c r="J184" s="113">
        <v>50</v>
      </c>
    </row>
    <row r="185" spans="1:10" x14ac:dyDescent="0.3">
      <c r="A185" s="111" t="s">
        <v>274</v>
      </c>
      <c r="B185" s="111" t="s">
        <v>1048</v>
      </c>
      <c r="C185" s="111" t="s">
        <v>187</v>
      </c>
      <c r="D185" s="113">
        <v>0</v>
      </c>
      <c r="E185" s="113">
        <v>0</v>
      </c>
      <c r="F185" s="113">
        <v>0</v>
      </c>
      <c r="G185" s="113">
        <v>0</v>
      </c>
      <c r="H185" s="113">
        <v>0</v>
      </c>
      <c r="I185" s="113">
        <v>0</v>
      </c>
      <c r="J185" s="113">
        <v>50</v>
      </c>
    </row>
    <row r="186" spans="1:10" x14ac:dyDescent="0.3">
      <c r="A186" s="111" t="s">
        <v>276</v>
      </c>
      <c r="B186" s="111" t="s">
        <v>1049</v>
      </c>
      <c r="C186" s="111" t="s">
        <v>187</v>
      </c>
      <c r="D186" s="113">
        <v>0</v>
      </c>
      <c r="E186" s="113">
        <v>0</v>
      </c>
      <c r="F186" s="113">
        <v>0</v>
      </c>
      <c r="G186" s="113">
        <v>0</v>
      </c>
      <c r="H186" s="113">
        <v>0</v>
      </c>
      <c r="I186" s="113">
        <v>0</v>
      </c>
      <c r="J186" s="113">
        <v>50</v>
      </c>
    </row>
    <row r="187" spans="1:10" x14ac:dyDescent="0.3">
      <c r="A187" s="111" t="s">
        <v>278</v>
      </c>
      <c r="B187" s="111" t="s">
        <v>1050</v>
      </c>
      <c r="C187" s="111" t="s">
        <v>187</v>
      </c>
      <c r="D187" s="113">
        <v>0</v>
      </c>
      <c r="E187" s="113">
        <v>0</v>
      </c>
      <c r="F187" s="113">
        <v>0</v>
      </c>
      <c r="G187" s="113">
        <v>0</v>
      </c>
      <c r="H187" s="113">
        <v>0</v>
      </c>
      <c r="I187" s="113">
        <v>0</v>
      </c>
      <c r="J187" s="113">
        <v>50</v>
      </c>
    </row>
    <row r="188" spans="1:10" x14ac:dyDescent="0.3">
      <c r="A188" s="111" t="s">
        <v>946</v>
      </c>
      <c r="B188" s="111" t="s">
        <v>947</v>
      </c>
      <c r="C188" s="111" t="s">
        <v>187</v>
      </c>
      <c r="D188" s="113">
        <v>1</v>
      </c>
      <c r="E188" s="113">
        <v>1</v>
      </c>
      <c r="F188" s="113">
        <v>0</v>
      </c>
      <c r="G188" s="113">
        <v>0</v>
      </c>
      <c r="H188" s="113">
        <v>1</v>
      </c>
      <c r="I188" s="113">
        <v>1</v>
      </c>
      <c r="J188" s="113">
        <v>0</v>
      </c>
    </row>
    <row r="189" spans="1:10" x14ac:dyDescent="0.3">
      <c r="A189" s="111" t="s">
        <v>948</v>
      </c>
      <c r="B189" s="111" t="s">
        <v>949</v>
      </c>
      <c r="C189" s="111" t="s">
        <v>187</v>
      </c>
      <c r="D189" s="113">
        <v>0</v>
      </c>
      <c r="E189" s="113">
        <v>0</v>
      </c>
      <c r="F189" s="113">
        <v>18</v>
      </c>
      <c r="G189" s="113">
        <v>18</v>
      </c>
      <c r="H189" s="113">
        <v>18</v>
      </c>
      <c r="I189" s="113">
        <v>18</v>
      </c>
      <c r="J189" s="113">
        <v>0</v>
      </c>
    </row>
    <row r="190" spans="1:10" x14ac:dyDescent="0.3">
      <c r="A190" s="111" t="s">
        <v>1051</v>
      </c>
      <c r="B190" s="111" t="s">
        <v>1052</v>
      </c>
      <c r="C190" s="111" t="s">
        <v>187</v>
      </c>
      <c r="D190" s="113">
        <v>0</v>
      </c>
      <c r="E190" s="113">
        <v>0</v>
      </c>
      <c r="F190" s="113">
        <v>0</v>
      </c>
      <c r="G190" s="113">
        <v>0</v>
      </c>
      <c r="H190" s="113">
        <v>0</v>
      </c>
      <c r="I190" s="113">
        <v>0</v>
      </c>
      <c r="J190" s="113">
        <v>48</v>
      </c>
    </row>
    <row r="191" spans="1:10" x14ac:dyDescent="0.3">
      <c r="A191" s="111" t="s">
        <v>1053</v>
      </c>
      <c r="B191" s="111" t="s">
        <v>1054</v>
      </c>
      <c r="C191" s="111" t="s">
        <v>187</v>
      </c>
      <c r="D191" s="113">
        <v>0</v>
      </c>
      <c r="E191" s="113">
        <v>0</v>
      </c>
      <c r="F191" s="113">
        <v>0</v>
      </c>
      <c r="G191" s="113">
        <v>0</v>
      </c>
      <c r="H191" s="113">
        <v>0</v>
      </c>
      <c r="I191" s="113">
        <v>0</v>
      </c>
      <c r="J191" s="113">
        <v>48</v>
      </c>
    </row>
    <row r="192" spans="1:10" x14ac:dyDescent="0.3">
      <c r="A192" s="111" t="s">
        <v>1055</v>
      </c>
      <c r="B192" s="111" t="s">
        <v>1056</v>
      </c>
      <c r="C192" s="111" t="s">
        <v>187</v>
      </c>
      <c r="D192" s="113">
        <v>0</v>
      </c>
      <c r="E192" s="113">
        <v>0</v>
      </c>
      <c r="F192" s="113">
        <v>0</v>
      </c>
      <c r="G192" s="113">
        <v>0</v>
      </c>
      <c r="H192" s="113">
        <v>0</v>
      </c>
      <c r="I192" s="113">
        <v>0</v>
      </c>
      <c r="J192" s="113">
        <v>24</v>
      </c>
    </row>
    <row r="193" spans="1:10" x14ac:dyDescent="0.3">
      <c r="A193" s="111" t="s">
        <v>1057</v>
      </c>
      <c r="B193" s="111" t="s">
        <v>1058</v>
      </c>
      <c r="C193" s="111" t="s">
        <v>187</v>
      </c>
      <c r="D193" s="113">
        <v>0</v>
      </c>
      <c r="E193" s="113">
        <v>0</v>
      </c>
      <c r="F193" s="113">
        <v>0</v>
      </c>
      <c r="G193" s="113">
        <v>0</v>
      </c>
      <c r="H193" s="113">
        <v>0</v>
      </c>
      <c r="I193" s="113">
        <v>0</v>
      </c>
      <c r="J193" s="113">
        <v>24</v>
      </c>
    </row>
    <row r="194" spans="1:10" x14ac:dyDescent="0.3">
      <c r="A194" s="111" t="s">
        <v>1059</v>
      </c>
      <c r="B194" s="111" t="s">
        <v>1060</v>
      </c>
      <c r="C194" s="111" t="s">
        <v>187</v>
      </c>
      <c r="D194" s="113">
        <v>0</v>
      </c>
      <c r="E194" s="113">
        <v>0</v>
      </c>
      <c r="F194" s="113">
        <v>0</v>
      </c>
      <c r="G194" s="113">
        <v>0</v>
      </c>
      <c r="H194" s="113">
        <v>0</v>
      </c>
      <c r="I194" s="113">
        <v>0</v>
      </c>
      <c r="J194" s="113">
        <v>24</v>
      </c>
    </row>
    <row r="195" spans="1:10" x14ac:dyDescent="0.3">
      <c r="A195" s="111" t="s">
        <v>1061</v>
      </c>
      <c r="B195" s="111" t="s">
        <v>1062</v>
      </c>
      <c r="C195" s="111" t="s">
        <v>187</v>
      </c>
      <c r="D195" s="113">
        <v>0</v>
      </c>
      <c r="E195" s="113">
        <v>0</v>
      </c>
      <c r="F195" s="113">
        <v>0</v>
      </c>
      <c r="G195" s="113">
        <v>0</v>
      </c>
      <c r="H195" s="113">
        <v>0</v>
      </c>
      <c r="I195" s="113">
        <v>0</v>
      </c>
      <c r="J195" s="113">
        <v>40</v>
      </c>
    </row>
    <row r="196" spans="1:10" x14ac:dyDescent="0.3">
      <c r="A196" s="111" t="s">
        <v>1063</v>
      </c>
      <c r="B196" s="111" t="s">
        <v>1064</v>
      </c>
      <c r="C196" s="111" t="s">
        <v>187</v>
      </c>
      <c r="D196" s="113">
        <v>0</v>
      </c>
      <c r="E196" s="113">
        <v>0</v>
      </c>
      <c r="F196" s="113">
        <v>0</v>
      </c>
      <c r="G196" s="113">
        <v>0</v>
      </c>
      <c r="H196" s="113">
        <v>0</v>
      </c>
      <c r="I196" s="113">
        <v>0</v>
      </c>
      <c r="J196" s="113">
        <v>12</v>
      </c>
    </row>
    <row r="197" spans="1:10" x14ac:dyDescent="0.3">
      <c r="A197" s="111" t="s">
        <v>1065</v>
      </c>
      <c r="B197" s="111" t="s">
        <v>1066</v>
      </c>
      <c r="C197" s="111" t="s">
        <v>187</v>
      </c>
      <c r="D197" s="113">
        <v>0</v>
      </c>
      <c r="E197" s="113">
        <v>0</v>
      </c>
      <c r="F197" s="113">
        <v>0</v>
      </c>
      <c r="G197" s="113">
        <v>0</v>
      </c>
      <c r="H197" s="113">
        <v>0</v>
      </c>
      <c r="I197" s="113">
        <v>0</v>
      </c>
      <c r="J197" s="113">
        <v>12</v>
      </c>
    </row>
    <row r="198" spans="1:10" x14ac:dyDescent="0.3">
      <c r="A198" s="111" t="s">
        <v>1067</v>
      </c>
      <c r="B198" s="111" t="s">
        <v>1068</v>
      </c>
      <c r="C198" s="111" t="s">
        <v>187</v>
      </c>
      <c r="D198" s="113">
        <v>0</v>
      </c>
      <c r="E198" s="113">
        <v>0</v>
      </c>
      <c r="F198" s="113">
        <v>0</v>
      </c>
      <c r="G198" s="113">
        <v>0</v>
      </c>
      <c r="H198" s="113">
        <v>0</v>
      </c>
      <c r="I198" s="113">
        <v>0</v>
      </c>
      <c r="J198" s="113">
        <v>12</v>
      </c>
    </row>
    <row r="199" spans="1:10" x14ac:dyDescent="0.3">
      <c r="A199" s="111" t="s">
        <v>1069</v>
      </c>
      <c r="B199" s="111" t="s">
        <v>1070</v>
      </c>
      <c r="C199" s="111" t="s">
        <v>187</v>
      </c>
      <c r="D199" s="113">
        <v>0</v>
      </c>
      <c r="E199" s="113">
        <v>0</v>
      </c>
      <c r="F199" s="113">
        <v>0</v>
      </c>
      <c r="G199" s="113">
        <v>0</v>
      </c>
      <c r="H199" s="113">
        <v>0</v>
      </c>
      <c r="I199" s="113">
        <v>0</v>
      </c>
      <c r="J199" s="113">
        <v>40</v>
      </c>
    </row>
    <row r="200" spans="1:10" x14ac:dyDescent="0.3">
      <c r="A200" s="111" t="s">
        <v>1071</v>
      </c>
      <c r="B200" s="111" t="s">
        <v>1072</v>
      </c>
      <c r="C200" s="111" t="s">
        <v>187</v>
      </c>
      <c r="D200" s="113">
        <v>0</v>
      </c>
      <c r="E200" s="113">
        <v>0</v>
      </c>
      <c r="F200" s="113">
        <v>0</v>
      </c>
      <c r="G200" s="113">
        <v>0</v>
      </c>
      <c r="H200" s="113">
        <v>0</v>
      </c>
      <c r="I200" s="113">
        <v>0</v>
      </c>
      <c r="J200" s="113">
        <v>24</v>
      </c>
    </row>
    <row r="201" spans="1:10" x14ac:dyDescent="0.3">
      <c r="A201" s="111" t="s">
        <v>1073</v>
      </c>
      <c r="B201" s="111" t="s">
        <v>1074</v>
      </c>
      <c r="C201" s="111" t="s">
        <v>187</v>
      </c>
      <c r="D201" s="113">
        <v>0</v>
      </c>
      <c r="E201" s="113">
        <v>0</v>
      </c>
      <c r="F201" s="113">
        <v>0</v>
      </c>
      <c r="G201" s="113">
        <v>0</v>
      </c>
      <c r="H201" s="113">
        <v>0</v>
      </c>
      <c r="I201" s="113">
        <v>0</v>
      </c>
      <c r="J201" s="113">
        <v>24</v>
      </c>
    </row>
    <row r="202" spans="1:10" x14ac:dyDescent="0.3">
      <c r="A202" s="111" t="s">
        <v>1075</v>
      </c>
      <c r="B202" s="111" t="s">
        <v>1076</v>
      </c>
      <c r="C202" s="111" t="s">
        <v>187</v>
      </c>
      <c r="D202" s="113">
        <v>0</v>
      </c>
      <c r="E202" s="113">
        <v>0</v>
      </c>
      <c r="F202" s="113">
        <v>0</v>
      </c>
      <c r="G202" s="113">
        <v>0</v>
      </c>
      <c r="H202" s="113">
        <v>0</v>
      </c>
      <c r="I202" s="113">
        <v>0</v>
      </c>
      <c r="J202" s="113">
        <v>24</v>
      </c>
    </row>
    <row r="203" spans="1:10" x14ac:dyDescent="0.3">
      <c r="A203" s="111" t="s">
        <v>1077</v>
      </c>
      <c r="B203" s="111" t="s">
        <v>1078</v>
      </c>
      <c r="C203" s="111" t="s">
        <v>187</v>
      </c>
      <c r="D203" s="113">
        <v>0</v>
      </c>
      <c r="E203" s="113">
        <v>0</v>
      </c>
      <c r="F203" s="113">
        <v>0</v>
      </c>
      <c r="G203" s="113">
        <v>0</v>
      </c>
      <c r="H203" s="113">
        <v>0</v>
      </c>
      <c r="I203" s="113">
        <v>0</v>
      </c>
      <c r="J203" s="113">
        <v>12</v>
      </c>
    </row>
    <row r="204" spans="1:10" x14ac:dyDescent="0.3">
      <c r="A204" s="111" t="s">
        <v>1079</v>
      </c>
      <c r="B204" s="111" t="s">
        <v>1078</v>
      </c>
      <c r="C204" s="111" t="s">
        <v>187</v>
      </c>
      <c r="D204" s="113">
        <v>0</v>
      </c>
      <c r="E204" s="113">
        <v>0</v>
      </c>
      <c r="F204" s="113">
        <v>0</v>
      </c>
      <c r="G204" s="113">
        <v>0</v>
      </c>
      <c r="H204" s="113">
        <v>0</v>
      </c>
      <c r="I204" s="113">
        <v>0</v>
      </c>
      <c r="J204" s="113">
        <v>12</v>
      </c>
    </row>
    <row r="205" spans="1:10" x14ac:dyDescent="0.3">
      <c r="A205" s="111" t="s">
        <v>1080</v>
      </c>
      <c r="B205" s="111" t="s">
        <v>1081</v>
      </c>
      <c r="C205" s="111" t="s">
        <v>187</v>
      </c>
      <c r="D205" s="113">
        <v>0</v>
      </c>
      <c r="E205" s="113">
        <v>0</v>
      </c>
      <c r="F205" s="113">
        <v>0</v>
      </c>
      <c r="G205" s="113">
        <v>0</v>
      </c>
      <c r="H205" s="113">
        <v>0</v>
      </c>
      <c r="I205" s="113">
        <v>0</v>
      </c>
      <c r="J205" s="113">
        <v>24</v>
      </c>
    </row>
    <row r="206" spans="1:10" x14ac:dyDescent="0.3">
      <c r="A206" s="111" t="s">
        <v>1082</v>
      </c>
      <c r="B206" s="111" t="s">
        <v>1083</v>
      </c>
      <c r="C206" s="111" t="s">
        <v>187</v>
      </c>
      <c r="D206" s="113">
        <v>0</v>
      </c>
      <c r="E206" s="113">
        <v>0</v>
      </c>
      <c r="F206" s="113">
        <v>0</v>
      </c>
      <c r="G206" s="113">
        <v>0</v>
      </c>
      <c r="H206" s="113">
        <v>0</v>
      </c>
      <c r="I206" s="113">
        <v>0</v>
      </c>
      <c r="J206" s="113">
        <v>24</v>
      </c>
    </row>
    <row r="207" spans="1:10" x14ac:dyDescent="0.3">
      <c r="A207" s="111" t="s">
        <v>280</v>
      </c>
      <c r="B207" s="111" t="s">
        <v>1072</v>
      </c>
      <c r="C207" s="111" t="s">
        <v>187</v>
      </c>
      <c r="D207" s="113">
        <v>0</v>
      </c>
      <c r="E207" s="113">
        <v>0</v>
      </c>
      <c r="F207" s="113">
        <v>0</v>
      </c>
      <c r="G207" s="113">
        <v>0</v>
      </c>
      <c r="H207" s="113">
        <v>0</v>
      </c>
      <c r="I207" s="113">
        <v>0</v>
      </c>
      <c r="J207" s="113">
        <v>24</v>
      </c>
    </row>
    <row r="208" spans="1:10" x14ac:dyDescent="0.3">
      <c r="A208" s="111" t="s">
        <v>282</v>
      </c>
      <c r="B208" s="111" t="s">
        <v>1074</v>
      </c>
      <c r="C208" s="111" t="s">
        <v>187</v>
      </c>
      <c r="D208" s="113">
        <v>0</v>
      </c>
      <c r="E208" s="113">
        <v>0</v>
      </c>
      <c r="F208" s="113">
        <v>0</v>
      </c>
      <c r="G208" s="113">
        <v>0</v>
      </c>
      <c r="H208" s="113">
        <v>0</v>
      </c>
      <c r="I208" s="113">
        <v>0</v>
      </c>
      <c r="J208" s="113">
        <v>24</v>
      </c>
    </row>
    <row r="209" spans="1:10" x14ac:dyDescent="0.3">
      <c r="A209" s="111" t="s">
        <v>1084</v>
      </c>
      <c r="B209" s="111" t="s">
        <v>1085</v>
      </c>
      <c r="C209" s="111" t="s">
        <v>187</v>
      </c>
      <c r="D209" s="113">
        <v>0</v>
      </c>
      <c r="E209" s="113">
        <v>0</v>
      </c>
      <c r="F209" s="113">
        <v>0</v>
      </c>
      <c r="G209" s="113">
        <v>0</v>
      </c>
      <c r="H209" s="113">
        <v>0</v>
      </c>
      <c r="I209" s="113">
        <v>0</v>
      </c>
      <c r="J209" s="113">
        <v>48</v>
      </c>
    </row>
    <row r="210" spans="1:10" x14ac:dyDescent="0.3">
      <c r="A210" s="111" t="s">
        <v>284</v>
      </c>
      <c r="B210" s="111" t="s">
        <v>285</v>
      </c>
      <c r="C210" s="111" t="s">
        <v>175</v>
      </c>
      <c r="D210" s="113">
        <v>0</v>
      </c>
      <c r="E210" s="113">
        <v>0</v>
      </c>
      <c r="F210" s="113">
        <v>0</v>
      </c>
      <c r="G210" s="113">
        <v>0</v>
      </c>
      <c r="H210" s="113">
        <v>0</v>
      </c>
      <c r="I210" s="113">
        <v>0</v>
      </c>
      <c r="J210" s="113">
        <v>0</v>
      </c>
    </row>
    <row r="211" spans="1:10" x14ac:dyDescent="0.3">
      <c r="A211" s="111" t="s">
        <v>286</v>
      </c>
      <c r="B211" s="111" t="s">
        <v>287</v>
      </c>
      <c r="C211" s="111" t="s">
        <v>172</v>
      </c>
      <c r="D211" s="113">
        <v>0</v>
      </c>
      <c r="E211" s="113">
        <v>0</v>
      </c>
      <c r="F211" s="113">
        <v>0</v>
      </c>
      <c r="G211" s="113">
        <v>0</v>
      </c>
      <c r="H211" s="113">
        <v>0</v>
      </c>
      <c r="I211" s="113">
        <v>0</v>
      </c>
      <c r="J211" s="113">
        <v>1</v>
      </c>
    </row>
    <row r="212" spans="1:10" x14ac:dyDescent="0.3">
      <c r="A212" s="111" t="s">
        <v>288</v>
      </c>
      <c r="B212" s="111" t="s">
        <v>289</v>
      </c>
      <c r="C212" s="111" t="s">
        <v>172</v>
      </c>
      <c r="D212" s="113">
        <v>0</v>
      </c>
      <c r="E212" s="113">
        <v>0</v>
      </c>
      <c r="F212" s="113">
        <v>0</v>
      </c>
      <c r="G212" s="113">
        <v>0</v>
      </c>
      <c r="H212" s="113">
        <v>0</v>
      </c>
      <c r="I212" s="113">
        <v>0</v>
      </c>
      <c r="J212" s="113">
        <v>1</v>
      </c>
    </row>
    <row r="213" spans="1:10" x14ac:dyDescent="0.3">
      <c r="A213" s="111" t="s">
        <v>290</v>
      </c>
      <c r="B213" s="111" t="s">
        <v>291</v>
      </c>
      <c r="C213" s="111" t="s">
        <v>175</v>
      </c>
      <c r="D213" s="113">
        <v>0</v>
      </c>
      <c r="E213" s="113">
        <v>0</v>
      </c>
      <c r="F213" s="113">
        <v>0</v>
      </c>
      <c r="G213" s="113">
        <v>0</v>
      </c>
      <c r="H213" s="113">
        <v>0</v>
      </c>
      <c r="I213" s="113">
        <v>0</v>
      </c>
      <c r="J213" s="113">
        <v>0</v>
      </c>
    </row>
    <row r="214" spans="1:10" x14ac:dyDescent="0.3">
      <c r="A214" s="111" t="s">
        <v>292</v>
      </c>
      <c r="B214" s="111" t="s">
        <v>293</v>
      </c>
      <c r="C214" s="111" t="s">
        <v>172</v>
      </c>
      <c r="D214" s="113">
        <v>0</v>
      </c>
      <c r="E214" s="113">
        <v>0</v>
      </c>
      <c r="F214" s="113">
        <v>0</v>
      </c>
      <c r="G214" s="113">
        <v>0</v>
      </c>
      <c r="H214" s="113">
        <v>0</v>
      </c>
      <c r="I214" s="113">
        <v>0</v>
      </c>
      <c r="J214" s="113">
        <v>1</v>
      </c>
    </row>
    <row r="215" spans="1:10" x14ac:dyDescent="0.3">
      <c r="A215" s="111" t="s">
        <v>294</v>
      </c>
      <c r="B215" s="111" t="s">
        <v>295</v>
      </c>
      <c r="C215" s="111" t="s">
        <v>172</v>
      </c>
      <c r="D215" s="113">
        <v>0</v>
      </c>
      <c r="E215" s="113">
        <v>0</v>
      </c>
      <c r="F215" s="113">
        <v>0</v>
      </c>
      <c r="G215" s="113">
        <v>0</v>
      </c>
      <c r="H215" s="113">
        <v>0</v>
      </c>
      <c r="I215" s="113">
        <v>0</v>
      </c>
      <c r="J215" s="113">
        <v>1</v>
      </c>
    </row>
    <row r="216" spans="1:10" x14ac:dyDescent="0.3">
      <c r="A216" s="111" t="s">
        <v>296</v>
      </c>
      <c r="B216" s="111" t="s">
        <v>297</v>
      </c>
      <c r="C216" s="111" t="s">
        <v>172</v>
      </c>
      <c r="D216" s="113">
        <v>0</v>
      </c>
      <c r="E216" s="113">
        <v>0</v>
      </c>
      <c r="F216" s="113">
        <v>0</v>
      </c>
      <c r="G216" s="113">
        <v>0</v>
      </c>
      <c r="H216" s="113">
        <v>0</v>
      </c>
      <c r="I216" s="113">
        <v>0</v>
      </c>
      <c r="J216" s="113">
        <v>1</v>
      </c>
    </row>
    <row r="217" spans="1:10" x14ac:dyDescent="0.3">
      <c r="A217" s="111" t="s">
        <v>298</v>
      </c>
      <c r="B217" s="111" t="s">
        <v>299</v>
      </c>
      <c r="C217" s="111" t="s">
        <v>172</v>
      </c>
      <c r="D217" s="113">
        <v>0</v>
      </c>
      <c r="E217" s="113">
        <v>0</v>
      </c>
      <c r="F217" s="113">
        <v>0</v>
      </c>
      <c r="G217" s="113">
        <v>0</v>
      </c>
      <c r="H217" s="113">
        <v>0</v>
      </c>
      <c r="I217" s="113">
        <v>0</v>
      </c>
      <c r="J217" s="113">
        <v>1</v>
      </c>
    </row>
    <row r="218" spans="1:10" x14ac:dyDescent="0.3">
      <c r="A218" s="111" t="s">
        <v>300</v>
      </c>
      <c r="B218" s="111" t="s">
        <v>301</v>
      </c>
      <c r="C218" s="111" t="s">
        <v>172</v>
      </c>
      <c r="D218" s="113">
        <v>0</v>
      </c>
      <c r="E218" s="113">
        <v>0</v>
      </c>
      <c r="F218" s="113">
        <v>0</v>
      </c>
      <c r="G218" s="113">
        <v>0</v>
      </c>
      <c r="H218" s="113">
        <v>0</v>
      </c>
      <c r="I218" s="113">
        <v>0</v>
      </c>
      <c r="J218" s="113">
        <v>1</v>
      </c>
    </row>
    <row r="219" spans="1:10" x14ac:dyDescent="0.3">
      <c r="A219" s="111" t="s">
        <v>1162</v>
      </c>
      <c r="B219" s="111" t="s">
        <v>1163</v>
      </c>
      <c r="C219" s="111" t="s">
        <v>187</v>
      </c>
      <c r="D219" s="113">
        <v>0</v>
      </c>
      <c r="E219" s="113">
        <v>0</v>
      </c>
      <c r="F219" s="113">
        <v>0</v>
      </c>
      <c r="G219" s="113">
        <v>0</v>
      </c>
      <c r="H219" s="113">
        <v>0</v>
      </c>
      <c r="I219" s="113">
        <v>0</v>
      </c>
      <c r="J219" s="113">
        <v>0</v>
      </c>
    </row>
    <row r="220" spans="1:10" x14ac:dyDescent="0.3">
      <c r="A220" s="111" t="s">
        <v>302</v>
      </c>
      <c r="B220" s="111" t="s">
        <v>303</v>
      </c>
      <c r="C220" s="111" t="s">
        <v>172</v>
      </c>
      <c r="D220" s="113">
        <v>0</v>
      </c>
      <c r="E220" s="113">
        <v>0</v>
      </c>
      <c r="F220" s="113">
        <v>0</v>
      </c>
      <c r="G220" s="113">
        <v>0</v>
      </c>
      <c r="H220" s="113">
        <v>0</v>
      </c>
      <c r="I220" s="113">
        <v>0</v>
      </c>
      <c r="J220" s="113">
        <v>1</v>
      </c>
    </row>
    <row r="221" spans="1:10" x14ac:dyDescent="0.3">
      <c r="A221" s="111" t="s">
        <v>304</v>
      </c>
      <c r="B221" s="111" t="s">
        <v>305</v>
      </c>
      <c r="C221" s="111" t="s">
        <v>172</v>
      </c>
      <c r="D221" s="113">
        <v>0</v>
      </c>
      <c r="E221" s="113">
        <v>0</v>
      </c>
      <c r="F221" s="113">
        <v>0</v>
      </c>
      <c r="G221" s="113">
        <v>0</v>
      </c>
      <c r="H221" s="113">
        <v>0</v>
      </c>
      <c r="I221" s="113">
        <v>0</v>
      </c>
      <c r="J221" s="113">
        <v>1</v>
      </c>
    </row>
    <row r="222" spans="1:10" x14ac:dyDescent="0.3">
      <c r="A222" s="111" t="s">
        <v>982</v>
      </c>
      <c r="B222" s="111" t="s">
        <v>983</v>
      </c>
      <c r="C222" s="111" t="s">
        <v>175</v>
      </c>
      <c r="D222" s="113">
        <v>0</v>
      </c>
      <c r="E222" s="113">
        <v>0</v>
      </c>
      <c r="F222" s="113">
        <v>0</v>
      </c>
      <c r="G222" s="113">
        <v>0</v>
      </c>
      <c r="H222" s="113">
        <v>0</v>
      </c>
      <c r="I222" s="113">
        <v>0</v>
      </c>
      <c r="J222" s="113">
        <v>0</v>
      </c>
    </row>
    <row r="223" spans="1:10" x14ac:dyDescent="0.3">
      <c r="A223" s="111" t="s">
        <v>306</v>
      </c>
      <c r="B223" s="111" t="s">
        <v>1086</v>
      </c>
      <c r="C223" s="111" t="s">
        <v>187</v>
      </c>
      <c r="D223" s="113">
        <v>0</v>
      </c>
      <c r="E223" s="113">
        <v>0</v>
      </c>
      <c r="F223" s="113">
        <v>0</v>
      </c>
      <c r="G223" s="113">
        <v>0</v>
      </c>
      <c r="H223" s="113">
        <v>0</v>
      </c>
      <c r="I223" s="113">
        <v>0</v>
      </c>
      <c r="J223" s="113">
        <v>24</v>
      </c>
    </row>
    <row r="224" spans="1:10" x14ac:dyDescent="0.3">
      <c r="A224" s="111" t="s">
        <v>308</v>
      </c>
      <c r="B224" s="111" t="s">
        <v>1087</v>
      </c>
      <c r="C224" s="111" t="s">
        <v>187</v>
      </c>
      <c r="D224" s="113">
        <v>0</v>
      </c>
      <c r="E224" s="113">
        <v>0</v>
      </c>
      <c r="F224" s="113">
        <v>0</v>
      </c>
      <c r="G224" s="113">
        <v>0</v>
      </c>
      <c r="H224" s="113">
        <v>0</v>
      </c>
      <c r="I224" s="113">
        <v>0</v>
      </c>
      <c r="J224" s="113">
        <v>48</v>
      </c>
    </row>
    <row r="225" spans="1:10" x14ac:dyDescent="0.3">
      <c r="A225" s="111" t="s">
        <v>1139</v>
      </c>
      <c r="B225" s="111" t="s">
        <v>1140</v>
      </c>
      <c r="C225" s="111" t="s">
        <v>187</v>
      </c>
      <c r="D225" s="113">
        <v>0</v>
      </c>
      <c r="E225" s="113">
        <v>0</v>
      </c>
      <c r="F225" s="113">
        <v>0</v>
      </c>
      <c r="G225" s="113">
        <v>0</v>
      </c>
      <c r="H225" s="113">
        <v>0</v>
      </c>
      <c r="I225" s="113">
        <v>0</v>
      </c>
      <c r="J225" s="113">
        <v>48</v>
      </c>
    </row>
    <row r="226" spans="1:10" x14ac:dyDescent="0.3">
      <c r="A226" s="111" t="s">
        <v>310</v>
      </c>
      <c r="B226" s="111" t="s">
        <v>1088</v>
      </c>
      <c r="C226" s="111" t="s">
        <v>187</v>
      </c>
      <c r="D226" s="113">
        <v>0</v>
      </c>
      <c r="E226" s="113">
        <v>0</v>
      </c>
      <c r="F226" s="113">
        <v>0</v>
      </c>
      <c r="G226" s="113">
        <v>0</v>
      </c>
      <c r="H226" s="113">
        <v>0</v>
      </c>
      <c r="I226" s="113">
        <v>0</v>
      </c>
      <c r="J226" s="113">
        <v>48</v>
      </c>
    </row>
    <row r="227" spans="1:10" x14ac:dyDescent="0.3">
      <c r="A227" s="111" t="s">
        <v>312</v>
      </c>
      <c r="B227" s="111" t="s">
        <v>1089</v>
      </c>
      <c r="C227" s="111" t="s">
        <v>187</v>
      </c>
      <c r="D227" s="113">
        <v>0</v>
      </c>
      <c r="E227" s="113">
        <v>0</v>
      </c>
      <c r="F227" s="113">
        <v>0</v>
      </c>
      <c r="G227" s="113">
        <v>0</v>
      </c>
      <c r="H227" s="113">
        <v>0</v>
      </c>
      <c r="I227" s="113">
        <v>0</v>
      </c>
      <c r="J227" s="113">
        <v>48</v>
      </c>
    </row>
    <row r="228" spans="1:10" x14ac:dyDescent="0.3">
      <c r="A228" s="111" t="s">
        <v>314</v>
      </c>
      <c r="B228" s="111" t="s">
        <v>1090</v>
      </c>
      <c r="C228" s="111" t="s">
        <v>187</v>
      </c>
      <c r="D228" s="113">
        <v>0</v>
      </c>
      <c r="E228" s="113">
        <v>0</v>
      </c>
      <c r="F228" s="113">
        <v>0</v>
      </c>
      <c r="G228" s="113">
        <v>0</v>
      </c>
      <c r="H228" s="113">
        <v>0</v>
      </c>
      <c r="I228" s="113">
        <v>0</v>
      </c>
      <c r="J228" s="113">
        <v>24</v>
      </c>
    </row>
    <row r="229" spans="1:10" x14ac:dyDescent="0.3">
      <c r="A229" s="111" t="s">
        <v>316</v>
      </c>
      <c r="B229" s="111" t="s">
        <v>1091</v>
      </c>
      <c r="C229" s="111" t="s">
        <v>187</v>
      </c>
      <c r="D229" s="113">
        <v>0</v>
      </c>
      <c r="E229" s="113">
        <v>0</v>
      </c>
      <c r="F229" s="113">
        <v>0</v>
      </c>
      <c r="G229" s="113">
        <v>0</v>
      </c>
      <c r="H229" s="113">
        <v>0</v>
      </c>
      <c r="I229" s="113">
        <v>0</v>
      </c>
      <c r="J229" s="113">
        <v>24</v>
      </c>
    </row>
    <row r="230" spans="1:10" x14ac:dyDescent="0.3">
      <c r="A230" s="111" t="s">
        <v>318</v>
      </c>
      <c r="B230" s="111" t="s">
        <v>1092</v>
      </c>
      <c r="C230" s="111" t="s">
        <v>187</v>
      </c>
      <c r="D230" s="113">
        <v>0</v>
      </c>
      <c r="E230" s="113">
        <v>0</v>
      </c>
      <c r="F230" s="113">
        <v>0</v>
      </c>
      <c r="G230" s="113">
        <v>0</v>
      </c>
      <c r="H230" s="113">
        <v>0</v>
      </c>
      <c r="I230" s="113">
        <v>0</v>
      </c>
      <c r="J230" s="113">
        <v>24</v>
      </c>
    </row>
    <row r="231" spans="1:10" x14ac:dyDescent="0.3">
      <c r="A231" s="111" t="s">
        <v>320</v>
      </c>
      <c r="B231" s="111" t="s">
        <v>1093</v>
      </c>
      <c r="C231" s="111" t="s">
        <v>187</v>
      </c>
      <c r="D231" s="113">
        <v>0</v>
      </c>
      <c r="E231" s="113">
        <v>0</v>
      </c>
      <c r="F231" s="113">
        <v>0</v>
      </c>
      <c r="G231" s="113">
        <v>0</v>
      </c>
      <c r="H231" s="113">
        <v>0</v>
      </c>
      <c r="I231" s="113">
        <v>0</v>
      </c>
      <c r="J231" s="113">
        <v>24</v>
      </c>
    </row>
    <row r="232" spans="1:10" x14ac:dyDescent="0.3">
      <c r="A232" s="111" t="s">
        <v>322</v>
      </c>
      <c r="B232" s="111" t="s">
        <v>1094</v>
      </c>
      <c r="C232" s="111" t="s">
        <v>187</v>
      </c>
      <c r="D232" s="113">
        <v>0</v>
      </c>
      <c r="E232" s="113">
        <v>0</v>
      </c>
      <c r="F232" s="113">
        <v>0</v>
      </c>
      <c r="G232" s="113">
        <v>0</v>
      </c>
      <c r="H232" s="113">
        <v>0</v>
      </c>
      <c r="I232" s="113">
        <v>0</v>
      </c>
      <c r="J232" s="113">
        <v>24</v>
      </c>
    </row>
    <row r="233" spans="1:10" x14ac:dyDescent="0.3">
      <c r="A233" s="111" t="s">
        <v>324</v>
      </c>
      <c r="B233" s="111" t="s">
        <v>1095</v>
      </c>
      <c r="C233" s="111" t="s">
        <v>187</v>
      </c>
      <c r="D233" s="113">
        <v>0</v>
      </c>
      <c r="E233" s="113">
        <v>0</v>
      </c>
      <c r="F233" s="113">
        <v>0</v>
      </c>
      <c r="G233" s="113">
        <v>0</v>
      </c>
      <c r="H233" s="113">
        <v>0</v>
      </c>
      <c r="I233" s="113">
        <v>0</v>
      </c>
      <c r="J233" s="113">
        <v>24</v>
      </c>
    </row>
    <row r="234" spans="1:10" x14ac:dyDescent="0.3">
      <c r="A234" s="111" t="s">
        <v>326</v>
      </c>
      <c r="B234" s="111" t="s">
        <v>1096</v>
      </c>
      <c r="C234" s="111" t="s">
        <v>187</v>
      </c>
      <c r="D234" s="113">
        <v>0</v>
      </c>
      <c r="E234" s="113">
        <v>0</v>
      </c>
      <c r="F234" s="113">
        <v>0</v>
      </c>
      <c r="G234" s="113">
        <v>0</v>
      </c>
      <c r="H234" s="113">
        <v>0</v>
      </c>
      <c r="I234" s="113">
        <v>0</v>
      </c>
      <c r="J234" s="113">
        <v>24</v>
      </c>
    </row>
    <row r="235" spans="1:10" x14ac:dyDescent="0.3">
      <c r="A235" s="111" t="s">
        <v>328</v>
      </c>
      <c r="B235" s="111" t="s">
        <v>1097</v>
      </c>
      <c r="C235" s="111" t="s">
        <v>187</v>
      </c>
      <c r="D235" s="113">
        <v>0</v>
      </c>
      <c r="E235" s="113">
        <v>0</v>
      </c>
      <c r="F235" s="113">
        <v>0</v>
      </c>
      <c r="G235" s="113">
        <v>0</v>
      </c>
      <c r="H235" s="113">
        <v>0</v>
      </c>
      <c r="I235" s="113">
        <v>0</v>
      </c>
      <c r="J235" s="113">
        <v>24</v>
      </c>
    </row>
    <row r="236" spans="1:10" x14ac:dyDescent="0.3">
      <c r="A236" s="111" t="s">
        <v>330</v>
      </c>
      <c r="B236" s="111" t="s">
        <v>1074</v>
      </c>
      <c r="C236" s="111" t="s">
        <v>187</v>
      </c>
      <c r="D236" s="113">
        <v>0</v>
      </c>
      <c r="E236" s="113">
        <v>0</v>
      </c>
      <c r="F236" s="113">
        <v>0</v>
      </c>
      <c r="G236" s="113">
        <v>0</v>
      </c>
      <c r="H236" s="113">
        <v>0</v>
      </c>
      <c r="I236" s="113">
        <v>0</v>
      </c>
      <c r="J236" s="113">
        <v>12</v>
      </c>
    </row>
    <row r="237" spans="1:10" x14ac:dyDescent="0.3">
      <c r="A237" s="111" t="s">
        <v>332</v>
      </c>
      <c r="B237" s="111" t="s">
        <v>1098</v>
      </c>
      <c r="C237" s="111" t="s">
        <v>187</v>
      </c>
      <c r="D237" s="113">
        <v>0</v>
      </c>
      <c r="E237" s="113">
        <v>0</v>
      </c>
      <c r="F237" s="113">
        <v>0</v>
      </c>
      <c r="G237" s="113">
        <v>0</v>
      </c>
      <c r="H237" s="113">
        <v>0</v>
      </c>
      <c r="I237" s="113">
        <v>0</v>
      </c>
      <c r="J237" s="113">
        <v>24</v>
      </c>
    </row>
    <row r="238" spans="1:10" x14ac:dyDescent="0.3">
      <c r="A238" s="111" t="s">
        <v>334</v>
      </c>
      <c r="B238" s="111" t="s">
        <v>1099</v>
      </c>
      <c r="C238" s="111" t="s">
        <v>187</v>
      </c>
      <c r="D238" s="113">
        <v>0</v>
      </c>
      <c r="E238" s="113">
        <v>0</v>
      </c>
      <c r="F238" s="113">
        <v>0</v>
      </c>
      <c r="G238" s="113">
        <v>0</v>
      </c>
      <c r="H238" s="113">
        <v>0</v>
      </c>
      <c r="I238" s="113">
        <v>0</v>
      </c>
      <c r="J238" s="113">
        <v>24</v>
      </c>
    </row>
    <row r="239" spans="1:10" x14ac:dyDescent="0.3">
      <c r="A239" s="111" t="s">
        <v>336</v>
      </c>
      <c r="B239" s="111" t="s">
        <v>1100</v>
      </c>
      <c r="C239" s="111" t="s">
        <v>187</v>
      </c>
      <c r="D239" s="113">
        <v>0</v>
      </c>
      <c r="E239" s="113">
        <v>0</v>
      </c>
      <c r="F239" s="113">
        <v>0</v>
      </c>
      <c r="G239" s="113">
        <v>0</v>
      </c>
      <c r="H239" s="113">
        <v>0</v>
      </c>
      <c r="I239" s="113">
        <v>0</v>
      </c>
      <c r="J239" s="113">
        <v>24</v>
      </c>
    </row>
    <row r="240" spans="1:10" x14ac:dyDescent="0.3">
      <c r="A240" s="111" t="s">
        <v>338</v>
      </c>
      <c r="B240" s="111" t="s">
        <v>1101</v>
      </c>
      <c r="C240" s="111" t="s">
        <v>187</v>
      </c>
      <c r="D240" s="113">
        <v>0</v>
      </c>
      <c r="E240" s="113">
        <v>0</v>
      </c>
      <c r="F240" s="113">
        <v>0</v>
      </c>
      <c r="G240" s="113">
        <v>0</v>
      </c>
      <c r="H240" s="113">
        <v>0</v>
      </c>
      <c r="I240" s="113">
        <v>0</v>
      </c>
      <c r="J240" s="113">
        <v>24</v>
      </c>
    </row>
    <row r="241" spans="1:10" x14ac:dyDescent="0.3">
      <c r="A241" s="111" t="s">
        <v>340</v>
      </c>
      <c r="B241" s="111" t="s">
        <v>1102</v>
      </c>
      <c r="C241" s="111" t="s">
        <v>187</v>
      </c>
      <c r="D241" s="113">
        <v>0</v>
      </c>
      <c r="E241" s="113">
        <v>0</v>
      </c>
      <c r="F241" s="113">
        <v>0</v>
      </c>
      <c r="G241" s="113">
        <v>0</v>
      </c>
      <c r="H241" s="113">
        <v>0</v>
      </c>
      <c r="I241" s="113">
        <v>0</v>
      </c>
      <c r="J241" s="113">
        <v>24</v>
      </c>
    </row>
    <row r="242" spans="1:10" x14ac:dyDescent="0.3">
      <c r="A242" s="111" t="s">
        <v>342</v>
      </c>
      <c r="B242" s="111" t="s">
        <v>1103</v>
      </c>
      <c r="C242" s="111" t="s">
        <v>187</v>
      </c>
      <c r="D242" s="113">
        <v>0</v>
      </c>
      <c r="E242" s="113">
        <v>0</v>
      </c>
      <c r="F242" s="113">
        <v>0</v>
      </c>
      <c r="G242" s="113">
        <v>0</v>
      </c>
      <c r="H242" s="113">
        <v>0</v>
      </c>
      <c r="I242" s="113">
        <v>0</v>
      </c>
      <c r="J242" s="113">
        <v>24</v>
      </c>
    </row>
    <row r="243" spans="1:10" x14ac:dyDescent="0.3">
      <c r="A243" s="111" t="s">
        <v>1104</v>
      </c>
      <c r="B243" s="111" t="s">
        <v>1105</v>
      </c>
      <c r="C243" s="111" t="s">
        <v>187</v>
      </c>
      <c r="D243" s="113">
        <v>0</v>
      </c>
      <c r="E243" s="113">
        <v>0</v>
      </c>
      <c r="F243" s="113">
        <v>0</v>
      </c>
      <c r="G243" s="113">
        <v>0</v>
      </c>
      <c r="H243" s="113">
        <v>0</v>
      </c>
      <c r="I243" s="113">
        <v>0</v>
      </c>
      <c r="J243" s="113">
        <v>12</v>
      </c>
    </row>
    <row r="244" spans="1:10" x14ac:dyDescent="0.3">
      <c r="A244" s="111" t="s">
        <v>1106</v>
      </c>
      <c r="B244" s="111" t="s">
        <v>1107</v>
      </c>
      <c r="C244" s="111" t="s">
        <v>187</v>
      </c>
      <c r="D244" s="113">
        <v>0</v>
      </c>
      <c r="E244" s="113">
        <v>0</v>
      </c>
      <c r="F244" s="113">
        <v>0</v>
      </c>
      <c r="G244" s="113">
        <v>0</v>
      </c>
      <c r="H244" s="113">
        <v>0</v>
      </c>
      <c r="I244" s="113">
        <v>0</v>
      </c>
      <c r="J244" s="113">
        <v>24</v>
      </c>
    </row>
    <row r="245" spans="1:10" x14ac:dyDescent="0.3">
      <c r="A245" s="111" t="s">
        <v>1108</v>
      </c>
      <c r="B245" s="111" t="s">
        <v>1109</v>
      </c>
      <c r="C245" s="111" t="s">
        <v>187</v>
      </c>
      <c r="D245" s="113">
        <v>0</v>
      </c>
      <c r="E245" s="113">
        <v>0</v>
      </c>
      <c r="F245" s="113">
        <v>0</v>
      </c>
      <c r="G245" s="113">
        <v>0</v>
      </c>
      <c r="H245" s="113">
        <v>0</v>
      </c>
      <c r="I245" s="113">
        <v>0</v>
      </c>
      <c r="J245" s="113">
        <v>24</v>
      </c>
    </row>
    <row r="246" spans="1:10" x14ac:dyDescent="0.3">
      <c r="A246" s="111" t="s">
        <v>1110</v>
      </c>
      <c r="B246" s="111" t="s">
        <v>1111</v>
      </c>
      <c r="C246" s="111" t="s">
        <v>187</v>
      </c>
      <c r="D246" s="113">
        <v>0</v>
      </c>
      <c r="E246" s="113">
        <v>0</v>
      </c>
      <c r="F246" s="113">
        <v>0</v>
      </c>
      <c r="G246" s="113">
        <v>0</v>
      </c>
      <c r="H246" s="113">
        <v>0</v>
      </c>
      <c r="I246" s="113">
        <v>0</v>
      </c>
      <c r="J246" s="113">
        <v>12</v>
      </c>
    </row>
    <row r="247" spans="1:10" x14ac:dyDescent="0.3">
      <c r="A247" s="111" t="s">
        <v>1112</v>
      </c>
      <c r="B247" s="111" t="s">
        <v>1113</v>
      </c>
      <c r="C247" s="111" t="s">
        <v>187</v>
      </c>
      <c r="D247" s="113">
        <v>0</v>
      </c>
      <c r="E247" s="113">
        <v>0</v>
      </c>
      <c r="F247" s="113">
        <v>0</v>
      </c>
      <c r="G247" s="113">
        <v>0</v>
      </c>
      <c r="H247" s="113">
        <v>0</v>
      </c>
      <c r="I247" s="113">
        <v>0</v>
      </c>
      <c r="J247" s="113">
        <v>12</v>
      </c>
    </row>
    <row r="248" spans="1:10" x14ac:dyDescent="0.3">
      <c r="A248" s="111" t="s">
        <v>1114</v>
      </c>
      <c r="B248" s="111" t="s">
        <v>1115</v>
      </c>
      <c r="C248" s="111" t="s">
        <v>187</v>
      </c>
      <c r="D248" s="113">
        <v>0</v>
      </c>
      <c r="E248" s="113">
        <v>0</v>
      </c>
      <c r="F248" s="113">
        <v>0</v>
      </c>
      <c r="G248" s="113">
        <v>0</v>
      </c>
      <c r="H248" s="113">
        <v>0</v>
      </c>
      <c r="I248" s="113">
        <v>0</v>
      </c>
      <c r="J248" s="113">
        <v>12</v>
      </c>
    </row>
    <row r="249" spans="1:10" x14ac:dyDescent="0.3">
      <c r="A249" s="111" t="s">
        <v>1116</v>
      </c>
      <c r="B249" s="111" t="s">
        <v>1076</v>
      </c>
      <c r="C249" s="111" t="s">
        <v>187</v>
      </c>
      <c r="D249" s="113">
        <v>0</v>
      </c>
      <c r="E249" s="113">
        <v>0</v>
      </c>
      <c r="F249" s="113">
        <v>0</v>
      </c>
      <c r="G249" s="113">
        <v>0</v>
      </c>
      <c r="H249" s="113">
        <v>0</v>
      </c>
      <c r="I249" s="113">
        <v>0</v>
      </c>
      <c r="J249" s="113">
        <v>24</v>
      </c>
    </row>
    <row r="250" spans="1:10" x14ac:dyDescent="0.3">
      <c r="A250" s="111" t="s">
        <v>1117</v>
      </c>
      <c r="B250" s="111" t="s">
        <v>1118</v>
      </c>
      <c r="C250" s="111" t="s">
        <v>187</v>
      </c>
      <c r="D250" s="113">
        <v>0</v>
      </c>
      <c r="E250" s="113">
        <v>0</v>
      </c>
      <c r="F250" s="113">
        <v>0</v>
      </c>
      <c r="G250" s="113">
        <v>0</v>
      </c>
      <c r="H250" s="113">
        <v>0</v>
      </c>
      <c r="I250" s="113">
        <v>0</v>
      </c>
      <c r="J250" s="113">
        <v>12</v>
      </c>
    </row>
    <row r="251" spans="1:10" x14ac:dyDescent="0.3">
      <c r="A251" s="111" t="s">
        <v>1119</v>
      </c>
      <c r="B251" s="111" t="s">
        <v>1120</v>
      </c>
      <c r="C251" s="111" t="s">
        <v>187</v>
      </c>
      <c r="D251" s="113">
        <v>0</v>
      </c>
      <c r="E251" s="113">
        <v>0</v>
      </c>
      <c r="F251" s="113">
        <v>0</v>
      </c>
      <c r="G251" s="113">
        <v>0</v>
      </c>
      <c r="H251" s="113">
        <v>0</v>
      </c>
      <c r="I251" s="113">
        <v>0</v>
      </c>
      <c r="J251" s="113">
        <v>12</v>
      </c>
    </row>
    <row r="252" spans="1:10" x14ac:dyDescent="0.3">
      <c r="A252" s="111" t="s">
        <v>1121</v>
      </c>
      <c r="B252" s="111" t="s">
        <v>1122</v>
      </c>
      <c r="C252" s="111" t="s">
        <v>187</v>
      </c>
      <c r="D252" s="113">
        <v>0</v>
      </c>
      <c r="E252" s="113">
        <v>0</v>
      </c>
      <c r="F252" s="113">
        <v>0</v>
      </c>
      <c r="G252" s="113">
        <v>0</v>
      </c>
      <c r="H252" s="113">
        <v>0</v>
      </c>
      <c r="I252" s="113">
        <v>0</v>
      </c>
      <c r="J252" s="113">
        <v>12</v>
      </c>
    </row>
    <row r="253" spans="1:10" x14ac:dyDescent="0.3">
      <c r="A253" s="111" t="s">
        <v>1123</v>
      </c>
      <c r="B253" s="111" t="s">
        <v>1074</v>
      </c>
      <c r="C253" s="111" t="s">
        <v>187</v>
      </c>
      <c r="D253" s="113">
        <v>0</v>
      </c>
      <c r="E253" s="113">
        <v>0</v>
      </c>
      <c r="F253" s="113">
        <v>0</v>
      </c>
      <c r="G253" s="113">
        <v>0</v>
      </c>
      <c r="H253" s="113">
        <v>0</v>
      </c>
      <c r="I253" s="113">
        <v>0</v>
      </c>
      <c r="J253" s="113">
        <v>12</v>
      </c>
    </row>
    <row r="254" spans="1:10" x14ac:dyDescent="0.3">
      <c r="A254" s="111" t="s">
        <v>1124</v>
      </c>
      <c r="B254" s="111" t="s">
        <v>1125</v>
      </c>
      <c r="C254" s="111" t="s">
        <v>187</v>
      </c>
      <c r="D254" s="113">
        <v>0</v>
      </c>
      <c r="E254" s="113">
        <v>0</v>
      </c>
      <c r="F254" s="113">
        <v>0</v>
      </c>
      <c r="G254" s="113">
        <v>0</v>
      </c>
      <c r="H254" s="113">
        <v>0</v>
      </c>
      <c r="I254" s="113">
        <v>0</v>
      </c>
      <c r="J254" s="113">
        <v>12</v>
      </c>
    </row>
    <row r="255" spans="1:10" x14ac:dyDescent="0.3">
      <c r="A255" s="111" t="s">
        <v>1126</v>
      </c>
      <c r="B255" s="111" t="s">
        <v>1127</v>
      </c>
      <c r="C255" s="111" t="s">
        <v>187</v>
      </c>
      <c r="D255" s="113">
        <v>0</v>
      </c>
      <c r="E255" s="113">
        <v>0</v>
      </c>
      <c r="F255" s="113">
        <v>0</v>
      </c>
      <c r="G255" s="113">
        <v>0</v>
      </c>
      <c r="H255" s="113">
        <v>0</v>
      </c>
      <c r="I255" s="113">
        <v>0</v>
      </c>
      <c r="J255" s="113">
        <v>12</v>
      </c>
    </row>
    <row r="256" spans="1:10" x14ac:dyDescent="0.3">
      <c r="A256" s="111" t="s">
        <v>344</v>
      </c>
      <c r="B256" s="111" t="s">
        <v>1128</v>
      </c>
      <c r="C256" s="111" t="s">
        <v>187</v>
      </c>
      <c r="D256" s="113">
        <v>0</v>
      </c>
      <c r="E256" s="113">
        <v>0</v>
      </c>
      <c r="F256" s="113">
        <v>0</v>
      </c>
      <c r="G256" s="113">
        <v>0</v>
      </c>
      <c r="H256" s="113">
        <v>0</v>
      </c>
      <c r="I256" s="113">
        <v>0</v>
      </c>
      <c r="J256" s="113">
        <v>24</v>
      </c>
    </row>
    <row r="257" spans="1:10" x14ac:dyDescent="0.3">
      <c r="A257" s="111" t="s">
        <v>1129</v>
      </c>
      <c r="B257" s="111" t="s">
        <v>1130</v>
      </c>
      <c r="C257" s="111" t="s">
        <v>187</v>
      </c>
      <c r="D257" s="113">
        <v>0</v>
      </c>
      <c r="E257" s="113">
        <v>0</v>
      </c>
      <c r="F257" s="113">
        <v>0</v>
      </c>
      <c r="G257" s="113">
        <v>0</v>
      </c>
      <c r="H257" s="113">
        <v>0</v>
      </c>
      <c r="I257" s="113">
        <v>0</v>
      </c>
      <c r="J257" s="113">
        <v>12</v>
      </c>
    </row>
    <row r="258" spans="1:10" x14ac:dyDescent="0.3">
      <c r="A258" s="111" t="s">
        <v>346</v>
      </c>
      <c r="B258" s="111" t="s">
        <v>1131</v>
      </c>
      <c r="C258" s="111" t="s">
        <v>187</v>
      </c>
      <c r="D258" s="113">
        <v>0</v>
      </c>
      <c r="E258" s="113">
        <v>0</v>
      </c>
      <c r="F258" s="113">
        <v>0</v>
      </c>
      <c r="G258" s="113">
        <v>0</v>
      </c>
      <c r="H258" s="113">
        <v>0</v>
      </c>
      <c r="I258" s="113">
        <v>0</v>
      </c>
      <c r="J258" s="113">
        <v>24</v>
      </c>
    </row>
    <row r="259" spans="1:10" x14ac:dyDescent="0.3">
      <c r="A259" s="111" t="s">
        <v>348</v>
      </c>
      <c r="B259" s="111" t="s">
        <v>1132</v>
      </c>
      <c r="C259" s="111" t="s">
        <v>187</v>
      </c>
      <c r="D259" s="113">
        <v>0</v>
      </c>
      <c r="E259" s="113">
        <v>0</v>
      </c>
      <c r="F259" s="113">
        <v>0</v>
      </c>
      <c r="G259" s="113">
        <v>0</v>
      </c>
      <c r="H259" s="113">
        <v>0</v>
      </c>
      <c r="I259" s="113">
        <v>0</v>
      </c>
      <c r="J259" s="113">
        <v>24</v>
      </c>
    </row>
    <row r="260" spans="1:10" x14ac:dyDescent="0.3">
      <c r="A260" s="111" t="s">
        <v>350</v>
      </c>
      <c r="B260" s="111" t="s">
        <v>1133</v>
      </c>
      <c r="C260" s="111" t="s">
        <v>187</v>
      </c>
      <c r="D260" s="113">
        <v>0</v>
      </c>
      <c r="E260" s="113">
        <v>0</v>
      </c>
      <c r="F260" s="113">
        <v>0</v>
      </c>
      <c r="G260" s="113">
        <v>0</v>
      </c>
      <c r="H260" s="113">
        <v>0</v>
      </c>
      <c r="I260" s="113">
        <v>0</v>
      </c>
      <c r="J260" s="113">
        <v>24</v>
      </c>
    </row>
    <row r="261" spans="1:10" x14ac:dyDescent="0.3">
      <c r="A261" s="111" t="s">
        <v>352</v>
      </c>
      <c r="B261" s="111" t="s">
        <v>1134</v>
      </c>
      <c r="C261" s="111" t="s">
        <v>187</v>
      </c>
      <c r="D261" s="113">
        <v>0</v>
      </c>
      <c r="E261" s="113">
        <v>0</v>
      </c>
      <c r="F261" s="113">
        <v>0</v>
      </c>
      <c r="G261" s="113">
        <v>0</v>
      </c>
      <c r="H261" s="113">
        <v>0</v>
      </c>
      <c r="I261" s="113">
        <v>0</v>
      </c>
      <c r="J261" s="113">
        <v>48</v>
      </c>
    </row>
    <row r="262" spans="1:10" x14ac:dyDescent="0.3">
      <c r="A262" s="111" t="s">
        <v>906</v>
      </c>
      <c r="B262" s="111" t="s">
        <v>917</v>
      </c>
      <c r="C262" s="111" t="s">
        <v>187</v>
      </c>
      <c r="D262" s="113">
        <v>0</v>
      </c>
      <c r="E262" s="113">
        <v>0</v>
      </c>
      <c r="F262" s="113">
        <v>0</v>
      </c>
      <c r="G262" s="113">
        <v>0</v>
      </c>
      <c r="H262" s="113">
        <v>0</v>
      </c>
      <c r="I262" s="113">
        <v>0</v>
      </c>
      <c r="J262" s="113">
        <v>0</v>
      </c>
    </row>
    <row r="263" spans="1:10" x14ac:dyDescent="0.3">
      <c r="A263" s="111" t="s">
        <v>354</v>
      </c>
      <c r="B263" s="111" t="s">
        <v>355</v>
      </c>
      <c r="C263" s="111" t="s">
        <v>172</v>
      </c>
      <c r="D263" s="113">
        <v>0</v>
      </c>
      <c r="E263" s="113">
        <v>0</v>
      </c>
      <c r="F263" s="113">
        <v>0</v>
      </c>
      <c r="G263" s="113">
        <v>0</v>
      </c>
      <c r="H263" s="113">
        <v>0</v>
      </c>
      <c r="I263" s="113">
        <v>0</v>
      </c>
      <c r="J263" s="113">
        <v>1</v>
      </c>
    </row>
    <row r="264" spans="1:10" x14ac:dyDescent="0.3">
      <c r="A264" s="111" t="s">
        <v>992</v>
      </c>
      <c r="B264" s="111" t="s">
        <v>993</v>
      </c>
      <c r="C264" s="111" t="s">
        <v>172</v>
      </c>
      <c r="D264" s="113">
        <v>0</v>
      </c>
      <c r="E264" s="113">
        <v>0</v>
      </c>
      <c r="F264" s="113">
        <v>0</v>
      </c>
      <c r="G264" s="113">
        <v>0</v>
      </c>
      <c r="H264" s="113">
        <v>0</v>
      </c>
      <c r="I264" s="113">
        <v>0</v>
      </c>
      <c r="J264" s="113">
        <v>1</v>
      </c>
    </row>
    <row r="265" spans="1:10" x14ac:dyDescent="0.3">
      <c r="A265" s="111" t="s">
        <v>356</v>
      </c>
      <c r="B265" s="111" t="s">
        <v>357</v>
      </c>
      <c r="C265" s="111" t="s">
        <v>175</v>
      </c>
      <c r="D265" s="113">
        <v>0</v>
      </c>
      <c r="E265" s="113">
        <v>0</v>
      </c>
      <c r="F265" s="113">
        <v>0</v>
      </c>
      <c r="G265" s="113">
        <v>0</v>
      </c>
      <c r="H265" s="113">
        <v>0</v>
      </c>
      <c r="I265" s="113">
        <v>0</v>
      </c>
      <c r="J265" s="113">
        <v>0</v>
      </c>
    </row>
    <row r="266" spans="1:10" x14ac:dyDescent="0.3">
      <c r="A266" s="111" t="s">
        <v>358</v>
      </c>
      <c r="B266" s="111" t="s">
        <v>359</v>
      </c>
      <c r="C266" s="111" t="s">
        <v>172</v>
      </c>
      <c r="D266" s="113">
        <v>0</v>
      </c>
      <c r="E266" s="113">
        <v>0</v>
      </c>
      <c r="F266" s="113">
        <v>0</v>
      </c>
      <c r="G266" s="113">
        <v>0</v>
      </c>
      <c r="H266" s="113">
        <v>0</v>
      </c>
      <c r="I266" s="113">
        <v>0</v>
      </c>
      <c r="J266" s="113">
        <v>1</v>
      </c>
    </row>
    <row r="267" spans="1:10" x14ac:dyDescent="0.3">
      <c r="A267" s="111" t="s">
        <v>994</v>
      </c>
      <c r="B267" s="111" t="s">
        <v>995</v>
      </c>
      <c r="C267" s="111" t="s">
        <v>172</v>
      </c>
      <c r="D267" s="113">
        <v>0</v>
      </c>
      <c r="E267" s="113">
        <v>0</v>
      </c>
      <c r="F267" s="113">
        <v>0</v>
      </c>
      <c r="G267" s="113">
        <v>0</v>
      </c>
      <c r="H267" s="113">
        <v>0</v>
      </c>
      <c r="I267" s="113">
        <v>0</v>
      </c>
      <c r="J267" s="113">
        <v>1</v>
      </c>
    </row>
    <row r="268" spans="1:10" x14ac:dyDescent="0.3">
      <c r="A268" s="111" t="s">
        <v>360</v>
      </c>
      <c r="B268" s="111" t="s">
        <v>361</v>
      </c>
      <c r="C268" s="111" t="s">
        <v>175</v>
      </c>
      <c r="D268" s="113">
        <v>0</v>
      </c>
      <c r="E268" s="113">
        <v>0</v>
      </c>
      <c r="F268" s="113">
        <v>0</v>
      </c>
      <c r="G268" s="113">
        <v>0</v>
      </c>
      <c r="H268" s="113">
        <v>0</v>
      </c>
      <c r="I268" s="113">
        <v>0</v>
      </c>
      <c r="J268" s="113">
        <v>0</v>
      </c>
    </row>
    <row r="269" spans="1:10" x14ac:dyDescent="0.3">
      <c r="A269" s="111" t="s">
        <v>362</v>
      </c>
      <c r="B269" s="111" t="s">
        <v>363</v>
      </c>
      <c r="C269" s="111" t="s">
        <v>172</v>
      </c>
      <c r="D269" s="113">
        <v>0</v>
      </c>
      <c r="E269" s="113">
        <v>0</v>
      </c>
      <c r="F269" s="113">
        <v>0</v>
      </c>
      <c r="G269" s="113">
        <v>0</v>
      </c>
      <c r="H269" s="113">
        <v>0</v>
      </c>
      <c r="I269" s="113">
        <v>0</v>
      </c>
      <c r="J269" s="113">
        <v>1</v>
      </c>
    </row>
    <row r="270" spans="1:10" x14ac:dyDescent="0.3">
      <c r="A270" s="111" t="s">
        <v>364</v>
      </c>
      <c r="B270" s="111" t="s">
        <v>365</v>
      </c>
      <c r="C270" s="111" t="s">
        <v>175</v>
      </c>
      <c r="D270" s="113">
        <v>0</v>
      </c>
      <c r="E270" s="113">
        <v>0</v>
      </c>
      <c r="F270" s="113">
        <v>0</v>
      </c>
      <c r="G270" s="113">
        <v>0</v>
      </c>
      <c r="H270" s="113">
        <v>0</v>
      </c>
      <c r="I270" s="113">
        <v>0</v>
      </c>
      <c r="J270" s="113">
        <v>0</v>
      </c>
    </row>
    <row r="271" spans="1:10" x14ac:dyDescent="0.3">
      <c r="A271" s="111" t="s">
        <v>996</v>
      </c>
      <c r="B271" s="111" t="s">
        <v>997</v>
      </c>
      <c r="C271" s="111" t="s">
        <v>172</v>
      </c>
      <c r="D271" s="113">
        <v>0</v>
      </c>
      <c r="E271" s="113">
        <v>0</v>
      </c>
      <c r="F271" s="113">
        <v>0</v>
      </c>
      <c r="G271" s="113">
        <v>0</v>
      </c>
      <c r="H271" s="113">
        <v>0</v>
      </c>
      <c r="I271" s="113">
        <v>0</v>
      </c>
      <c r="J271" s="113">
        <v>1</v>
      </c>
    </row>
    <row r="272" spans="1:10" x14ac:dyDescent="0.3">
      <c r="A272" s="111" t="s">
        <v>998</v>
      </c>
      <c r="B272" s="111" t="s">
        <v>999</v>
      </c>
      <c r="C272" s="111" t="s">
        <v>175</v>
      </c>
      <c r="D272" s="113">
        <v>0</v>
      </c>
      <c r="E272" s="113">
        <v>0</v>
      </c>
      <c r="F272" s="113">
        <v>0</v>
      </c>
      <c r="G272" s="113">
        <v>0</v>
      </c>
      <c r="H272" s="113">
        <v>0</v>
      </c>
      <c r="I272" s="113">
        <v>0</v>
      </c>
      <c r="J272" s="113">
        <v>0</v>
      </c>
    </row>
    <row r="273" spans="1:10" x14ac:dyDescent="0.3">
      <c r="A273" s="111" t="s">
        <v>366</v>
      </c>
      <c r="B273" s="111" t="s">
        <v>367</v>
      </c>
      <c r="C273" s="111" t="s">
        <v>172</v>
      </c>
      <c r="D273" s="113">
        <v>0</v>
      </c>
      <c r="E273" s="113">
        <v>0</v>
      </c>
      <c r="F273" s="113">
        <v>0</v>
      </c>
      <c r="G273" s="113">
        <v>0</v>
      </c>
      <c r="H273" s="113">
        <v>0</v>
      </c>
      <c r="I273" s="113">
        <v>0</v>
      </c>
      <c r="J273" s="113">
        <v>1</v>
      </c>
    </row>
    <row r="274" spans="1:10" x14ac:dyDescent="0.3">
      <c r="A274" s="111" t="s">
        <v>368</v>
      </c>
      <c r="B274" s="111" t="s">
        <v>369</v>
      </c>
      <c r="C274" s="111" t="s">
        <v>172</v>
      </c>
      <c r="D274" s="113">
        <v>0</v>
      </c>
      <c r="E274" s="113">
        <v>0</v>
      </c>
      <c r="F274" s="113">
        <v>0</v>
      </c>
      <c r="G274" s="113">
        <v>0</v>
      </c>
      <c r="H274" s="113">
        <v>0</v>
      </c>
      <c r="I274" s="113">
        <v>0</v>
      </c>
      <c r="J274" s="113">
        <v>1</v>
      </c>
    </row>
    <row r="275" spans="1:10" x14ac:dyDescent="0.3">
      <c r="A275" s="111" t="s">
        <v>370</v>
      </c>
      <c r="B275" s="111" t="s">
        <v>371</v>
      </c>
      <c r="C275" s="111" t="s">
        <v>175</v>
      </c>
      <c r="D275" s="113">
        <v>0</v>
      </c>
      <c r="E275" s="113">
        <v>0</v>
      </c>
      <c r="F275" s="113">
        <v>0</v>
      </c>
      <c r="G275" s="113">
        <v>0</v>
      </c>
      <c r="H275" s="113">
        <v>0</v>
      </c>
      <c r="I275" s="113">
        <v>0</v>
      </c>
      <c r="J275" s="113">
        <v>0</v>
      </c>
    </row>
    <row r="276" spans="1:10" x14ac:dyDescent="0.3">
      <c r="A276" s="111" t="s">
        <v>950</v>
      </c>
      <c r="B276" s="111" t="s">
        <v>951</v>
      </c>
      <c r="C276" s="111" t="s">
        <v>187</v>
      </c>
      <c r="D276" s="113">
        <v>840</v>
      </c>
      <c r="E276" s="113">
        <v>840</v>
      </c>
      <c r="F276" s="113">
        <v>0</v>
      </c>
      <c r="G276" s="113">
        <v>0</v>
      </c>
      <c r="H276" s="113">
        <v>840</v>
      </c>
      <c r="I276" s="113">
        <v>840</v>
      </c>
      <c r="J276" s="113">
        <v>0</v>
      </c>
    </row>
    <row r="277" spans="1:10" x14ac:dyDescent="0.3">
      <c r="A277" s="111" t="s">
        <v>907</v>
      </c>
      <c r="B277" s="111" t="s">
        <v>918</v>
      </c>
      <c r="C277" s="111" t="s">
        <v>187</v>
      </c>
      <c r="D277" s="113">
        <v>299</v>
      </c>
      <c r="E277" s="113">
        <v>299</v>
      </c>
      <c r="F277" s="113">
        <v>9</v>
      </c>
      <c r="G277" s="113">
        <v>9</v>
      </c>
      <c r="H277" s="113">
        <v>308</v>
      </c>
      <c r="I277" s="113">
        <v>308</v>
      </c>
      <c r="J277" s="113">
        <v>0</v>
      </c>
    </row>
    <row r="278" spans="1:10" x14ac:dyDescent="0.3">
      <c r="A278" s="111" t="s">
        <v>908</v>
      </c>
      <c r="B278" s="111" t="s">
        <v>943</v>
      </c>
      <c r="C278" s="111" t="s">
        <v>187</v>
      </c>
      <c r="D278" s="113">
        <v>380</v>
      </c>
      <c r="E278" s="113">
        <v>380</v>
      </c>
      <c r="F278" s="113">
        <v>1</v>
      </c>
      <c r="G278" s="113">
        <v>1</v>
      </c>
      <c r="H278" s="113">
        <v>381</v>
      </c>
      <c r="I278" s="113">
        <v>381</v>
      </c>
      <c r="J278" s="113">
        <v>0</v>
      </c>
    </row>
    <row r="279" spans="1:10" x14ac:dyDescent="0.3">
      <c r="A279" s="111" t="s">
        <v>984</v>
      </c>
      <c r="B279" s="111" t="s">
        <v>985</v>
      </c>
      <c r="C279" s="111" t="s">
        <v>187</v>
      </c>
      <c r="D279" s="113">
        <v>0</v>
      </c>
      <c r="E279" s="113">
        <v>0</v>
      </c>
      <c r="F279" s="113">
        <v>0</v>
      </c>
      <c r="G279" s="113">
        <v>0</v>
      </c>
      <c r="H279" s="113">
        <v>0</v>
      </c>
      <c r="I279" s="113">
        <v>0</v>
      </c>
      <c r="J279" s="113">
        <v>0</v>
      </c>
    </row>
    <row r="280" spans="1:10" x14ac:dyDescent="0.3">
      <c r="A280" s="111" t="s">
        <v>530</v>
      </c>
      <c r="B280" s="111" t="s">
        <v>531</v>
      </c>
      <c r="C280" s="111" t="s">
        <v>187</v>
      </c>
      <c r="D280" s="113">
        <v>0</v>
      </c>
      <c r="E280" s="113">
        <v>0</v>
      </c>
      <c r="F280" s="113">
        <v>0</v>
      </c>
      <c r="G280" s="113">
        <v>0</v>
      </c>
      <c r="H280" s="113">
        <v>0</v>
      </c>
      <c r="I280" s="113">
        <v>0</v>
      </c>
      <c r="J280" s="113">
        <v>0</v>
      </c>
    </row>
    <row r="281" spans="1:10" x14ac:dyDescent="0.3">
      <c r="A281" s="111" t="s">
        <v>532</v>
      </c>
      <c r="B281" s="111" t="s">
        <v>533</v>
      </c>
      <c r="C281" s="111" t="s">
        <v>187</v>
      </c>
      <c r="D281" s="113">
        <v>0</v>
      </c>
      <c r="E281" s="113">
        <v>0</v>
      </c>
      <c r="F281" s="113">
        <v>0</v>
      </c>
      <c r="G281" s="113">
        <v>0</v>
      </c>
      <c r="H281" s="113">
        <v>0</v>
      </c>
      <c r="I281" s="113">
        <v>0</v>
      </c>
      <c r="J281" s="113">
        <v>0</v>
      </c>
    </row>
    <row r="282" spans="1:10" x14ac:dyDescent="0.3">
      <c r="A282" s="111" t="s">
        <v>534</v>
      </c>
      <c r="B282" s="111" t="s">
        <v>535</v>
      </c>
      <c r="C282" s="111" t="s">
        <v>187</v>
      </c>
      <c r="D282" s="113">
        <v>0</v>
      </c>
      <c r="E282" s="113">
        <v>0</v>
      </c>
      <c r="F282" s="113">
        <v>0</v>
      </c>
      <c r="G282" s="113">
        <v>0</v>
      </c>
      <c r="H282" s="113">
        <v>0</v>
      </c>
      <c r="I282" s="113">
        <v>0</v>
      </c>
      <c r="J282" s="113">
        <v>0</v>
      </c>
    </row>
    <row r="283" spans="1:10" x14ac:dyDescent="0.3">
      <c r="A283" s="111" t="s">
        <v>536</v>
      </c>
      <c r="B283" s="111" t="s">
        <v>537</v>
      </c>
      <c r="C283" s="111" t="s">
        <v>187</v>
      </c>
      <c r="D283" s="113">
        <v>0</v>
      </c>
      <c r="E283" s="113">
        <v>0</v>
      </c>
      <c r="F283" s="113">
        <v>0</v>
      </c>
      <c r="G283" s="113">
        <v>0</v>
      </c>
      <c r="H283" s="113">
        <v>0</v>
      </c>
      <c r="I283" s="113">
        <v>0</v>
      </c>
      <c r="J283" s="113">
        <v>0</v>
      </c>
    </row>
    <row r="284" spans="1:10" x14ac:dyDescent="0.3">
      <c r="A284" s="111" t="s">
        <v>538</v>
      </c>
      <c r="B284" s="111" t="s">
        <v>539</v>
      </c>
      <c r="C284" s="111" t="s">
        <v>187</v>
      </c>
      <c r="D284" s="113">
        <v>0</v>
      </c>
      <c r="E284" s="113">
        <v>0</v>
      </c>
      <c r="F284" s="113">
        <v>0</v>
      </c>
      <c r="G284" s="113">
        <v>0</v>
      </c>
      <c r="H284" s="113">
        <v>0</v>
      </c>
      <c r="I284" s="113">
        <v>0</v>
      </c>
      <c r="J284" s="113">
        <v>0</v>
      </c>
    </row>
    <row r="285" spans="1:10" x14ac:dyDescent="0.3">
      <c r="A285" s="111" t="s">
        <v>540</v>
      </c>
      <c r="B285" s="111" t="s">
        <v>541</v>
      </c>
      <c r="C285" s="111" t="s">
        <v>187</v>
      </c>
      <c r="D285" s="113">
        <v>0</v>
      </c>
      <c r="E285" s="113">
        <v>0</v>
      </c>
      <c r="F285" s="113">
        <v>0</v>
      </c>
      <c r="G285" s="113">
        <v>0</v>
      </c>
      <c r="H285" s="113">
        <v>0</v>
      </c>
      <c r="I285" s="113">
        <v>0</v>
      </c>
      <c r="J285" s="113">
        <v>0</v>
      </c>
    </row>
    <row r="286" spans="1:10" x14ac:dyDescent="0.3">
      <c r="A286" s="111" t="s">
        <v>542</v>
      </c>
      <c r="B286" s="111" t="s">
        <v>543</v>
      </c>
      <c r="C286" s="111" t="s">
        <v>187</v>
      </c>
      <c r="D286" s="113">
        <v>0</v>
      </c>
      <c r="E286" s="113">
        <v>0</v>
      </c>
      <c r="F286" s="113">
        <v>0</v>
      </c>
      <c r="G286" s="113">
        <v>0</v>
      </c>
      <c r="H286" s="113">
        <v>0</v>
      </c>
      <c r="I286" s="113">
        <v>0</v>
      </c>
      <c r="J286" s="113">
        <v>0</v>
      </c>
    </row>
    <row r="287" spans="1:10" x14ac:dyDescent="0.3">
      <c r="A287" s="111" t="s">
        <v>544</v>
      </c>
      <c r="B287" s="111" t="s">
        <v>545</v>
      </c>
      <c r="C287" s="111" t="s">
        <v>187</v>
      </c>
      <c r="D287" s="113">
        <v>0</v>
      </c>
      <c r="E287" s="113">
        <v>0</v>
      </c>
      <c r="F287" s="113">
        <v>0</v>
      </c>
      <c r="G287" s="113">
        <v>0</v>
      </c>
      <c r="H287" s="113">
        <v>0</v>
      </c>
      <c r="I287" s="113">
        <v>0</v>
      </c>
      <c r="J287" s="113">
        <v>0</v>
      </c>
    </row>
    <row r="288" spans="1:10" x14ac:dyDescent="0.3">
      <c r="A288" s="111" t="s">
        <v>546</v>
      </c>
      <c r="B288" s="111" t="s">
        <v>547</v>
      </c>
      <c r="C288" s="111" t="s">
        <v>187</v>
      </c>
      <c r="D288" s="113">
        <v>0</v>
      </c>
      <c r="E288" s="113">
        <v>0</v>
      </c>
      <c r="F288" s="113">
        <v>0</v>
      </c>
      <c r="G288" s="113">
        <v>0</v>
      </c>
      <c r="H288" s="113">
        <v>0</v>
      </c>
      <c r="I288" s="113">
        <v>0</v>
      </c>
      <c r="J288" s="113">
        <v>0</v>
      </c>
    </row>
    <row r="289" spans="1:10" x14ac:dyDescent="0.3">
      <c r="A289" s="111" t="s">
        <v>548</v>
      </c>
      <c r="B289" s="111" t="s">
        <v>549</v>
      </c>
      <c r="C289" s="111" t="s">
        <v>187</v>
      </c>
      <c r="D289" s="113">
        <v>0</v>
      </c>
      <c r="E289" s="113">
        <v>0</v>
      </c>
      <c r="F289" s="113">
        <v>0</v>
      </c>
      <c r="G289" s="113">
        <v>0</v>
      </c>
      <c r="H289" s="113">
        <v>0</v>
      </c>
      <c r="I289" s="113">
        <v>0</v>
      </c>
      <c r="J289" s="113">
        <v>0</v>
      </c>
    </row>
    <row r="290" spans="1:10" x14ac:dyDescent="0.3">
      <c r="A290" s="111" t="s">
        <v>550</v>
      </c>
      <c r="B290" s="111" t="s">
        <v>551</v>
      </c>
      <c r="C290" s="111" t="s">
        <v>187</v>
      </c>
      <c r="D290" s="113">
        <v>0</v>
      </c>
      <c r="E290" s="113">
        <v>0</v>
      </c>
      <c r="F290" s="113">
        <v>0</v>
      </c>
      <c r="G290" s="113">
        <v>0</v>
      </c>
      <c r="H290" s="113">
        <v>0</v>
      </c>
      <c r="I290" s="113">
        <v>0</v>
      </c>
      <c r="J290" s="113">
        <v>0</v>
      </c>
    </row>
    <row r="291" spans="1:10" x14ac:dyDescent="0.3">
      <c r="A291" s="111" t="s">
        <v>554</v>
      </c>
      <c r="B291" s="111" t="s">
        <v>555</v>
      </c>
      <c r="C291" s="111" t="s">
        <v>187</v>
      </c>
      <c r="D291" s="113">
        <v>0</v>
      </c>
      <c r="E291" s="113">
        <v>0</v>
      </c>
      <c r="F291" s="113">
        <v>0</v>
      </c>
      <c r="G291" s="113">
        <v>0</v>
      </c>
      <c r="H291" s="113">
        <v>0</v>
      </c>
      <c r="I291" s="113">
        <v>0</v>
      </c>
      <c r="J291" s="113">
        <v>0</v>
      </c>
    </row>
    <row r="292" spans="1:10" x14ac:dyDescent="0.3">
      <c r="A292" s="111" t="s">
        <v>558</v>
      </c>
      <c r="B292" s="111" t="s">
        <v>559</v>
      </c>
      <c r="C292" s="111" t="s">
        <v>187</v>
      </c>
      <c r="D292" s="113">
        <v>0</v>
      </c>
      <c r="E292" s="113">
        <v>0</v>
      </c>
      <c r="F292" s="113">
        <v>0</v>
      </c>
      <c r="G292" s="113">
        <v>0</v>
      </c>
      <c r="H292" s="113">
        <v>0</v>
      </c>
      <c r="I292" s="113">
        <v>0</v>
      </c>
      <c r="J292" s="113">
        <v>0</v>
      </c>
    </row>
    <row r="293" spans="1:10" x14ac:dyDescent="0.3">
      <c r="A293" s="111" t="s">
        <v>586</v>
      </c>
      <c r="B293" s="111" t="s">
        <v>587</v>
      </c>
      <c r="C293" s="111" t="s">
        <v>187</v>
      </c>
      <c r="D293" s="113">
        <v>0</v>
      </c>
      <c r="E293" s="113">
        <v>0</v>
      </c>
      <c r="F293" s="113">
        <v>0</v>
      </c>
      <c r="G293" s="113">
        <v>0</v>
      </c>
      <c r="H293" s="113">
        <v>0</v>
      </c>
      <c r="I293" s="113">
        <v>0</v>
      </c>
      <c r="J293" s="113">
        <v>0</v>
      </c>
    </row>
    <row r="294" spans="1:10" x14ac:dyDescent="0.3">
      <c r="A294" s="111" t="s">
        <v>588</v>
      </c>
      <c r="B294" s="111" t="s">
        <v>589</v>
      </c>
      <c r="C294" s="111" t="s">
        <v>187</v>
      </c>
      <c r="D294" s="113">
        <v>0</v>
      </c>
      <c r="E294" s="113">
        <v>0</v>
      </c>
      <c r="F294" s="113">
        <v>0</v>
      </c>
      <c r="G294" s="113">
        <v>0</v>
      </c>
      <c r="H294" s="113">
        <v>0</v>
      </c>
      <c r="I294" s="113">
        <v>0</v>
      </c>
      <c r="J294" s="113">
        <v>0</v>
      </c>
    </row>
    <row r="295" spans="1:10" x14ac:dyDescent="0.3">
      <c r="A295" s="111" t="s">
        <v>986</v>
      </c>
      <c r="B295" s="111" t="s">
        <v>987</v>
      </c>
      <c r="C295" s="111" t="s">
        <v>187</v>
      </c>
      <c r="D295" s="113">
        <v>0</v>
      </c>
      <c r="E295" s="113">
        <v>0</v>
      </c>
      <c r="F295" s="113">
        <v>0</v>
      </c>
      <c r="G295" s="113">
        <v>0</v>
      </c>
      <c r="H295" s="113">
        <v>0</v>
      </c>
      <c r="I295" s="113">
        <v>0</v>
      </c>
      <c r="J295" s="113">
        <v>0</v>
      </c>
    </row>
    <row r="296" spans="1:10" x14ac:dyDescent="0.3">
      <c r="D296" s="113"/>
      <c r="E296" s="113"/>
      <c r="F296" s="113"/>
      <c r="G296" s="113"/>
      <c r="H296" s="113"/>
      <c r="I296" s="113"/>
      <c r="J296" s="113"/>
    </row>
    <row r="297" spans="1:10" x14ac:dyDescent="0.3">
      <c r="D297" s="113"/>
      <c r="E297" s="113"/>
      <c r="F297" s="113"/>
      <c r="G297" s="113"/>
      <c r="H297" s="113"/>
      <c r="I297" s="113"/>
      <c r="J297" s="113"/>
    </row>
    <row r="298" spans="1:10" x14ac:dyDescent="0.3">
      <c r="D298" s="113"/>
      <c r="E298" s="113"/>
      <c r="F298" s="113"/>
      <c r="G298" s="113"/>
      <c r="H298" s="113"/>
      <c r="I298" s="113"/>
      <c r="J298" s="113"/>
    </row>
    <row r="299" spans="1:10" x14ac:dyDescent="0.3">
      <c r="D299" s="113"/>
      <c r="E299" s="113"/>
      <c r="F299" s="113"/>
      <c r="G299" s="113"/>
      <c r="H299" s="113"/>
      <c r="I299" s="113"/>
      <c r="J299" s="113"/>
    </row>
    <row r="300" spans="1:10" x14ac:dyDescent="0.3">
      <c r="D300" s="113"/>
      <c r="E300" s="113"/>
      <c r="F300" s="113"/>
      <c r="G300" s="113"/>
      <c r="H300" s="113"/>
      <c r="I300" s="113"/>
      <c r="J300" s="113"/>
    </row>
    <row r="301" spans="1:10" x14ac:dyDescent="0.3">
      <c r="D301" s="113"/>
      <c r="E301" s="113"/>
      <c r="F301" s="113"/>
      <c r="G301" s="113"/>
      <c r="H301" s="113"/>
      <c r="I301" s="113"/>
      <c r="J301" s="113"/>
    </row>
    <row r="302" spans="1:10" x14ac:dyDescent="0.3">
      <c r="D302" s="113"/>
      <c r="E302" s="113"/>
      <c r="F302" s="113"/>
      <c r="G302" s="113"/>
      <c r="H302" s="113"/>
      <c r="I302" s="113"/>
      <c r="J302" s="113"/>
    </row>
    <row r="303" spans="1:10" x14ac:dyDescent="0.3">
      <c r="D303" s="113"/>
      <c r="E303" s="113"/>
      <c r="F303" s="113"/>
      <c r="G303" s="113"/>
      <c r="H303" s="113"/>
      <c r="I303" s="113"/>
      <c r="J303" s="113"/>
    </row>
    <row r="304" spans="1:10" x14ac:dyDescent="0.3">
      <c r="D304" s="113"/>
      <c r="E304" s="113"/>
      <c r="F304" s="113"/>
      <c r="G304" s="113"/>
      <c r="H304" s="113"/>
      <c r="I304" s="113"/>
      <c r="J304" s="113"/>
    </row>
    <row r="305" spans="4:10" x14ac:dyDescent="0.3">
      <c r="D305" s="113"/>
      <c r="E305" s="113"/>
      <c r="F305" s="113"/>
      <c r="G305" s="113"/>
      <c r="H305" s="113"/>
      <c r="I305" s="113"/>
      <c r="J305" s="113"/>
    </row>
    <row r="306" spans="4:10" x14ac:dyDescent="0.3">
      <c r="D306" s="113"/>
      <c r="E306" s="113"/>
      <c r="F306" s="113"/>
      <c r="G306" s="113"/>
      <c r="H306" s="113"/>
      <c r="I306" s="113"/>
      <c r="J306" s="113"/>
    </row>
    <row r="307" spans="4:10" x14ac:dyDescent="0.3">
      <c r="D307" s="113"/>
      <c r="E307" s="113"/>
      <c r="F307" s="113"/>
      <c r="G307" s="113"/>
      <c r="H307" s="113"/>
      <c r="I307" s="113"/>
      <c r="J307" s="113"/>
    </row>
    <row r="308" spans="4:10" x14ac:dyDescent="0.3">
      <c r="D308" s="113"/>
      <c r="E308" s="113"/>
      <c r="F308" s="113"/>
      <c r="G308" s="113"/>
      <c r="H308" s="113"/>
      <c r="I308" s="113"/>
      <c r="J308" s="113"/>
    </row>
    <row r="309" spans="4:10" x14ac:dyDescent="0.3">
      <c r="D309" s="113"/>
      <c r="E309" s="113"/>
      <c r="F309" s="113"/>
      <c r="G309" s="113"/>
      <c r="H309" s="113"/>
      <c r="I309" s="113"/>
      <c r="J309" s="113"/>
    </row>
    <row r="310" spans="4:10" x14ac:dyDescent="0.3">
      <c r="D310" s="113"/>
      <c r="E310" s="113"/>
      <c r="F310" s="113"/>
      <c r="G310" s="113"/>
      <c r="H310" s="113"/>
      <c r="I310" s="113"/>
      <c r="J310" s="113"/>
    </row>
    <row r="311" spans="4:10" x14ac:dyDescent="0.3">
      <c r="D311" s="113"/>
      <c r="E311" s="113"/>
      <c r="F311" s="113"/>
      <c r="G311" s="113"/>
      <c r="H311" s="113"/>
      <c r="I311" s="113"/>
      <c r="J311" s="113"/>
    </row>
    <row r="312" spans="4:10" x14ac:dyDescent="0.3">
      <c r="D312" s="113"/>
      <c r="E312" s="113"/>
      <c r="F312" s="113"/>
      <c r="G312" s="113"/>
      <c r="H312" s="113"/>
      <c r="I312" s="113"/>
      <c r="J312" s="113"/>
    </row>
    <row r="313" spans="4:10" x14ac:dyDescent="0.3">
      <c r="D313" s="113"/>
      <c r="E313" s="113"/>
      <c r="F313" s="113"/>
      <c r="G313" s="113"/>
      <c r="H313" s="113"/>
      <c r="I313" s="113"/>
      <c r="J313" s="113"/>
    </row>
    <row r="314" spans="4:10" x14ac:dyDescent="0.3">
      <c r="D314" s="113"/>
      <c r="E314" s="113"/>
      <c r="F314" s="113"/>
      <c r="G314" s="113"/>
      <c r="H314" s="113"/>
      <c r="I314" s="113"/>
      <c r="J314" s="113"/>
    </row>
    <row r="315" spans="4:10" x14ac:dyDescent="0.3">
      <c r="D315" s="113"/>
      <c r="E315" s="113"/>
      <c r="F315" s="113"/>
      <c r="G315" s="113"/>
      <c r="H315" s="113"/>
      <c r="I315" s="113"/>
      <c r="J315" s="113"/>
    </row>
    <row r="316" spans="4:10" x14ac:dyDescent="0.3">
      <c r="D316" s="113"/>
      <c r="E316" s="113"/>
      <c r="F316" s="113"/>
      <c r="G316" s="113"/>
      <c r="H316" s="113"/>
      <c r="I316" s="113"/>
      <c r="J316" s="113"/>
    </row>
    <row r="317" spans="4:10" x14ac:dyDescent="0.3">
      <c r="D317" s="113"/>
      <c r="E317" s="113"/>
      <c r="F317" s="113"/>
      <c r="G317" s="113"/>
      <c r="H317" s="113"/>
      <c r="I317" s="113"/>
      <c r="J317" s="113"/>
    </row>
    <row r="318" spans="4:10" x14ac:dyDescent="0.3">
      <c r="D318" s="113"/>
      <c r="E318" s="113"/>
      <c r="F318" s="113"/>
      <c r="G318" s="113"/>
      <c r="H318" s="113"/>
      <c r="I318" s="113"/>
      <c r="J318" s="113"/>
    </row>
    <row r="319" spans="4:10" x14ac:dyDescent="0.3">
      <c r="D319" s="113"/>
      <c r="E319" s="113"/>
      <c r="F319" s="113"/>
      <c r="G319" s="113"/>
      <c r="H319" s="113"/>
      <c r="I319" s="113"/>
      <c r="J319" s="113"/>
    </row>
    <row r="320" spans="4:10" x14ac:dyDescent="0.3">
      <c r="D320" s="113"/>
      <c r="E320" s="113"/>
      <c r="F320" s="113"/>
      <c r="G320" s="113"/>
      <c r="H320" s="113"/>
      <c r="I320" s="113"/>
      <c r="J320" s="113"/>
    </row>
    <row r="321" spans="4:10" x14ac:dyDescent="0.3">
      <c r="D321" s="113"/>
      <c r="E321" s="113"/>
      <c r="F321" s="113"/>
      <c r="G321" s="113"/>
      <c r="H321" s="113"/>
      <c r="I321" s="113"/>
      <c r="J321" s="113"/>
    </row>
    <row r="322" spans="4:10" x14ac:dyDescent="0.3">
      <c r="D322" s="113"/>
      <c r="E322" s="113"/>
      <c r="F322" s="113"/>
      <c r="G322" s="113"/>
      <c r="H322" s="113"/>
      <c r="I322" s="113"/>
      <c r="J322" s="113"/>
    </row>
    <row r="323" spans="4:10" x14ac:dyDescent="0.3">
      <c r="D323" s="113"/>
      <c r="E323" s="113"/>
      <c r="F323" s="113"/>
      <c r="G323" s="113"/>
      <c r="H323" s="113"/>
      <c r="I323" s="113"/>
      <c r="J323" s="113"/>
    </row>
    <row r="324" spans="4:10" x14ac:dyDescent="0.3">
      <c r="D324" s="113"/>
      <c r="E324" s="113"/>
      <c r="F324" s="113"/>
      <c r="G324" s="113"/>
      <c r="H324" s="113"/>
      <c r="I324" s="113"/>
      <c r="J324" s="113"/>
    </row>
    <row r="325" spans="4:10" x14ac:dyDescent="0.3">
      <c r="D325" s="113"/>
      <c r="E325" s="113"/>
      <c r="F325" s="113"/>
      <c r="G325" s="113"/>
      <c r="H325" s="113"/>
      <c r="I325" s="113"/>
      <c r="J325" s="113"/>
    </row>
    <row r="326" spans="4:10" x14ac:dyDescent="0.3">
      <c r="D326" s="113"/>
      <c r="E326" s="113"/>
      <c r="F326" s="113"/>
      <c r="G326" s="113"/>
      <c r="H326" s="113"/>
      <c r="I326" s="113"/>
      <c r="J326" s="113"/>
    </row>
    <row r="327" spans="4:10" x14ac:dyDescent="0.3">
      <c r="D327" s="113"/>
      <c r="E327" s="113"/>
      <c r="F327" s="113"/>
      <c r="G327" s="113"/>
      <c r="H327" s="113"/>
      <c r="I327" s="113"/>
      <c r="J327" s="113"/>
    </row>
    <row r="328" spans="4:10" x14ac:dyDescent="0.3">
      <c r="D328" s="113"/>
      <c r="E328" s="113"/>
      <c r="F328" s="113"/>
      <c r="G328" s="113"/>
      <c r="H328" s="113"/>
      <c r="I328" s="113"/>
      <c r="J328" s="113"/>
    </row>
    <row r="329" spans="4:10" x14ac:dyDescent="0.3">
      <c r="D329" s="113"/>
      <c r="E329" s="113"/>
      <c r="F329" s="113"/>
      <c r="G329" s="113"/>
      <c r="H329" s="113"/>
      <c r="I329" s="113"/>
      <c r="J329" s="113"/>
    </row>
    <row r="330" spans="4:10" x14ac:dyDescent="0.3">
      <c r="D330" s="113"/>
      <c r="E330" s="113"/>
      <c r="F330" s="113"/>
      <c r="G330" s="113"/>
      <c r="H330" s="113"/>
      <c r="I330" s="113"/>
      <c r="J330" s="113"/>
    </row>
    <row r="331" spans="4:10" x14ac:dyDescent="0.3">
      <c r="D331" s="113"/>
      <c r="E331" s="113"/>
      <c r="F331" s="113"/>
      <c r="G331" s="113"/>
      <c r="H331" s="113"/>
      <c r="I331" s="113"/>
      <c r="J331" s="113"/>
    </row>
    <row r="332" spans="4:10" x14ac:dyDescent="0.3">
      <c r="D332" s="113"/>
      <c r="E332" s="113"/>
      <c r="F332" s="113"/>
      <c r="G332" s="113"/>
      <c r="H332" s="113"/>
      <c r="I332" s="113"/>
      <c r="J332" s="113"/>
    </row>
    <row r="333" spans="4:10" x14ac:dyDescent="0.3">
      <c r="D333" s="113"/>
      <c r="E333" s="113"/>
      <c r="F333" s="113"/>
      <c r="G333" s="113"/>
      <c r="H333" s="113"/>
      <c r="I333" s="113"/>
      <c r="J333" s="113"/>
    </row>
    <row r="334" spans="4:10" x14ac:dyDescent="0.3">
      <c r="D334" s="113"/>
      <c r="E334" s="113"/>
      <c r="F334" s="113"/>
      <c r="G334" s="113"/>
      <c r="H334" s="113"/>
      <c r="I334" s="113"/>
      <c r="J334" s="113"/>
    </row>
    <row r="335" spans="4:10" x14ac:dyDescent="0.3">
      <c r="D335" s="113"/>
      <c r="E335" s="113"/>
      <c r="F335" s="113"/>
      <c r="G335" s="113"/>
      <c r="H335" s="113"/>
      <c r="I335" s="113"/>
      <c r="J335" s="113"/>
    </row>
    <row r="336" spans="4:10" x14ac:dyDescent="0.3">
      <c r="D336" s="113"/>
      <c r="E336" s="113"/>
      <c r="F336" s="113"/>
      <c r="G336" s="113"/>
      <c r="H336" s="113"/>
      <c r="I336" s="113"/>
      <c r="J336" s="113"/>
    </row>
    <row r="337" spans="4:10" x14ac:dyDescent="0.3">
      <c r="D337" s="113"/>
      <c r="E337" s="113"/>
      <c r="F337" s="113"/>
      <c r="G337" s="113"/>
      <c r="H337" s="113"/>
      <c r="I337" s="113"/>
      <c r="J337" s="113"/>
    </row>
    <row r="338" spans="4:10" x14ac:dyDescent="0.3">
      <c r="D338" s="113"/>
      <c r="E338" s="113"/>
      <c r="F338" s="113"/>
      <c r="G338" s="113"/>
      <c r="H338" s="113"/>
      <c r="I338" s="113"/>
      <c r="J338" s="113"/>
    </row>
    <row r="339" spans="4:10" x14ac:dyDescent="0.3">
      <c r="D339" s="113"/>
      <c r="E339" s="113"/>
      <c r="F339" s="113"/>
      <c r="G339" s="113"/>
      <c r="H339" s="113"/>
      <c r="I339" s="113"/>
      <c r="J339" s="113"/>
    </row>
    <row r="340" spans="4:10" x14ac:dyDescent="0.3">
      <c r="D340" s="113"/>
      <c r="E340" s="113"/>
      <c r="F340" s="113"/>
      <c r="G340" s="113"/>
      <c r="H340" s="113"/>
      <c r="I340" s="113"/>
      <c r="J340" s="113"/>
    </row>
    <row r="341" spans="4:10" x14ac:dyDescent="0.3">
      <c r="D341" s="113"/>
      <c r="E341" s="113"/>
      <c r="F341" s="113"/>
      <c r="G341" s="113"/>
      <c r="H341" s="113"/>
      <c r="I341" s="113"/>
      <c r="J341" s="113"/>
    </row>
    <row r="342" spans="4:10" x14ac:dyDescent="0.3">
      <c r="D342" s="113"/>
      <c r="E342" s="113"/>
      <c r="F342" s="113"/>
      <c r="G342" s="113"/>
      <c r="H342" s="113"/>
      <c r="I342" s="113"/>
      <c r="J342" s="113"/>
    </row>
    <row r="343" spans="4:10" x14ac:dyDescent="0.3">
      <c r="D343" s="113"/>
      <c r="E343" s="113"/>
      <c r="F343" s="113"/>
      <c r="G343" s="113"/>
      <c r="H343" s="113"/>
      <c r="I343" s="113"/>
      <c r="J343" s="113"/>
    </row>
    <row r="344" spans="4:10" x14ac:dyDescent="0.3">
      <c r="D344" s="113"/>
      <c r="E344" s="113"/>
      <c r="F344" s="113"/>
      <c r="G344" s="113"/>
      <c r="H344" s="113"/>
      <c r="I344" s="113"/>
      <c r="J344" s="113"/>
    </row>
    <row r="345" spans="4:10" x14ac:dyDescent="0.3">
      <c r="D345" s="113"/>
      <c r="E345" s="113"/>
      <c r="F345" s="113"/>
      <c r="G345" s="113"/>
      <c r="H345" s="113"/>
      <c r="I345" s="113"/>
      <c r="J345" s="113"/>
    </row>
    <row r="346" spans="4:10" x14ac:dyDescent="0.3">
      <c r="D346" s="113"/>
      <c r="E346" s="113"/>
      <c r="F346" s="113"/>
      <c r="G346" s="113"/>
      <c r="H346" s="113"/>
      <c r="I346" s="113"/>
      <c r="J346" s="113"/>
    </row>
    <row r="347" spans="4:10" x14ac:dyDescent="0.3">
      <c r="D347" s="113"/>
      <c r="E347" s="113"/>
      <c r="F347" s="113"/>
      <c r="G347" s="113"/>
      <c r="H347" s="113"/>
      <c r="I347" s="113"/>
      <c r="J347" s="113"/>
    </row>
    <row r="348" spans="4:10" x14ac:dyDescent="0.3">
      <c r="D348" s="113"/>
      <c r="E348" s="113"/>
      <c r="F348" s="113"/>
      <c r="G348" s="113"/>
      <c r="H348" s="113"/>
      <c r="I348" s="113"/>
      <c r="J348" s="113"/>
    </row>
    <row r="349" spans="4:10" x14ac:dyDescent="0.3">
      <c r="D349" s="113"/>
      <c r="E349" s="113"/>
      <c r="F349" s="113"/>
      <c r="G349" s="113"/>
      <c r="H349" s="113"/>
      <c r="I349" s="113"/>
      <c r="J349" s="113"/>
    </row>
    <row r="350" spans="4:10" x14ac:dyDescent="0.3">
      <c r="D350" s="113"/>
      <c r="E350" s="113"/>
      <c r="F350" s="113"/>
      <c r="G350" s="113"/>
      <c r="H350" s="113"/>
      <c r="I350" s="113"/>
      <c r="J350" s="113"/>
    </row>
    <row r="351" spans="4:10" x14ac:dyDescent="0.3">
      <c r="D351" s="113"/>
      <c r="E351" s="113"/>
      <c r="F351" s="113"/>
      <c r="G351" s="113"/>
      <c r="H351" s="113"/>
      <c r="I351" s="113"/>
      <c r="J351" s="113"/>
    </row>
    <row r="352" spans="4:10" x14ac:dyDescent="0.3">
      <c r="D352" s="113"/>
      <c r="E352" s="113"/>
      <c r="F352" s="113"/>
      <c r="G352" s="113"/>
      <c r="H352" s="113"/>
      <c r="I352" s="113"/>
      <c r="J352" s="113"/>
    </row>
    <row r="353" spans="4:10" x14ac:dyDescent="0.3">
      <c r="D353" s="113"/>
      <c r="E353" s="113"/>
      <c r="F353" s="113"/>
      <c r="G353" s="113"/>
      <c r="H353" s="113"/>
      <c r="I353" s="113"/>
      <c r="J353" s="113"/>
    </row>
    <row r="354" spans="4:10" x14ac:dyDescent="0.3">
      <c r="D354" s="113"/>
      <c r="E354" s="113"/>
      <c r="F354" s="113"/>
      <c r="G354" s="113"/>
      <c r="H354" s="113"/>
      <c r="I354" s="113"/>
      <c r="J354" s="113"/>
    </row>
    <row r="355" spans="4:10" x14ac:dyDescent="0.3">
      <c r="D355" s="113"/>
      <c r="E355" s="113"/>
      <c r="F355" s="113"/>
      <c r="G355" s="113"/>
      <c r="H355" s="113"/>
      <c r="I355" s="113"/>
      <c r="J355" s="113"/>
    </row>
    <row r="356" spans="4:10" x14ac:dyDescent="0.3">
      <c r="D356" s="113"/>
      <c r="E356" s="113"/>
      <c r="F356" s="113"/>
      <c r="G356" s="113"/>
      <c r="H356" s="113"/>
      <c r="I356" s="113"/>
      <c r="J356" s="113"/>
    </row>
    <row r="357" spans="4:10" x14ac:dyDescent="0.3">
      <c r="D357" s="113"/>
      <c r="E357" s="113"/>
      <c r="F357" s="113"/>
      <c r="G357" s="113"/>
      <c r="H357" s="113"/>
      <c r="I357" s="113"/>
      <c r="J357" s="113"/>
    </row>
    <row r="358" spans="4:10" x14ac:dyDescent="0.3">
      <c r="D358" s="113"/>
      <c r="E358" s="113"/>
      <c r="F358" s="113"/>
      <c r="G358" s="113"/>
      <c r="H358" s="113"/>
      <c r="I358" s="113"/>
      <c r="J358" s="113"/>
    </row>
    <row r="359" spans="4:10" x14ac:dyDescent="0.3">
      <c r="D359" s="113"/>
      <c r="E359" s="113"/>
      <c r="F359" s="113"/>
      <c r="G359" s="113"/>
      <c r="H359" s="113"/>
      <c r="I359" s="113"/>
      <c r="J359" s="113"/>
    </row>
    <row r="360" spans="4:10" x14ac:dyDescent="0.3">
      <c r="D360" s="113"/>
      <c r="E360" s="113"/>
      <c r="F360" s="113"/>
      <c r="G360" s="113"/>
      <c r="H360" s="113"/>
      <c r="I360" s="113"/>
      <c r="J360" s="113"/>
    </row>
    <row r="361" spans="4:10" x14ac:dyDescent="0.3">
      <c r="D361" s="113"/>
      <c r="E361" s="113"/>
      <c r="F361" s="113"/>
      <c r="G361" s="113"/>
      <c r="H361" s="113"/>
      <c r="I361" s="113"/>
      <c r="J361" s="113"/>
    </row>
    <row r="362" spans="4:10" x14ac:dyDescent="0.3">
      <c r="D362" s="113"/>
      <c r="E362" s="113"/>
      <c r="F362" s="113"/>
      <c r="G362" s="113"/>
      <c r="H362" s="113"/>
      <c r="I362" s="113"/>
      <c r="J362" s="113"/>
    </row>
    <row r="363" spans="4:10" x14ac:dyDescent="0.3">
      <c r="D363" s="113"/>
      <c r="E363" s="113"/>
      <c r="F363" s="113"/>
      <c r="G363" s="113"/>
      <c r="H363" s="113"/>
      <c r="I363" s="113"/>
      <c r="J363" s="113"/>
    </row>
    <row r="364" spans="4:10" x14ac:dyDescent="0.3">
      <c r="D364" s="113"/>
      <c r="E364" s="113"/>
      <c r="F364" s="113"/>
      <c r="G364" s="113"/>
      <c r="H364" s="113"/>
      <c r="I364" s="113"/>
      <c r="J364" s="113"/>
    </row>
    <row r="365" spans="4:10" x14ac:dyDescent="0.3">
      <c r="D365" s="113"/>
      <c r="E365" s="113"/>
      <c r="F365" s="113"/>
      <c r="G365" s="113"/>
      <c r="H365" s="113"/>
      <c r="I365" s="113"/>
      <c r="J365" s="113"/>
    </row>
    <row r="366" spans="4:10" x14ac:dyDescent="0.3">
      <c r="D366" s="113"/>
      <c r="E366" s="113"/>
      <c r="F366" s="113"/>
      <c r="G366" s="113"/>
      <c r="H366" s="113"/>
      <c r="I366" s="113"/>
      <c r="J366" s="113"/>
    </row>
    <row r="367" spans="4:10" x14ac:dyDescent="0.3">
      <c r="D367" s="113"/>
      <c r="E367" s="113"/>
      <c r="F367" s="113"/>
      <c r="G367" s="113"/>
      <c r="H367" s="113"/>
      <c r="I367" s="113"/>
      <c r="J367" s="113"/>
    </row>
    <row r="368" spans="4:10" x14ac:dyDescent="0.3">
      <c r="D368" s="113"/>
      <c r="E368" s="113"/>
      <c r="F368" s="113"/>
      <c r="G368" s="113"/>
      <c r="H368" s="113"/>
      <c r="I368" s="113"/>
      <c r="J368" s="113"/>
    </row>
    <row r="369" spans="4:10" x14ac:dyDescent="0.3">
      <c r="D369" s="113"/>
      <c r="E369" s="113"/>
      <c r="F369" s="113"/>
      <c r="G369" s="113"/>
      <c r="H369" s="113"/>
      <c r="I369" s="113"/>
      <c r="J369" s="113"/>
    </row>
    <row r="370" spans="4:10" x14ac:dyDescent="0.3">
      <c r="D370" s="113"/>
      <c r="E370" s="113"/>
      <c r="F370" s="113"/>
      <c r="G370" s="113"/>
      <c r="H370" s="113"/>
      <c r="I370" s="113"/>
      <c r="J370" s="113"/>
    </row>
    <row r="371" spans="4:10" x14ac:dyDescent="0.3">
      <c r="D371" s="113"/>
      <c r="E371" s="113"/>
      <c r="F371" s="113"/>
      <c r="G371" s="113"/>
      <c r="H371" s="113"/>
      <c r="I371" s="113"/>
      <c r="J371" s="113"/>
    </row>
    <row r="372" spans="4:10" x14ac:dyDescent="0.3">
      <c r="D372" s="113"/>
      <c r="E372" s="113"/>
      <c r="F372" s="113"/>
      <c r="G372" s="113"/>
      <c r="H372" s="113"/>
      <c r="I372" s="113"/>
      <c r="J372" s="113"/>
    </row>
    <row r="373" spans="4:10" x14ac:dyDescent="0.3">
      <c r="D373" s="113"/>
      <c r="E373" s="113"/>
      <c r="F373" s="113"/>
      <c r="G373" s="113"/>
      <c r="H373" s="113"/>
      <c r="I373" s="113"/>
      <c r="J373" s="113"/>
    </row>
    <row r="374" spans="4:10" x14ac:dyDescent="0.3">
      <c r="D374" s="113"/>
      <c r="E374" s="113"/>
      <c r="F374" s="113"/>
      <c r="G374" s="113"/>
      <c r="H374" s="113"/>
      <c r="I374" s="113"/>
      <c r="J374" s="113"/>
    </row>
    <row r="375" spans="4:10" x14ac:dyDescent="0.3">
      <c r="D375" s="113"/>
      <c r="E375" s="113"/>
      <c r="F375" s="113"/>
      <c r="G375" s="113"/>
      <c r="H375" s="113"/>
      <c r="I375" s="113"/>
      <c r="J375" s="113"/>
    </row>
    <row r="376" spans="4:10" x14ac:dyDescent="0.3">
      <c r="D376" s="113"/>
      <c r="E376" s="113"/>
      <c r="F376" s="113"/>
      <c r="G376" s="113"/>
      <c r="H376" s="113"/>
      <c r="I376" s="113"/>
      <c r="J376" s="113"/>
    </row>
    <row r="377" spans="4:10" x14ac:dyDescent="0.3">
      <c r="D377" s="113"/>
      <c r="E377" s="113"/>
      <c r="F377" s="113"/>
      <c r="G377" s="113"/>
      <c r="H377" s="113"/>
      <c r="I377" s="113"/>
      <c r="J377" s="113"/>
    </row>
    <row r="378" spans="4:10" x14ac:dyDescent="0.3">
      <c r="D378" s="113"/>
      <c r="E378" s="113"/>
      <c r="F378" s="113"/>
      <c r="G378" s="113"/>
      <c r="H378" s="113"/>
      <c r="I378" s="113"/>
      <c r="J378" s="113"/>
    </row>
    <row r="379" spans="4:10" x14ac:dyDescent="0.3">
      <c r="D379" s="113"/>
      <c r="E379" s="113"/>
      <c r="F379" s="113"/>
      <c r="G379" s="113"/>
      <c r="H379" s="113"/>
      <c r="I379" s="113"/>
      <c r="J379" s="113"/>
    </row>
    <row r="380" spans="4:10" x14ac:dyDescent="0.3">
      <c r="D380" s="113"/>
      <c r="E380" s="113"/>
      <c r="F380" s="113"/>
      <c r="G380" s="113"/>
      <c r="H380" s="113"/>
      <c r="I380" s="113"/>
      <c r="J380" s="113"/>
    </row>
    <row r="381" spans="4:10" x14ac:dyDescent="0.3">
      <c r="D381" s="113"/>
      <c r="E381" s="113"/>
      <c r="F381" s="113"/>
      <c r="G381" s="113"/>
      <c r="H381" s="113"/>
      <c r="I381" s="113"/>
      <c r="J381" s="113"/>
    </row>
    <row r="382" spans="4:10" x14ac:dyDescent="0.3">
      <c r="D382" s="113"/>
      <c r="E382" s="113"/>
      <c r="F382" s="113"/>
      <c r="G382" s="113"/>
      <c r="H382" s="113"/>
      <c r="I382" s="113"/>
      <c r="J382" s="113"/>
    </row>
    <row r="383" spans="4:10" x14ac:dyDescent="0.3">
      <c r="D383" s="113"/>
      <c r="E383" s="113"/>
      <c r="F383" s="113"/>
      <c r="G383" s="113"/>
      <c r="H383" s="113"/>
      <c r="I383" s="113"/>
      <c r="J383" s="113"/>
    </row>
    <row r="384" spans="4:10" x14ac:dyDescent="0.3">
      <c r="D384" s="113"/>
      <c r="E384" s="113"/>
      <c r="F384" s="113"/>
      <c r="G384" s="113"/>
      <c r="H384" s="113"/>
      <c r="I384" s="113"/>
      <c r="J384" s="113"/>
    </row>
    <row r="385" spans="4:10" x14ac:dyDescent="0.3">
      <c r="D385" s="113"/>
      <c r="E385" s="113"/>
      <c r="F385" s="113"/>
      <c r="G385" s="113"/>
      <c r="H385" s="113"/>
      <c r="I385" s="113"/>
      <c r="J385" s="113"/>
    </row>
    <row r="386" spans="4:10" x14ac:dyDescent="0.3">
      <c r="D386" s="113"/>
      <c r="E386" s="113"/>
      <c r="F386" s="113"/>
      <c r="G386" s="113"/>
      <c r="H386" s="113"/>
      <c r="I386" s="113"/>
      <c r="J386" s="113"/>
    </row>
    <row r="387" spans="4:10" x14ac:dyDescent="0.3">
      <c r="D387" s="113"/>
      <c r="E387" s="113"/>
      <c r="F387" s="113"/>
      <c r="G387" s="113"/>
      <c r="H387" s="113"/>
      <c r="I387" s="113"/>
      <c r="J387" s="113"/>
    </row>
    <row r="388" spans="4:10" x14ac:dyDescent="0.3">
      <c r="D388" s="113"/>
      <c r="E388" s="113"/>
      <c r="F388" s="113"/>
      <c r="G388" s="113"/>
      <c r="H388" s="113"/>
      <c r="I388" s="113"/>
      <c r="J388" s="113"/>
    </row>
    <row r="389" spans="4:10" x14ac:dyDescent="0.3">
      <c r="D389" s="113"/>
      <c r="E389" s="113"/>
      <c r="F389" s="113"/>
      <c r="G389" s="113"/>
      <c r="H389" s="113"/>
      <c r="I389" s="113"/>
      <c r="J389" s="113"/>
    </row>
    <row r="390" spans="4:10" x14ac:dyDescent="0.3">
      <c r="D390" s="113"/>
      <c r="E390" s="113"/>
      <c r="F390" s="113"/>
      <c r="G390" s="113"/>
      <c r="H390" s="113"/>
      <c r="I390" s="113"/>
      <c r="J390" s="113"/>
    </row>
    <row r="391" spans="4:10" x14ac:dyDescent="0.3">
      <c r="D391" s="113"/>
      <c r="E391" s="113"/>
      <c r="F391" s="113"/>
      <c r="G391" s="113"/>
      <c r="H391" s="113"/>
      <c r="I391" s="113"/>
      <c r="J391" s="113"/>
    </row>
    <row r="392" spans="4:10" x14ac:dyDescent="0.3">
      <c r="D392" s="113"/>
      <c r="E392" s="113"/>
      <c r="F392" s="113"/>
      <c r="G392" s="113"/>
      <c r="H392" s="113"/>
      <c r="I392" s="113"/>
      <c r="J392" s="113"/>
    </row>
    <row r="393" spans="4:10" x14ac:dyDescent="0.3">
      <c r="D393" s="113"/>
      <c r="E393" s="113"/>
      <c r="F393" s="113"/>
      <c r="G393" s="113"/>
      <c r="H393" s="113"/>
      <c r="I393" s="113"/>
      <c r="J393" s="113"/>
    </row>
    <row r="394" spans="4:10" x14ac:dyDescent="0.3">
      <c r="D394" s="113"/>
      <c r="E394" s="113"/>
      <c r="F394" s="113"/>
      <c r="G394" s="113"/>
      <c r="H394" s="113"/>
      <c r="I394" s="113"/>
      <c r="J394" s="113"/>
    </row>
    <row r="395" spans="4:10" x14ac:dyDescent="0.3">
      <c r="D395" s="113"/>
      <c r="E395" s="113"/>
      <c r="F395" s="113"/>
      <c r="G395" s="113"/>
      <c r="H395" s="113"/>
      <c r="I395" s="113"/>
      <c r="J395" s="113"/>
    </row>
    <row r="396" spans="4:10" x14ac:dyDescent="0.3">
      <c r="D396" s="113"/>
      <c r="E396" s="113"/>
      <c r="F396" s="113"/>
      <c r="G396" s="113"/>
      <c r="H396" s="113"/>
      <c r="I396" s="113"/>
      <c r="J396" s="113"/>
    </row>
    <row r="397" spans="4:10" x14ac:dyDescent="0.3">
      <c r="D397" s="113"/>
      <c r="E397" s="113"/>
      <c r="F397" s="113"/>
      <c r="G397" s="113"/>
      <c r="H397" s="113"/>
      <c r="I397" s="113"/>
      <c r="J397" s="113"/>
    </row>
    <row r="398" spans="4:10" x14ac:dyDescent="0.3">
      <c r="D398" s="113"/>
      <c r="E398" s="113"/>
      <c r="F398" s="113"/>
      <c r="G398" s="113"/>
      <c r="H398" s="113"/>
      <c r="I398" s="113"/>
      <c r="J398" s="113"/>
    </row>
    <row r="399" spans="4:10" x14ac:dyDescent="0.3">
      <c r="D399" s="113"/>
      <c r="E399" s="113"/>
      <c r="F399" s="113"/>
      <c r="G399" s="113"/>
      <c r="H399" s="113"/>
      <c r="I399" s="113"/>
      <c r="J399" s="113"/>
    </row>
    <row r="400" spans="4:10" x14ac:dyDescent="0.3">
      <c r="D400" s="113"/>
      <c r="E400" s="113"/>
      <c r="F400" s="113"/>
      <c r="G400" s="113"/>
      <c r="H400" s="113"/>
      <c r="I400" s="113"/>
      <c r="J400" s="113"/>
    </row>
    <row r="401" spans="4:10" x14ac:dyDescent="0.3">
      <c r="D401" s="113"/>
      <c r="E401" s="113"/>
      <c r="F401" s="113"/>
      <c r="G401" s="113"/>
      <c r="H401" s="113"/>
      <c r="I401" s="113"/>
      <c r="J401" s="113"/>
    </row>
    <row r="402" spans="4:10" x14ac:dyDescent="0.3">
      <c r="D402" s="113"/>
      <c r="E402" s="113"/>
      <c r="F402" s="113"/>
      <c r="G402" s="113"/>
      <c r="H402" s="113"/>
      <c r="I402" s="113"/>
      <c r="J402" s="113"/>
    </row>
    <row r="403" spans="4:10" x14ac:dyDescent="0.3">
      <c r="D403" s="113"/>
      <c r="E403" s="113"/>
      <c r="F403" s="113"/>
      <c r="G403" s="113"/>
      <c r="H403" s="113"/>
      <c r="I403" s="113"/>
      <c r="J403" s="113"/>
    </row>
    <row r="404" spans="4:10" x14ac:dyDescent="0.3">
      <c r="D404" s="113"/>
      <c r="E404" s="113"/>
      <c r="F404" s="113"/>
      <c r="G404" s="113"/>
      <c r="H404" s="113"/>
      <c r="I404" s="113"/>
      <c r="J404" s="113"/>
    </row>
    <row r="405" spans="4:10" x14ac:dyDescent="0.3">
      <c r="D405" s="113"/>
      <c r="E405" s="113"/>
      <c r="F405" s="113"/>
      <c r="G405" s="113"/>
      <c r="H405" s="113"/>
      <c r="I405" s="113"/>
      <c r="J405" s="113"/>
    </row>
    <row r="406" spans="4:10" x14ac:dyDescent="0.3">
      <c r="D406" s="113"/>
      <c r="E406" s="113"/>
      <c r="F406" s="113"/>
      <c r="G406" s="113"/>
      <c r="H406" s="113"/>
      <c r="I406" s="113"/>
      <c r="J406" s="113"/>
    </row>
    <row r="407" spans="4:10" x14ac:dyDescent="0.3">
      <c r="D407" s="113"/>
      <c r="E407" s="113"/>
      <c r="F407" s="113"/>
      <c r="G407" s="113"/>
      <c r="H407" s="113"/>
      <c r="I407" s="113"/>
      <c r="J407" s="113"/>
    </row>
    <row r="408" spans="4:10" x14ac:dyDescent="0.3">
      <c r="D408" s="113"/>
      <c r="E408" s="113"/>
      <c r="F408" s="113"/>
      <c r="G408" s="113"/>
      <c r="H408" s="113"/>
      <c r="I408" s="113"/>
      <c r="J408" s="113"/>
    </row>
    <row r="409" spans="4:10" x14ac:dyDescent="0.3">
      <c r="D409" s="113"/>
      <c r="E409" s="113"/>
      <c r="F409" s="113"/>
      <c r="G409" s="113"/>
      <c r="H409" s="113"/>
      <c r="I409" s="113"/>
      <c r="J409" s="113"/>
    </row>
    <row r="410" spans="4:10" x14ac:dyDescent="0.3">
      <c r="D410" s="113"/>
      <c r="E410" s="113"/>
      <c r="F410" s="113"/>
      <c r="G410" s="113"/>
      <c r="H410" s="113"/>
      <c r="I410" s="113"/>
      <c r="J410" s="113"/>
    </row>
    <row r="411" spans="4:10" x14ac:dyDescent="0.3">
      <c r="D411" s="113"/>
      <c r="E411" s="113"/>
      <c r="F411" s="113"/>
      <c r="G411" s="113"/>
      <c r="H411" s="113"/>
      <c r="I411" s="113"/>
      <c r="J411" s="113"/>
    </row>
    <row r="412" spans="4:10" x14ac:dyDescent="0.3">
      <c r="D412" s="113"/>
      <c r="E412" s="113"/>
      <c r="F412" s="113"/>
      <c r="G412" s="113"/>
      <c r="H412" s="113"/>
      <c r="I412" s="113"/>
      <c r="J412" s="113"/>
    </row>
    <row r="413" spans="4:10" x14ac:dyDescent="0.3">
      <c r="D413" s="113"/>
      <c r="E413" s="113"/>
      <c r="F413" s="113"/>
      <c r="G413" s="113"/>
      <c r="H413" s="113"/>
      <c r="I413" s="113"/>
      <c r="J413" s="113"/>
    </row>
    <row r="414" spans="4:10" x14ac:dyDescent="0.3">
      <c r="D414" s="113"/>
      <c r="E414" s="113"/>
      <c r="F414" s="113"/>
      <c r="G414" s="113"/>
      <c r="H414" s="113"/>
      <c r="I414" s="113"/>
      <c r="J414" s="113"/>
    </row>
    <row r="415" spans="4:10" x14ac:dyDescent="0.3">
      <c r="D415" s="113"/>
      <c r="E415" s="113"/>
      <c r="F415" s="113"/>
      <c r="G415" s="113"/>
      <c r="H415" s="113"/>
      <c r="I415" s="113"/>
      <c r="J415" s="113"/>
    </row>
    <row r="416" spans="4:10" x14ac:dyDescent="0.3">
      <c r="D416" s="113"/>
      <c r="E416" s="113"/>
      <c r="F416" s="113"/>
      <c r="G416" s="113"/>
      <c r="H416" s="113"/>
      <c r="I416" s="113"/>
      <c r="J416" s="113"/>
    </row>
    <row r="417" spans="4:10" x14ac:dyDescent="0.3">
      <c r="D417" s="113"/>
      <c r="E417" s="113"/>
      <c r="F417" s="113"/>
      <c r="G417" s="113"/>
      <c r="H417" s="113"/>
      <c r="I417" s="113"/>
      <c r="J417" s="113"/>
    </row>
    <row r="418" spans="4:10" x14ac:dyDescent="0.3">
      <c r="D418" s="113"/>
      <c r="E418" s="113"/>
      <c r="F418" s="113"/>
      <c r="G418" s="113"/>
      <c r="H418" s="113"/>
      <c r="I418" s="113"/>
      <c r="J418" s="113"/>
    </row>
    <row r="419" spans="4:10" x14ac:dyDescent="0.3">
      <c r="D419" s="113"/>
      <c r="E419" s="113"/>
      <c r="F419" s="113"/>
      <c r="G419" s="113"/>
      <c r="H419" s="113"/>
      <c r="I419" s="113"/>
      <c r="J419" s="113"/>
    </row>
    <row r="420" spans="4:10" x14ac:dyDescent="0.3">
      <c r="D420" s="113"/>
      <c r="E420" s="113"/>
      <c r="F420" s="113"/>
      <c r="G420" s="113"/>
      <c r="H420" s="113"/>
      <c r="I420" s="113"/>
      <c r="J420" s="113"/>
    </row>
    <row r="421" spans="4:10" x14ac:dyDescent="0.3">
      <c r="D421" s="113"/>
      <c r="E421" s="113"/>
      <c r="F421" s="113"/>
      <c r="G421" s="113"/>
      <c r="H421" s="113"/>
      <c r="I421" s="113"/>
      <c r="J421" s="113"/>
    </row>
    <row r="422" spans="4:10" x14ac:dyDescent="0.3">
      <c r="D422" s="113"/>
      <c r="E422" s="113"/>
      <c r="F422" s="113"/>
      <c r="G422" s="113"/>
      <c r="H422" s="113"/>
      <c r="I422" s="113"/>
      <c r="J422" s="113"/>
    </row>
    <row r="423" spans="4:10" x14ac:dyDescent="0.3">
      <c r="D423" s="113"/>
      <c r="E423" s="113"/>
      <c r="F423" s="113"/>
      <c r="G423" s="113"/>
      <c r="H423" s="113"/>
      <c r="I423" s="113"/>
      <c r="J423" s="113"/>
    </row>
    <row r="424" spans="4:10" x14ac:dyDescent="0.3">
      <c r="D424" s="113"/>
      <c r="E424" s="113"/>
      <c r="F424" s="113"/>
      <c r="G424" s="113"/>
      <c r="H424" s="113"/>
      <c r="I424" s="113"/>
      <c r="J424" s="113"/>
    </row>
    <row r="425" spans="4:10" x14ac:dyDescent="0.3">
      <c r="D425" s="113"/>
      <c r="E425" s="113"/>
      <c r="F425" s="113"/>
      <c r="G425" s="113"/>
      <c r="H425" s="113"/>
      <c r="I425" s="113"/>
      <c r="J425" s="113"/>
    </row>
    <row r="426" spans="4:10" x14ac:dyDescent="0.3">
      <c r="D426" s="113"/>
      <c r="E426" s="113"/>
      <c r="F426" s="113"/>
      <c r="G426" s="113"/>
      <c r="H426" s="113"/>
      <c r="I426" s="113"/>
      <c r="J426" s="113"/>
    </row>
    <row r="427" spans="4:10" x14ac:dyDescent="0.3">
      <c r="D427" s="113"/>
      <c r="E427" s="113"/>
      <c r="F427" s="113"/>
      <c r="G427" s="113"/>
      <c r="H427" s="113"/>
      <c r="I427" s="113"/>
      <c r="J427" s="113"/>
    </row>
    <row r="428" spans="4:10" x14ac:dyDescent="0.3">
      <c r="D428" s="113"/>
      <c r="E428" s="113"/>
      <c r="F428" s="113"/>
      <c r="G428" s="113"/>
      <c r="H428" s="113"/>
      <c r="I428" s="113"/>
      <c r="J428" s="113"/>
    </row>
    <row r="429" spans="4:10" x14ac:dyDescent="0.3">
      <c r="D429" s="113"/>
      <c r="E429" s="113"/>
      <c r="F429" s="113"/>
      <c r="G429" s="113"/>
      <c r="H429" s="113"/>
      <c r="I429" s="113"/>
      <c r="J429" s="113"/>
    </row>
    <row r="430" spans="4:10" x14ac:dyDescent="0.3">
      <c r="D430" s="113"/>
      <c r="E430" s="113"/>
      <c r="F430" s="113"/>
      <c r="G430" s="113"/>
      <c r="H430" s="113"/>
      <c r="I430" s="113"/>
      <c r="J430" s="113"/>
    </row>
    <row r="431" spans="4:10" x14ac:dyDescent="0.3">
      <c r="D431" s="113"/>
      <c r="E431" s="113"/>
      <c r="F431" s="113"/>
      <c r="G431" s="113"/>
      <c r="H431" s="113"/>
      <c r="I431" s="113"/>
      <c r="J431" s="113"/>
    </row>
    <row r="432" spans="4:10" x14ac:dyDescent="0.3">
      <c r="D432" s="113"/>
      <c r="E432" s="113"/>
      <c r="F432" s="113"/>
      <c r="G432" s="113"/>
      <c r="H432" s="113"/>
      <c r="I432" s="113"/>
      <c r="J432" s="113"/>
    </row>
    <row r="433" spans="4:10" x14ac:dyDescent="0.3">
      <c r="D433" s="113"/>
      <c r="E433" s="113"/>
      <c r="F433" s="113"/>
      <c r="G433" s="113"/>
      <c r="H433" s="113"/>
      <c r="I433" s="113"/>
      <c r="J433" s="113"/>
    </row>
    <row r="434" spans="4:10" x14ac:dyDescent="0.3">
      <c r="D434" s="113"/>
      <c r="E434" s="113"/>
      <c r="F434" s="113"/>
      <c r="G434" s="113"/>
      <c r="H434" s="113"/>
      <c r="I434" s="113"/>
      <c r="J434" s="113"/>
    </row>
    <row r="435" spans="4:10" x14ac:dyDescent="0.3">
      <c r="D435" s="113"/>
      <c r="E435" s="113"/>
      <c r="F435" s="113"/>
      <c r="G435" s="113"/>
      <c r="H435" s="113"/>
      <c r="I435" s="113"/>
      <c r="J435" s="113"/>
    </row>
    <row r="436" spans="4:10" x14ac:dyDescent="0.3">
      <c r="D436" s="113"/>
      <c r="E436" s="113"/>
      <c r="F436" s="113"/>
      <c r="G436" s="113"/>
      <c r="H436" s="113"/>
      <c r="I436" s="113"/>
      <c r="J436" s="113"/>
    </row>
    <row r="437" spans="4:10" x14ac:dyDescent="0.3">
      <c r="D437" s="113"/>
      <c r="E437" s="113"/>
      <c r="F437" s="113"/>
      <c r="G437" s="113"/>
      <c r="H437" s="113"/>
      <c r="I437" s="113"/>
      <c r="J437" s="113"/>
    </row>
    <row r="438" spans="4:10" x14ac:dyDescent="0.3">
      <c r="D438" s="113"/>
      <c r="E438" s="113"/>
      <c r="F438" s="113"/>
      <c r="G438" s="113"/>
      <c r="H438" s="113"/>
      <c r="I438" s="113"/>
      <c r="J438" s="113"/>
    </row>
    <row r="439" spans="4:10" x14ac:dyDescent="0.3">
      <c r="D439" s="113"/>
      <c r="E439" s="113"/>
      <c r="F439" s="113"/>
      <c r="G439" s="113"/>
      <c r="H439" s="113"/>
      <c r="I439" s="113"/>
      <c r="J439" s="113"/>
    </row>
    <row r="440" spans="4:10" x14ac:dyDescent="0.3">
      <c r="D440" s="113"/>
      <c r="E440" s="113"/>
      <c r="F440" s="113"/>
      <c r="G440" s="113"/>
      <c r="H440" s="113"/>
      <c r="I440" s="113"/>
      <c r="J440" s="113"/>
    </row>
    <row r="441" spans="4:10" x14ac:dyDescent="0.3">
      <c r="D441" s="113"/>
      <c r="E441" s="113"/>
      <c r="F441" s="113"/>
      <c r="G441" s="113"/>
      <c r="H441" s="113"/>
      <c r="I441" s="113"/>
      <c r="J441" s="113"/>
    </row>
    <row r="442" spans="4:10" x14ac:dyDescent="0.3">
      <c r="D442" s="113"/>
      <c r="E442" s="113"/>
      <c r="F442" s="113"/>
      <c r="G442" s="113"/>
      <c r="H442" s="113"/>
      <c r="I442" s="113"/>
      <c r="J442" s="113"/>
    </row>
    <row r="443" spans="4:10" x14ac:dyDescent="0.3">
      <c r="D443" s="113"/>
      <c r="E443" s="113"/>
      <c r="F443" s="113"/>
      <c r="G443" s="113"/>
      <c r="H443" s="113"/>
      <c r="I443" s="113"/>
      <c r="J443" s="113"/>
    </row>
    <row r="444" spans="4:10" x14ac:dyDescent="0.3">
      <c r="D444" s="113"/>
      <c r="E444" s="113"/>
      <c r="F444" s="113"/>
      <c r="G444" s="113"/>
      <c r="H444" s="113"/>
      <c r="I444" s="113"/>
      <c r="J444" s="113"/>
    </row>
    <row r="445" spans="4:10" x14ac:dyDescent="0.3">
      <c r="D445" s="113"/>
      <c r="E445" s="113"/>
      <c r="F445" s="113"/>
      <c r="G445" s="113"/>
      <c r="H445" s="113"/>
      <c r="I445" s="113"/>
      <c r="J445" s="113"/>
    </row>
    <row r="446" spans="4:10" x14ac:dyDescent="0.3">
      <c r="D446" s="113"/>
      <c r="E446" s="113"/>
      <c r="F446" s="113"/>
      <c r="G446" s="113"/>
      <c r="H446" s="113"/>
      <c r="I446" s="113"/>
      <c r="J446" s="113"/>
    </row>
    <row r="447" spans="4:10" x14ac:dyDescent="0.3">
      <c r="D447" s="113"/>
      <c r="E447" s="113"/>
      <c r="F447" s="113"/>
      <c r="G447" s="113"/>
      <c r="H447" s="113"/>
      <c r="I447" s="113"/>
      <c r="J447" s="113"/>
    </row>
    <row r="448" spans="4:10" x14ac:dyDescent="0.3">
      <c r="D448" s="113"/>
      <c r="E448" s="113"/>
      <c r="F448" s="113"/>
      <c r="G448" s="113"/>
      <c r="H448" s="113"/>
      <c r="I448" s="113"/>
      <c r="J448" s="113"/>
    </row>
    <row r="449" spans="4:10" x14ac:dyDescent="0.3">
      <c r="D449" s="113"/>
      <c r="E449" s="113"/>
      <c r="F449" s="113"/>
      <c r="G449" s="113"/>
      <c r="H449" s="113"/>
      <c r="I449" s="113"/>
      <c r="J449" s="113"/>
    </row>
    <row r="450" spans="4:10" x14ac:dyDescent="0.3">
      <c r="D450" s="113"/>
      <c r="E450" s="113"/>
      <c r="F450" s="113"/>
      <c r="G450" s="113"/>
      <c r="H450" s="113"/>
      <c r="I450" s="113"/>
      <c r="J450" s="113"/>
    </row>
    <row r="451" spans="4:10" x14ac:dyDescent="0.3">
      <c r="D451" s="113"/>
      <c r="E451" s="113"/>
      <c r="F451" s="113"/>
      <c r="G451" s="113"/>
      <c r="H451" s="113"/>
      <c r="I451" s="113"/>
      <c r="J451" s="113"/>
    </row>
    <row r="452" spans="4:10" x14ac:dyDescent="0.3">
      <c r="D452" s="113"/>
      <c r="E452" s="113"/>
      <c r="F452" s="113"/>
      <c r="G452" s="113"/>
      <c r="H452" s="113"/>
      <c r="I452" s="113"/>
      <c r="J452" s="113"/>
    </row>
    <row r="453" spans="4:10" x14ac:dyDescent="0.3">
      <c r="D453" s="113"/>
      <c r="E453" s="113"/>
      <c r="F453" s="113"/>
      <c r="G453" s="113"/>
      <c r="H453" s="113"/>
      <c r="I453" s="113"/>
      <c r="J453" s="113"/>
    </row>
    <row r="454" spans="4:10" x14ac:dyDescent="0.3">
      <c r="D454" s="113"/>
      <c r="E454" s="113"/>
      <c r="F454" s="113"/>
      <c r="G454" s="113"/>
      <c r="H454" s="113"/>
      <c r="I454" s="113"/>
      <c r="J454" s="113"/>
    </row>
    <row r="455" spans="4:10" x14ac:dyDescent="0.3">
      <c r="D455" s="113"/>
      <c r="E455" s="113"/>
      <c r="F455" s="113"/>
      <c r="G455" s="113"/>
      <c r="H455" s="113"/>
      <c r="I455" s="113"/>
      <c r="J455" s="113"/>
    </row>
    <row r="456" spans="4:10" x14ac:dyDescent="0.3">
      <c r="D456" s="113"/>
      <c r="E456" s="113"/>
      <c r="F456" s="113"/>
      <c r="G456" s="113"/>
      <c r="H456" s="113"/>
      <c r="I456" s="113"/>
      <c r="J456" s="113"/>
    </row>
    <row r="457" spans="4:10" x14ac:dyDescent="0.3">
      <c r="D457" s="113"/>
      <c r="E457" s="113"/>
      <c r="F457" s="113"/>
      <c r="G457" s="113"/>
      <c r="H457" s="113"/>
      <c r="I457" s="113"/>
      <c r="J457" s="113"/>
    </row>
    <row r="458" spans="4:10" x14ac:dyDescent="0.3">
      <c r="D458" s="113"/>
      <c r="E458" s="113"/>
      <c r="F458" s="113"/>
      <c r="G458" s="113"/>
      <c r="H458" s="113"/>
      <c r="I458" s="113"/>
      <c r="J458" s="113"/>
    </row>
    <row r="459" spans="4:10" x14ac:dyDescent="0.3">
      <c r="D459" s="113"/>
      <c r="E459" s="113"/>
      <c r="F459" s="113"/>
      <c r="G459" s="113"/>
      <c r="H459" s="113"/>
      <c r="I459" s="113"/>
      <c r="J459" s="113"/>
    </row>
    <row r="460" spans="4:10" x14ac:dyDescent="0.3">
      <c r="D460" s="113"/>
      <c r="E460" s="113"/>
      <c r="F460" s="113"/>
      <c r="G460" s="113"/>
      <c r="H460" s="113"/>
      <c r="I460" s="113"/>
      <c r="J460" s="113"/>
    </row>
    <row r="461" spans="4:10" x14ac:dyDescent="0.3">
      <c r="D461" s="113"/>
      <c r="E461" s="113"/>
      <c r="F461" s="113"/>
      <c r="G461" s="113"/>
      <c r="H461" s="113"/>
      <c r="I461" s="113"/>
      <c r="J461" s="113"/>
    </row>
    <row r="462" spans="4:10" x14ac:dyDescent="0.3">
      <c r="D462" s="113"/>
      <c r="E462" s="113"/>
      <c r="F462" s="113"/>
      <c r="G462" s="113"/>
      <c r="H462" s="113"/>
      <c r="I462" s="113"/>
      <c r="J462" s="113"/>
    </row>
    <row r="463" spans="4:10" x14ac:dyDescent="0.3">
      <c r="D463" s="113"/>
      <c r="E463" s="113"/>
      <c r="F463" s="113"/>
      <c r="G463" s="113"/>
      <c r="H463" s="113"/>
      <c r="I463" s="113"/>
      <c r="J463" s="113"/>
    </row>
    <row r="464" spans="4:10" x14ac:dyDescent="0.3">
      <c r="D464" s="113"/>
      <c r="E464" s="113"/>
      <c r="F464" s="113"/>
      <c r="G464" s="113"/>
      <c r="H464" s="113"/>
      <c r="I464" s="113"/>
      <c r="J464" s="113"/>
    </row>
    <row r="465" spans="4:10" x14ac:dyDescent="0.3">
      <c r="D465" s="113"/>
      <c r="E465" s="113"/>
      <c r="F465" s="113"/>
      <c r="G465" s="113"/>
      <c r="H465" s="113"/>
      <c r="I465" s="113"/>
      <c r="J465" s="113"/>
    </row>
    <row r="466" spans="4:10" x14ac:dyDescent="0.3">
      <c r="D466" s="113"/>
      <c r="E466" s="113"/>
      <c r="F466" s="113"/>
      <c r="G466" s="113"/>
      <c r="H466" s="113"/>
      <c r="I466" s="113"/>
      <c r="J466" s="113"/>
    </row>
    <row r="467" spans="4:10" x14ac:dyDescent="0.3">
      <c r="D467" s="113"/>
      <c r="E467" s="113"/>
      <c r="F467" s="113"/>
      <c r="G467" s="113"/>
      <c r="H467" s="113"/>
      <c r="I467" s="113"/>
      <c r="J467" s="113"/>
    </row>
    <row r="468" spans="4:10" x14ac:dyDescent="0.3">
      <c r="D468" s="113"/>
      <c r="E468" s="113"/>
      <c r="F468" s="113"/>
      <c r="G468" s="113"/>
      <c r="H468" s="113"/>
      <c r="I468" s="113"/>
      <c r="J468" s="113"/>
    </row>
    <row r="469" spans="4:10" x14ac:dyDescent="0.3">
      <c r="D469" s="113"/>
      <c r="E469" s="113"/>
      <c r="F469" s="113"/>
      <c r="G469" s="113"/>
      <c r="H469" s="113"/>
      <c r="I469" s="113"/>
      <c r="J469" s="113"/>
    </row>
    <row r="470" spans="4:10" x14ac:dyDescent="0.3">
      <c r="D470" s="113"/>
      <c r="E470" s="113"/>
      <c r="F470" s="113"/>
      <c r="G470" s="113"/>
      <c r="H470" s="113"/>
      <c r="I470" s="113"/>
      <c r="J470" s="113"/>
    </row>
    <row r="471" spans="4:10" x14ac:dyDescent="0.3">
      <c r="D471" s="113"/>
      <c r="E471" s="113"/>
      <c r="F471" s="113"/>
      <c r="G471" s="113"/>
      <c r="H471" s="113"/>
      <c r="I471" s="113"/>
      <c r="J471" s="113"/>
    </row>
    <row r="472" spans="4:10" x14ac:dyDescent="0.3">
      <c r="D472" s="113"/>
      <c r="E472" s="113"/>
      <c r="F472" s="113"/>
      <c r="G472" s="113"/>
      <c r="H472" s="113"/>
      <c r="I472" s="113"/>
      <c r="J472" s="113"/>
    </row>
    <row r="473" spans="4:10" x14ac:dyDescent="0.3">
      <c r="D473" s="113"/>
      <c r="E473" s="113"/>
      <c r="F473" s="113"/>
      <c r="G473" s="113"/>
      <c r="H473" s="113"/>
      <c r="I473" s="113"/>
      <c r="J473" s="113"/>
    </row>
    <row r="474" spans="4:10" x14ac:dyDescent="0.3">
      <c r="D474" s="113"/>
      <c r="E474" s="113"/>
      <c r="F474" s="113"/>
      <c r="G474" s="113"/>
      <c r="H474" s="113"/>
      <c r="I474" s="113"/>
      <c r="J474" s="113"/>
    </row>
    <row r="475" spans="4:10" x14ac:dyDescent="0.3">
      <c r="D475" s="113"/>
      <c r="E475" s="113"/>
      <c r="F475" s="113"/>
      <c r="G475" s="113"/>
      <c r="H475" s="113"/>
      <c r="I475" s="113"/>
      <c r="J475" s="113"/>
    </row>
    <row r="476" spans="4:10" x14ac:dyDescent="0.3">
      <c r="D476" s="113"/>
      <c r="E476" s="113"/>
      <c r="F476" s="113"/>
      <c r="G476" s="113"/>
      <c r="H476" s="113"/>
      <c r="I476" s="113"/>
      <c r="J476" s="113"/>
    </row>
    <row r="477" spans="4:10" x14ac:dyDescent="0.3">
      <c r="D477" s="113"/>
      <c r="E477" s="113"/>
      <c r="F477" s="113"/>
      <c r="G477" s="113"/>
      <c r="H477" s="113"/>
      <c r="I477" s="113"/>
      <c r="J477" s="113"/>
    </row>
    <row r="478" spans="4:10" x14ac:dyDescent="0.3">
      <c r="D478" s="113"/>
      <c r="E478" s="113"/>
      <c r="F478" s="113"/>
      <c r="G478" s="113"/>
      <c r="H478" s="113"/>
      <c r="I478" s="113"/>
      <c r="J478" s="113"/>
    </row>
    <row r="479" spans="4:10" x14ac:dyDescent="0.3">
      <c r="D479" s="113"/>
      <c r="E479" s="113"/>
      <c r="F479" s="113"/>
      <c r="G479" s="113"/>
      <c r="H479" s="113"/>
      <c r="I479" s="113"/>
      <c r="J479" s="113"/>
    </row>
    <row r="480" spans="4:10" x14ac:dyDescent="0.3">
      <c r="D480" s="113"/>
      <c r="E480" s="113"/>
      <c r="F480" s="113"/>
      <c r="G480" s="113"/>
      <c r="H480" s="113"/>
      <c r="I480" s="113"/>
      <c r="J480" s="113"/>
    </row>
    <row r="481" spans="4:10" x14ac:dyDescent="0.3">
      <c r="D481" s="113"/>
      <c r="E481" s="113"/>
      <c r="F481" s="113"/>
      <c r="G481" s="113"/>
      <c r="H481" s="113"/>
      <c r="I481" s="113"/>
      <c r="J481" s="113"/>
    </row>
    <row r="482" spans="4:10" x14ac:dyDescent="0.3">
      <c r="D482" s="113"/>
      <c r="E482" s="113"/>
      <c r="F482" s="113"/>
      <c r="G482" s="113"/>
      <c r="H482" s="113"/>
      <c r="I482" s="113"/>
      <c r="J482" s="113"/>
    </row>
    <row r="483" spans="4:10" x14ac:dyDescent="0.3">
      <c r="D483" s="113"/>
      <c r="E483" s="113"/>
      <c r="F483" s="113"/>
      <c r="G483" s="113"/>
      <c r="H483" s="113"/>
      <c r="I483" s="113"/>
      <c r="J483" s="113"/>
    </row>
    <row r="484" spans="4:10" x14ac:dyDescent="0.3">
      <c r="D484" s="113"/>
      <c r="E484" s="113"/>
      <c r="F484" s="113"/>
      <c r="G484" s="113"/>
      <c r="H484" s="113"/>
      <c r="I484" s="113"/>
      <c r="J484" s="113"/>
    </row>
    <row r="485" spans="4:10" x14ac:dyDescent="0.3">
      <c r="D485" s="113"/>
      <c r="E485" s="113"/>
      <c r="F485" s="113"/>
      <c r="G485" s="113"/>
      <c r="H485" s="113"/>
      <c r="I485" s="113"/>
      <c r="J485" s="113"/>
    </row>
    <row r="486" spans="4:10" x14ac:dyDescent="0.3">
      <c r="D486" s="113"/>
      <c r="E486" s="113"/>
      <c r="F486" s="113"/>
      <c r="G486" s="113"/>
      <c r="H486" s="113"/>
      <c r="I486" s="113"/>
      <c r="J486" s="113"/>
    </row>
    <row r="487" spans="4:10" x14ac:dyDescent="0.3">
      <c r="D487" s="113"/>
      <c r="E487" s="113"/>
      <c r="F487" s="113"/>
      <c r="G487" s="113"/>
      <c r="H487" s="113"/>
      <c r="I487" s="113"/>
      <c r="J487" s="113"/>
    </row>
    <row r="488" spans="4:10" x14ac:dyDescent="0.3">
      <c r="D488" s="113"/>
      <c r="E488" s="113"/>
      <c r="F488" s="113"/>
      <c r="G488" s="113"/>
      <c r="H488" s="113"/>
      <c r="I488" s="113"/>
      <c r="J488" s="113"/>
    </row>
    <row r="489" spans="4:10" x14ac:dyDescent="0.3">
      <c r="D489" s="113"/>
      <c r="E489" s="113"/>
      <c r="F489" s="113"/>
      <c r="G489" s="113"/>
      <c r="H489" s="113"/>
      <c r="I489" s="113"/>
      <c r="J489" s="113"/>
    </row>
    <row r="490" spans="4:10" x14ac:dyDescent="0.3">
      <c r="D490" s="113"/>
      <c r="E490" s="113"/>
      <c r="F490" s="113"/>
      <c r="G490" s="113"/>
      <c r="H490" s="113"/>
      <c r="I490" s="113"/>
      <c r="J490" s="113"/>
    </row>
    <row r="491" spans="4:10" x14ac:dyDescent="0.3">
      <c r="D491" s="113"/>
      <c r="E491" s="113"/>
      <c r="F491" s="113"/>
      <c r="G491" s="113"/>
      <c r="H491" s="113"/>
      <c r="I491" s="113"/>
      <c r="J491" s="113"/>
    </row>
    <row r="492" spans="4:10" x14ac:dyDescent="0.3">
      <c r="D492" s="113"/>
      <c r="E492" s="113"/>
      <c r="F492" s="113"/>
      <c r="G492" s="113"/>
      <c r="H492" s="113"/>
      <c r="I492" s="113"/>
      <c r="J492" s="113"/>
    </row>
    <row r="493" spans="4:10" x14ac:dyDescent="0.3">
      <c r="D493" s="113"/>
      <c r="E493" s="113"/>
      <c r="F493" s="113"/>
      <c r="G493" s="113"/>
      <c r="H493" s="113"/>
      <c r="I493" s="113"/>
      <c r="J493" s="113"/>
    </row>
    <row r="494" spans="4:10" x14ac:dyDescent="0.3">
      <c r="D494" s="113"/>
      <c r="E494" s="113"/>
      <c r="F494" s="113"/>
      <c r="G494" s="113"/>
      <c r="H494" s="113"/>
      <c r="I494" s="113"/>
      <c r="J494" s="113"/>
    </row>
    <row r="495" spans="4:10" x14ac:dyDescent="0.3">
      <c r="D495" s="113"/>
      <c r="E495" s="113"/>
      <c r="F495" s="113"/>
      <c r="G495" s="113"/>
      <c r="H495" s="113"/>
      <c r="I495" s="113"/>
      <c r="J495" s="113"/>
    </row>
    <row r="496" spans="4:10" x14ac:dyDescent="0.3">
      <c r="D496" s="113"/>
      <c r="E496" s="113"/>
      <c r="F496" s="113"/>
      <c r="G496" s="113"/>
      <c r="H496" s="113"/>
      <c r="I496" s="113"/>
      <c r="J496" s="113"/>
    </row>
    <row r="497" spans="4:10" x14ac:dyDescent="0.3">
      <c r="D497" s="113"/>
      <c r="E497" s="113"/>
      <c r="F497" s="113"/>
      <c r="G497" s="113"/>
      <c r="H497" s="113"/>
      <c r="I497" s="113"/>
      <c r="J497" s="113"/>
    </row>
    <row r="498" spans="4:10" x14ac:dyDescent="0.3">
      <c r="D498" s="113"/>
      <c r="E498" s="113"/>
      <c r="F498" s="113"/>
      <c r="G498" s="113"/>
      <c r="H498" s="113"/>
      <c r="I498" s="113"/>
      <c r="J498" s="113"/>
    </row>
    <row r="499" spans="4:10" x14ac:dyDescent="0.3">
      <c r="D499" s="113"/>
      <c r="E499" s="113"/>
      <c r="F499" s="113"/>
      <c r="G499" s="113"/>
      <c r="H499" s="113"/>
      <c r="I499" s="113"/>
      <c r="J499" s="113"/>
    </row>
    <row r="500" spans="4:10" x14ac:dyDescent="0.3">
      <c r="D500" s="113"/>
      <c r="E500" s="113"/>
      <c r="F500" s="113"/>
      <c r="G500" s="113"/>
      <c r="H500" s="113"/>
      <c r="I500" s="113"/>
      <c r="J500" s="113"/>
    </row>
    <row r="501" spans="4:10" x14ac:dyDescent="0.3">
      <c r="D501" s="113"/>
      <c r="E501" s="113"/>
      <c r="F501" s="113"/>
      <c r="G501" s="113"/>
      <c r="H501" s="113"/>
      <c r="I501" s="113"/>
      <c r="J501" s="113"/>
    </row>
    <row r="502" spans="4:10" x14ac:dyDescent="0.3">
      <c r="D502" s="113"/>
      <c r="E502" s="113"/>
      <c r="F502" s="113"/>
      <c r="G502" s="113"/>
      <c r="H502" s="113"/>
      <c r="I502" s="113"/>
      <c r="J502" s="113"/>
    </row>
    <row r="503" spans="4:10" x14ac:dyDescent="0.3">
      <c r="D503" s="113"/>
      <c r="E503" s="113"/>
      <c r="F503" s="113"/>
      <c r="G503" s="113"/>
      <c r="H503" s="113"/>
      <c r="I503" s="113"/>
      <c r="J503" s="113"/>
    </row>
    <row r="504" spans="4:10" x14ac:dyDescent="0.3">
      <c r="D504" s="113"/>
      <c r="E504" s="113"/>
      <c r="F504" s="113"/>
      <c r="G504" s="113"/>
      <c r="H504" s="113"/>
      <c r="I504" s="113"/>
      <c r="J504" s="113"/>
    </row>
    <row r="505" spans="4:10" x14ac:dyDescent="0.3">
      <c r="D505" s="113"/>
      <c r="E505" s="113"/>
      <c r="F505" s="113"/>
      <c r="G505" s="113"/>
      <c r="H505" s="113"/>
      <c r="I505" s="113"/>
      <c r="J505" s="113"/>
    </row>
    <row r="506" spans="4:10" x14ac:dyDescent="0.3">
      <c r="D506" s="113"/>
      <c r="E506" s="113"/>
      <c r="F506" s="113"/>
      <c r="G506" s="113"/>
      <c r="H506" s="113"/>
      <c r="I506" s="113"/>
      <c r="J506" s="113"/>
    </row>
    <row r="507" spans="4:10" x14ac:dyDescent="0.3">
      <c r="D507" s="113"/>
      <c r="E507" s="113"/>
      <c r="F507" s="113"/>
      <c r="G507" s="113"/>
      <c r="H507" s="113"/>
      <c r="I507" s="113"/>
      <c r="J507" s="113"/>
    </row>
    <row r="508" spans="4:10" x14ac:dyDescent="0.3">
      <c r="D508" s="113"/>
      <c r="E508" s="113"/>
      <c r="F508" s="113"/>
      <c r="G508" s="113"/>
      <c r="H508" s="113"/>
      <c r="I508" s="113"/>
      <c r="J508" s="113"/>
    </row>
    <row r="509" spans="4:10" x14ac:dyDescent="0.3">
      <c r="D509" s="113"/>
      <c r="E509" s="113"/>
      <c r="F509" s="113"/>
      <c r="G509" s="113"/>
      <c r="H509" s="113"/>
      <c r="I509" s="113"/>
      <c r="J509" s="113"/>
    </row>
    <row r="510" spans="4:10" x14ac:dyDescent="0.3">
      <c r="D510" s="113"/>
      <c r="E510" s="113"/>
      <c r="F510" s="113"/>
      <c r="G510" s="113"/>
      <c r="H510" s="113"/>
      <c r="I510" s="113"/>
      <c r="J510" s="113"/>
    </row>
    <row r="511" spans="4:10" x14ac:dyDescent="0.3">
      <c r="D511" s="113"/>
      <c r="E511" s="113"/>
      <c r="F511" s="113"/>
      <c r="G511" s="113"/>
      <c r="H511" s="113"/>
      <c r="I511" s="113"/>
      <c r="J511" s="113"/>
    </row>
    <row r="512" spans="4:10" x14ac:dyDescent="0.3">
      <c r="D512" s="113"/>
      <c r="E512" s="113"/>
      <c r="F512" s="113"/>
      <c r="G512" s="113"/>
      <c r="H512" s="113"/>
      <c r="I512" s="113"/>
      <c r="J512" s="113"/>
    </row>
    <row r="513" spans="4:10" x14ac:dyDescent="0.3">
      <c r="D513" s="113"/>
      <c r="E513" s="113"/>
      <c r="F513" s="113"/>
      <c r="G513" s="113"/>
      <c r="H513" s="113"/>
      <c r="I513" s="113"/>
      <c r="J513" s="113"/>
    </row>
    <row r="514" spans="4:10" x14ac:dyDescent="0.3">
      <c r="D514" s="113"/>
      <c r="E514" s="113"/>
      <c r="F514" s="113"/>
      <c r="G514" s="113"/>
      <c r="H514" s="113"/>
      <c r="I514" s="113"/>
      <c r="J514" s="113"/>
    </row>
    <row r="515" spans="4:10" x14ac:dyDescent="0.3">
      <c r="D515" s="113"/>
      <c r="E515" s="113"/>
      <c r="F515" s="113"/>
      <c r="G515" s="113"/>
      <c r="H515" s="113"/>
      <c r="I515" s="113"/>
      <c r="J515" s="113"/>
    </row>
    <row r="516" spans="4:10" x14ac:dyDescent="0.3">
      <c r="D516" s="113"/>
      <c r="E516" s="113"/>
      <c r="F516" s="113"/>
      <c r="G516" s="113"/>
      <c r="H516" s="113"/>
      <c r="I516" s="113"/>
      <c r="J516" s="113"/>
    </row>
    <row r="517" spans="4:10" x14ac:dyDescent="0.3">
      <c r="D517" s="113"/>
      <c r="E517" s="113"/>
      <c r="F517" s="113"/>
      <c r="G517" s="113"/>
      <c r="H517" s="113"/>
      <c r="I517" s="113"/>
      <c r="J517" s="113"/>
    </row>
    <row r="518" spans="4:10" x14ac:dyDescent="0.3">
      <c r="D518" s="113"/>
      <c r="E518" s="113"/>
      <c r="F518" s="113"/>
      <c r="G518" s="113"/>
      <c r="H518" s="113"/>
      <c r="I518" s="113"/>
      <c r="J518" s="113"/>
    </row>
    <row r="519" spans="4:10" x14ac:dyDescent="0.3">
      <c r="D519" s="113"/>
      <c r="E519" s="113"/>
      <c r="F519" s="113"/>
      <c r="G519" s="113"/>
      <c r="H519" s="113"/>
      <c r="I519" s="113"/>
      <c r="J519" s="113"/>
    </row>
    <row r="520" spans="4:10" x14ac:dyDescent="0.3">
      <c r="D520" s="113"/>
      <c r="E520" s="113"/>
      <c r="F520" s="113"/>
      <c r="G520" s="113"/>
      <c r="H520" s="113"/>
      <c r="I520" s="113"/>
      <c r="J520" s="113"/>
    </row>
    <row r="521" spans="4:10" x14ac:dyDescent="0.3">
      <c r="D521" s="113"/>
      <c r="E521" s="113"/>
      <c r="F521" s="113"/>
      <c r="G521" s="113"/>
      <c r="H521" s="113"/>
      <c r="I521" s="113"/>
      <c r="J521" s="113"/>
    </row>
    <row r="522" spans="4:10" x14ac:dyDescent="0.3">
      <c r="D522" s="113"/>
      <c r="E522" s="113"/>
      <c r="F522" s="113"/>
      <c r="G522" s="113"/>
      <c r="H522" s="113"/>
      <c r="I522" s="113"/>
      <c r="J522" s="113"/>
    </row>
    <row r="523" spans="4:10" x14ac:dyDescent="0.3">
      <c r="D523" s="113"/>
      <c r="E523" s="113"/>
      <c r="F523" s="113"/>
      <c r="G523" s="113"/>
      <c r="H523" s="113"/>
      <c r="I523" s="113"/>
      <c r="J523" s="113"/>
    </row>
    <row r="524" spans="4:10" x14ac:dyDescent="0.3">
      <c r="D524" s="113"/>
      <c r="E524" s="113"/>
      <c r="F524" s="113"/>
      <c r="G524" s="113"/>
      <c r="H524" s="113"/>
      <c r="I524" s="113"/>
      <c r="J524" s="113"/>
    </row>
    <row r="525" spans="4:10" x14ac:dyDescent="0.3">
      <c r="D525" s="113"/>
      <c r="E525" s="113"/>
      <c r="F525" s="113"/>
      <c r="G525" s="113"/>
      <c r="H525" s="113"/>
      <c r="I525" s="113"/>
      <c r="J525" s="113"/>
    </row>
    <row r="526" spans="4:10" x14ac:dyDescent="0.3">
      <c r="D526" s="113"/>
      <c r="E526" s="113"/>
      <c r="F526" s="113"/>
      <c r="G526" s="113"/>
      <c r="H526" s="113"/>
      <c r="I526" s="113"/>
      <c r="J526" s="113"/>
    </row>
    <row r="527" spans="4:10" x14ac:dyDescent="0.3">
      <c r="D527" s="113"/>
      <c r="E527" s="113"/>
      <c r="F527" s="113"/>
      <c r="G527" s="113"/>
      <c r="H527" s="113"/>
      <c r="I527" s="113"/>
      <c r="J527" s="113"/>
    </row>
    <row r="528" spans="4:10" x14ac:dyDescent="0.3">
      <c r="D528" s="113"/>
      <c r="E528" s="113"/>
      <c r="F528" s="113"/>
      <c r="G528" s="113"/>
      <c r="H528" s="113"/>
      <c r="I528" s="113"/>
      <c r="J528" s="113"/>
    </row>
    <row r="529" spans="4:10" x14ac:dyDescent="0.3">
      <c r="D529" s="113"/>
      <c r="E529" s="113"/>
      <c r="F529" s="113"/>
      <c r="G529" s="113"/>
      <c r="H529" s="113"/>
      <c r="I529" s="113"/>
      <c r="J529" s="113"/>
    </row>
    <row r="530" spans="4:10" x14ac:dyDescent="0.3">
      <c r="D530" s="113"/>
      <c r="E530" s="113"/>
      <c r="F530" s="113"/>
      <c r="G530" s="113"/>
      <c r="H530" s="113"/>
      <c r="I530" s="113"/>
      <c r="J530" s="113"/>
    </row>
    <row r="531" spans="4:10" x14ac:dyDescent="0.3">
      <c r="D531" s="113"/>
      <c r="E531" s="113"/>
      <c r="F531" s="113"/>
      <c r="G531" s="113"/>
      <c r="H531" s="113"/>
      <c r="I531" s="113"/>
      <c r="J531" s="113"/>
    </row>
    <row r="532" spans="4:10" x14ac:dyDescent="0.3">
      <c r="D532" s="113"/>
      <c r="E532" s="113"/>
      <c r="F532" s="113"/>
      <c r="G532" s="113"/>
      <c r="H532" s="113"/>
      <c r="I532" s="113"/>
      <c r="J532" s="113"/>
    </row>
    <row r="533" spans="4:10" x14ac:dyDescent="0.3">
      <c r="D533" s="113"/>
      <c r="E533" s="113"/>
      <c r="F533" s="113"/>
      <c r="G533" s="113"/>
      <c r="H533" s="113"/>
      <c r="I533" s="113"/>
      <c r="J533" s="113"/>
    </row>
    <row r="534" spans="4:10" x14ac:dyDescent="0.3">
      <c r="D534" s="113"/>
      <c r="E534" s="113"/>
      <c r="F534" s="113"/>
      <c r="G534" s="113"/>
      <c r="H534" s="113"/>
      <c r="I534" s="113"/>
      <c r="J534" s="113"/>
    </row>
    <row r="535" spans="4:10" x14ac:dyDescent="0.3">
      <c r="D535" s="113"/>
      <c r="E535" s="113"/>
      <c r="F535" s="113"/>
      <c r="G535" s="113"/>
      <c r="H535" s="113"/>
      <c r="I535" s="113"/>
      <c r="J535" s="113"/>
    </row>
    <row r="536" spans="4:10" x14ac:dyDescent="0.3">
      <c r="D536" s="113"/>
      <c r="E536" s="113"/>
      <c r="F536" s="113"/>
      <c r="G536" s="113"/>
      <c r="H536" s="113"/>
      <c r="I536" s="113"/>
      <c r="J536" s="113"/>
    </row>
    <row r="537" spans="4:10" x14ac:dyDescent="0.3">
      <c r="D537" s="113"/>
      <c r="E537" s="113"/>
      <c r="F537" s="113"/>
      <c r="G537" s="113"/>
      <c r="H537" s="113"/>
      <c r="I537" s="113"/>
      <c r="J537" s="113"/>
    </row>
    <row r="538" spans="4:10" x14ac:dyDescent="0.3">
      <c r="D538" s="113"/>
      <c r="E538" s="113"/>
      <c r="F538" s="113"/>
      <c r="G538" s="113"/>
      <c r="H538" s="113"/>
      <c r="I538" s="113"/>
      <c r="J538" s="113"/>
    </row>
    <row r="539" spans="4:10" x14ac:dyDescent="0.3">
      <c r="D539" s="113"/>
      <c r="E539" s="113"/>
      <c r="F539" s="113"/>
      <c r="G539" s="113"/>
      <c r="H539" s="113"/>
      <c r="I539" s="113"/>
      <c r="J539" s="113"/>
    </row>
    <row r="540" spans="4:10" x14ac:dyDescent="0.3">
      <c r="D540" s="113"/>
      <c r="E540" s="113"/>
      <c r="F540" s="113"/>
      <c r="G540" s="113"/>
      <c r="H540" s="113"/>
      <c r="I540" s="113"/>
      <c r="J540" s="113"/>
    </row>
    <row r="541" spans="4:10" x14ac:dyDescent="0.3">
      <c r="D541" s="113"/>
      <c r="E541" s="113"/>
      <c r="F541" s="113"/>
      <c r="G541" s="113"/>
      <c r="H541" s="113"/>
      <c r="I541" s="113"/>
      <c r="J541" s="113"/>
    </row>
    <row r="542" spans="4:10" x14ac:dyDescent="0.3">
      <c r="D542" s="113"/>
      <c r="E542" s="113"/>
      <c r="F542" s="113"/>
      <c r="G542" s="113"/>
      <c r="H542" s="113"/>
      <c r="I542" s="113"/>
      <c r="J542" s="113"/>
    </row>
    <row r="543" spans="4:10" x14ac:dyDescent="0.3">
      <c r="D543" s="113"/>
      <c r="E543" s="113"/>
      <c r="F543" s="113"/>
      <c r="G543" s="113"/>
      <c r="H543" s="113"/>
      <c r="I543" s="113"/>
      <c r="J543" s="113"/>
    </row>
    <row r="544" spans="4:10" x14ac:dyDescent="0.3">
      <c r="D544" s="113"/>
      <c r="E544" s="113"/>
      <c r="F544" s="113"/>
      <c r="G544" s="113"/>
      <c r="H544" s="113"/>
      <c r="I544" s="113"/>
      <c r="J544" s="113"/>
    </row>
    <row r="545" spans="4:10" x14ac:dyDescent="0.3">
      <c r="D545" s="113"/>
      <c r="E545" s="113"/>
      <c r="F545" s="113"/>
      <c r="G545" s="113"/>
      <c r="H545" s="113"/>
      <c r="I545" s="113"/>
      <c r="J545" s="113"/>
    </row>
    <row r="546" spans="4:10" x14ac:dyDescent="0.3">
      <c r="D546" s="113"/>
      <c r="E546" s="113"/>
      <c r="F546" s="113"/>
      <c r="G546" s="113"/>
      <c r="H546" s="113"/>
      <c r="I546" s="113"/>
      <c r="J546" s="113"/>
    </row>
    <row r="547" spans="4:10" x14ac:dyDescent="0.3">
      <c r="D547" s="113"/>
      <c r="E547" s="113"/>
      <c r="F547" s="113"/>
      <c r="G547" s="113"/>
      <c r="H547" s="113"/>
      <c r="I547" s="113"/>
      <c r="J547" s="113"/>
    </row>
    <row r="548" spans="4:10" x14ac:dyDescent="0.3">
      <c r="D548" s="113"/>
      <c r="E548" s="113"/>
      <c r="F548" s="113"/>
      <c r="G548" s="113"/>
      <c r="H548" s="113"/>
      <c r="I548" s="113"/>
      <c r="J548" s="113"/>
    </row>
    <row r="549" spans="4:10" x14ac:dyDescent="0.3">
      <c r="D549" s="113"/>
      <c r="E549" s="113"/>
      <c r="F549" s="113"/>
      <c r="G549" s="113"/>
      <c r="H549" s="113"/>
      <c r="I549" s="113"/>
      <c r="J549" s="113"/>
    </row>
    <row r="550" spans="4:10" x14ac:dyDescent="0.3">
      <c r="D550" s="113"/>
      <c r="E550" s="113"/>
      <c r="F550" s="113"/>
      <c r="G550" s="113"/>
      <c r="H550" s="113"/>
      <c r="I550" s="113"/>
      <c r="J550" s="113"/>
    </row>
    <row r="551" spans="4:10" x14ac:dyDescent="0.3">
      <c r="D551" s="113"/>
      <c r="E551" s="113"/>
      <c r="F551" s="113"/>
      <c r="G551" s="113"/>
      <c r="H551" s="113"/>
      <c r="I551" s="113"/>
      <c r="J551" s="113"/>
    </row>
    <row r="552" spans="4:10" x14ac:dyDescent="0.3">
      <c r="D552" s="113"/>
      <c r="E552" s="113"/>
      <c r="F552" s="113"/>
      <c r="G552" s="113"/>
      <c r="H552" s="113"/>
      <c r="I552" s="113"/>
      <c r="J552" s="113"/>
    </row>
    <row r="553" spans="4:10" x14ac:dyDescent="0.3">
      <c r="D553" s="113"/>
      <c r="E553" s="113"/>
      <c r="F553" s="113"/>
      <c r="G553" s="113"/>
      <c r="H553" s="113"/>
      <c r="I553" s="113"/>
      <c r="J553" s="113"/>
    </row>
    <row r="554" spans="4:10" x14ac:dyDescent="0.3">
      <c r="D554" s="113"/>
      <c r="E554" s="113"/>
      <c r="F554" s="113"/>
      <c r="G554" s="113"/>
      <c r="H554" s="113"/>
      <c r="I554" s="113"/>
      <c r="J554" s="113"/>
    </row>
    <row r="555" spans="4:10" x14ac:dyDescent="0.3">
      <c r="D555" s="113"/>
      <c r="E555" s="113"/>
      <c r="F555" s="113"/>
      <c r="G555" s="113"/>
      <c r="H555" s="113"/>
      <c r="I555" s="113"/>
      <c r="J555" s="113"/>
    </row>
    <row r="556" spans="4:10" x14ac:dyDescent="0.3">
      <c r="D556" s="113"/>
      <c r="E556" s="113"/>
      <c r="F556" s="113"/>
      <c r="G556" s="113"/>
      <c r="H556" s="113"/>
      <c r="I556" s="113"/>
      <c r="J556" s="113"/>
    </row>
    <row r="557" spans="4:10" x14ac:dyDescent="0.3">
      <c r="D557" s="113"/>
      <c r="E557" s="113"/>
      <c r="F557" s="113"/>
      <c r="G557" s="113"/>
      <c r="H557" s="113"/>
      <c r="I557" s="113"/>
      <c r="J557" s="113"/>
    </row>
    <row r="558" spans="4:10" x14ac:dyDescent="0.3">
      <c r="D558" s="113"/>
      <c r="E558" s="113"/>
      <c r="F558" s="113"/>
      <c r="G558" s="113"/>
      <c r="H558" s="113"/>
      <c r="I558" s="113"/>
      <c r="J558" s="113"/>
    </row>
    <row r="559" spans="4:10" x14ac:dyDescent="0.3">
      <c r="D559" s="113"/>
      <c r="E559" s="113"/>
      <c r="F559" s="113"/>
      <c r="G559" s="113"/>
      <c r="H559" s="113"/>
      <c r="I559" s="113"/>
      <c r="J559" s="113"/>
    </row>
    <row r="560" spans="4:10" x14ac:dyDescent="0.3">
      <c r="D560" s="113"/>
      <c r="E560" s="113"/>
      <c r="F560" s="113"/>
      <c r="G560" s="113"/>
      <c r="H560" s="113"/>
      <c r="I560" s="113"/>
      <c r="J560" s="113"/>
    </row>
    <row r="561" spans="4:10" x14ac:dyDescent="0.3">
      <c r="D561" s="113"/>
      <c r="E561" s="113"/>
      <c r="F561" s="113"/>
      <c r="G561" s="113"/>
      <c r="H561" s="113"/>
      <c r="I561" s="113"/>
      <c r="J561" s="113"/>
    </row>
    <row r="562" spans="4:10" x14ac:dyDescent="0.3">
      <c r="D562" s="113"/>
      <c r="E562" s="113"/>
      <c r="F562" s="113"/>
      <c r="G562" s="113"/>
      <c r="H562" s="113"/>
      <c r="I562" s="113"/>
      <c r="J562" s="113"/>
    </row>
    <row r="563" spans="4:10" x14ac:dyDescent="0.3">
      <c r="D563" s="113"/>
      <c r="E563" s="113"/>
      <c r="F563" s="113"/>
      <c r="G563" s="113"/>
      <c r="H563" s="113"/>
      <c r="I563" s="113"/>
      <c r="J563" s="113"/>
    </row>
    <row r="564" spans="4:10" x14ac:dyDescent="0.3">
      <c r="D564" s="113"/>
      <c r="E564" s="113"/>
      <c r="F564" s="113"/>
      <c r="G564" s="113"/>
      <c r="H564" s="113"/>
      <c r="I564" s="113"/>
      <c r="J564" s="113"/>
    </row>
    <row r="565" spans="4:10" x14ac:dyDescent="0.3">
      <c r="D565" s="113"/>
      <c r="E565" s="113"/>
      <c r="F565" s="113"/>
      <c r="G565" s="113"/>
      <c r="H565" s="113"/>
      <c r="I565" s="113"/>
      <c r="J565" s="113"/>
    </row>
    <row r="566" spans="4:10" x14ac:dyDescent="0.3">
      <c r="D566" s="113"/>
      <c r="E566" s="113"/>
      <c r="F566" s="113"/>
      <c r="G566" s="113"/>
      <c r="H566" s="113"/>
      <c r="I566" s="113"/>
      <c r="J566" s="113"/>
    </row>
    <row r="567" spans="4:10" x14ac:dyDescent="0.3">
      <c r="D567" s="113"/>
      <c r="E567" s="113"/>
      <c r="F567" s="113"/>
      <c r="G567" s="113"/>
      <c r="H567" s="113"/>
      <c r="I567" s="113"/>
      <c r="J567" s="113"/>
    </row>
    <row r="568" spans="4:10" x14ac:dyDescent="0.3">
      <c r="D568" s="113"/>
      <c r="E568" s="113"/>
      <c r="F568" s="113"/>
      <c r="G568" s="113"/>
      <c r="H568" s="113"/>
      <c r="I568" s="113"/>
      <c r="J568" s="113"/>
    </row>
    <row r="569" spans="4:10" x14ac:dyDescent="0.3">
      <c r="D569" s="113"/>
      <c r="E569" s="113"/>
      <c r="F569" s="113"/>
      <c r="G569" s="113"/>
      <c r="H569" s="113"/>
      <c r="I569" s="113"/>
      <c r="J569" s="113"/>
    </row>
    <row r="570" spans="4:10" x14ac:dyDescent="0.3">
      <c r="D570" s="113"/>
      <c r="E570" s="113"/>
      <c r="F570" s="113"/>
      <c r="G570" s="113"/>
      <c r="H570" s="113"/>
      <c r="I570" s="113"/>
      <c r="J570" s="113"/>
    </row>
    <row r="571" spans="4:10" x14ac:dyDescent="0.3">
      <c r="D571" s="113"/>
      <c r="E571" s="113"/>
      <c r="F571" s="113"/>
      <c r="G571" s="113"/>
      <c r="H571" s="113"/>
      <c r="I571" s="113"/>
      <c r="J571" s="113"/>
    </row>
    <row r="572" spans="4:10" x14ac:dyDescent="0.3">
      <c r="D572" s="113"/>
      <c r="E572" s="113"/>
      <c r="F572" s="113"/>
      <c r="G572" s="113"/>
      <c r="H572" s="113"/>
      <c r="I572" s="113"/>
      <c r="J572" s="113"/>
    </row>
    <row r="573" spans="4:10" x14ac:dyDescent="0.3">
      <c r="D573" s="113"/>
      <c r="E573" s="113"/>
      <c r="F573" s="113"/>
      <c r="G573" s="113"/>
      <c r="H573" s="113"/>
      <c r="I573" s="113"/>
      <c r="J573" s="113"/>
    </row>
    <row r="574" spans="4:10" x14ac:dyDescent="0.3">
      <c r="D574" s="113"/>
      <c r="E574" s="113"/>
      <c r="F574" s="113"/>
      <c r="G574" s="113"/>
      <c r="H574" s="113"/>
      <c r="I574" s="113"/>
      <c r="J574" s="113"/>
    </row>
    <row r="575" spans="4:10" x14ac:dyDescent="0.3">
      <c r="D575" s="113"/>
      <c r="E575" s="113"/>
      <c r="F575" s="113"/>
      <c r="G575" s="113"/>
      <c r="H575" s="113"/>
      <c r="I575" s="113"/>
      <c r="J575" s="113"/>
    </row>
    <row r="576" spans="4:10" x14ac:dyDescent="0.3">
      <c r="D576" s="113"/>
      <c r="E576" s="113"/>
      <c r="F576" s="113"/>
      <c r="G576" s="113"/>
      <c r="H576" s="113"/>
      <c r="I576" s="113"/>
      <c r="J576" s="113"/>
    </row>
    <row r="577" spans="4:10" x14ac:dyDescent="0.3">
      <c r="D577" s="113"/>
      <c r="E577" s="113"/>
      <c r="F577" s="113"/>
      <c r="G577" s="113"/>
      <c r="H577" s="113"/>
      <c r="I577" s="113"/>
      <c r="J577" s="113"/>
    </row>
    <row r="578" spans="4:10" x14ac:dyDescent="0.3">
      <c r="D578" s="113"/>
      <c r="E578" s="113"/>
      <c r="F578" s="113"/>
      <c r="G578" s="113"/>
      <c r="H578" s="113"/>
      <c r="I578" s="113"/>
      <c r="J578" s="113"/>
    </row>
    <row r="579" spans="4:10" x14ac:dyDescent="0.3">
      <c r="D579" s="113"/>
      <c r="E579" s="113"/>
      <c r="F579" s="113"/>
      <c r="G579" s="113"/>
      <c r="H579" s="113"/>
      <c r="I579" s="113"/>
      <c r="J579" s="113"/>
    </row>
    <row r="580" spans="4:10" x14ac:dyDescent="0.3">
      <c r="D580" s="113"/>
      <c r="E580" s="113"/>
      <c r="F580" s="113"/>
      <c r="G580" s="113"/>
      <c r="H580" s="113"/>
      <c r="I580" s="113"/>
      <c r="J580" s="113"/>
    </row>
    <row r="581" spans="4:10" x14ac:dyDescent="0.3">
      <c r="D581" s="113"/>
      <c r="E581" s="113"/>
      <c r="F581" s="113"/>
      <c r="G581" s="113"/>
      <c r="H581" s="113"/>
      <c r="I581" s="113"/>
      <c r="J581" s="113"/>
    </row>
    <row r="582" spans="4:10" x14ac:dyDescent="0.3">
      <c r="D582" s="113"/>
      <c r="E582" s="113"/>
      <c r="F582" s="113"/>
      <c r="G582" s="113"/>
      <c r="H582" s="113"/>
      <c r="I582" s="113"/>
      <c r="J582" s="113"/>
    </row>
    <row r="583" spans="4:10" x14ac:dyDescent="0.3">
      <c r="D583" s="113"/>
      <c r="E583" s="113"/>
      <c r="F583" s="113"/>
      <c r="G583" s="113"/>
      <c r="H583" s="113"/>
      <c r="I583" s="113"/>
      <c r="J583" s="113"/>
    </row>
    <row r="584" spans="4:10" x14ac:dyDescent="0.3">
      <c r="D584" s="113"/>
      <c r="E584" s="113"/>
      <c r="F584" s="113"/>
      <c r="G584" s="113"/>
      <c r="H584" s="113"/>
      <c r="I584" s="113"/>
      <c r="J584" s="113"/>
    </row>
    <row r="585" spans="4:10" x14ac:dyDescent="0.3">
      <c r="D585" s="113"/>
      <c r="E585" s="113"/>
      <c r="F585" s="113"/>
      <c r="G585" s="113"/>
      <c r="H585" s="113"/>
      <c r="I585" s="113"/>
      <c r="J585" s="113"/>
    </row>
    <row r="586" spans="4:10" x14ac:dyDescent="0.3">
      <c r="D586" s="113"/>
      <c r="E586" s="113"/>
      <c r="F586" s="113"/>
      <c r="G586" s="113"/>
      <c r="H586" s="113"/>
      <c r="I586" s="113"/>
      <c r="J586" s="113"/>
    </row>
    <row r="587" spans="4:10" x14ac:dyDescent="0.3">
      <c r="D587" s="113"/>
      <c r="E587" s="113"/>
      <c r="F587" s="113"/>
      <c r="G587" s="113"/>
      <c r="H587" s="113"/>
      <c r="I587" s="113"/>
      <c r="J587" s="113"/>
    </row>
    <row r="588" spans="4:10" x14ac:dyDescent="0.3">
      <c r="D588" s="113"/>
      <c r="E588" s="113"/>
      <c r="F588" s="113"/>
      <c r="G588" s="113"/>
      <c r="H588" s="113"/>
      <c r="I588" s="113"/>
      <c r="J588" s="113"/>
    </row>
    <row r="589" spans="4:10" x14ac:dyDescent="0.3">
      <c r="D589" s="113"/>
      <c r="E589" s="113"/>
      <c r="F589" s="113"/>
      <c r="G589" s="113"/>
      <c r="H589" s="113"/>
      <c r="I589" s="113"/>
      <c r="J589" s="1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EAD83-04DF-4057-86F1-4A0824A0A77B}">
  <dimension ref="A1:E285"/>
  <sheetViews>
    <sheetView workbookViewId="0">
      <selection sqref="A1:E285"/>
    </sheetView>
  </sheetViews>
  <sheetFormatPr baseColWidth="10" defaultRowHeight="14.4" x14ac:dyDescent="0.3"/>
  <sheetData>
    <row r="1" spans="1:5" s="14" customFormat="1" ht="15" thickBot="1" x14ac:dyDescent="0.35">
      <c r="A1" s="8" t="s">
        <v>605</v>
      </c>
      <c r="B1" s="9" t="s">
        <v>90</v>
      </c>
      <c r="C1" s="9">
        <v>2705</v>
      </c>
      <c r="D1" s="56">
        <v>12</v>
      </c>
      <c r="E1" s="55">
        <v>2717</v>
      </c>
    </row>
    <row r="2" spans="1:5" s="14" customFormat="1" ht="15" thickBot="1" x14ac:dyDescent="0.35">
      <c r="A2" s="8" t="s">
        <v>606</v>
      </c>
      <c r="B2" s="9" t="s">
        <v>88</v>
      </c>
      <c r="C2" s="9">
        <v>0</v>
      </c>
      <c r="D2" s="56">
        <v>1</v>
      </c>
      <c r="E2" s="55">
        <v>1</v>
      </c>
    </row>
    <row r="3" spans="1:5" s="14" customFormat="1" ht="15" thickBot="1" x14ac:dyDescent="0.35">
      <c r="A3" s="8" t="s">
        <v>607</v>
      </c>
      <c r="B3" s="9" t="s">
        <v>174</v>
      </c>
      <c r="C3" s="9">
        <v>0</v>
      </c>
      <c r="D3" s="56">
        <v>0</v>
      </c>
      <c r="E3" s="55">
        <v>0</v>
      </c>
    </row>
    <row r="4" spans="1:5" s="14" customFormat="1" ht="15" thickBot="1" x14ac:dyDescent="0.35">
      <c r="A4" s="8" t="s">
        <v>608</v>
      </c>
      <c r="B4" s="9" t="s">
        <v>72</v>
      </c>
      <c r="C4" s="9">
        <v>317</v>
      </c>
      <c r="D4" s="56">
        <v>0</v>
      </c>
      <c r="E4" s="55">
        <v>317</v>
      </c>
    </row>
    <row r="5" spans="1:5" s="14" customFormat="1" ht="15" thickBot="1" x14ac:dyDescent="0.35">
      <c r="A5" s="8" t="s">
        <v>609</v>
      </c>
      <c r="B5" s="9" t="s">
        <v>70</v>
      </c>
      <c r="C5" s="9">
        <v>0</v>
      </c>
      <c r="D5" s="56">
        <v>0</v>
      </c>
      <c r="E5" s="55">
        <v>0</v>
      </c>
    </row>
    <row r="6" spans="1:5" s="14" customFormat="1" ht="15" thickBot="1" x14ac:dyDescent="0.35">
      <c r="A6" s="8" t="s">
        <v>610</v>
      </c>
      <c r="B6" s="9" t="s">
        <v>70</v>
      </c>
      <c r="C6" s="9">
        <v>8527</v>
      </c>
      <c r="D6" s="56">
        <v>1</v>
      </c>
      <c r="E6" s="55">
        <v>8528</v>
      </c>
    </row>
    <row r="7" spans="1:5" s="14" customFormat="1" ht="15" thickBot="1" x14ac:dyDescent="0.35">
      <c r="A7" s="8" t="s">
        <v>611</v>
      </c>
      <c r="B7" s="9" t="s">
        <v>146</v>
      </c>
      <c r="C7" s="9">
        <v>928</v>
      </c>
      <c r="D7" s="56">
        <v>5</v>
      </c>
      <c r="E7" s="55">
        <v>933</v>
      </c>
    </row>
    <row r="8" spans="1:5" s="14" customFormat="1" ht="15" thickBot="1" x14ac:dyDescent="0.35">
      <c r="A8" s="8" t="s">
        <v>612</v>
      </c>
      <c r="B8" s="9" t="s">
        <v>128</v>
      </c>
      <c r="C8" s="9">
        <v>572</v>
      </c>
      <c r="D8" s="56">
        <v>23</v>
      </c>
      <c r="E8" s="55">
        <v>595</v>
      </c>
    </row>
    <row r="9" spans="1:5" s="14" customFormat="1" ht="15" thickBot="1" x14ac:dyDescent="0.35">
      <c r="A9" s="8" t="s">
        <v>613</v>
      </c>
      <c r="B9" s="9" t="s">
        <v>124</v>
      </c>
      <c r="C9" s="9">
        <v>725</v>
      </c>
      <c r="D9" s="56">
        <v>46</v>
      </c>
      <c r="E9" s="55">
        <v>771</v>
      </c>
    </row>
    <row r="10" spans="1:5" s="14" customFormat="1" ht="15" thickBot="1" x14ac:dyDescent="0.35">
      <c r="A10" s="8" t="s">
        <v>614</v>
      </c>
      <c r="B10" s="9" t="s">
        <v>120</v>
      </c>
      <c r="C10" s="9">
        <v>337</v>
      </c>
      <c r="D10" s="56">
        <v>1</v>
      </c>
      <c r="E10" s="55">
        <v>338</v>
      </c>
    </row>
    <row r="11" spans="1:5" s="14" customFormat="1" ht="15" thickBot="1" x14ac:dyDescent="0.35">
      <c r="A11" s="8" t="s">
        <v>615</v>
      </c>
      <c r="B11" s="9" t="s">
        <v>122</v>
      </c>
      <c r="C11" s="9">
        <v>10085</v>
      </c>
      <c r="D11" s="56">
        <v>27</v>
      </c>
      <c r="E11" s="55">
        <v>10112</v>
      </c>
    </row>
    <row r="12" spans="1:5" s="14" customFormat="1" ht="15" thickBot="1" x14ac:dyDescent="0.35">
      <c r="A12" s="8" t="s">
        <v>616</v>
      </c>
      <c r="B12" s="9" t="s">
        <v>132</v>
      </c>
      <c r="C12" s="9">
        <v>0</v>
      </c>
      <c r="D12" s="56">
        <v>0</v>
      </c>
      <c r="E12" s="55">
        <v>0</v>
      </c>
    </row>
    <row r="13" spans="1:5" s="14" customFormat="1" ht="15" thickBot="1" x14ac:dyDescent="0.35">
      <c r="A13" s="8" t="s">
        <v>617</v>
      </c>
      <c r="B13" s="9" t="s">
        <v>44</v>
      </c>
      <c r="C13" s="9">
        <v>0</v>
      </c>
      <c r="D13" s="56">
        <v>20</v>
      </c>
      <c r="E13" s="55">
        <v>20</v>
      </c>
    </row>
    <row r="14" spans="1:5" s="14" customFormat="1" ht="15" thickBot="1" x14ac:dyDescent="0.35">
      <c r="A14" s="8" t="s">
        <v>618</v>
      </c>
      <c r="B14" s="9" t="s">
        <v>42</v>
      </c>
      <c r="C14" s="9">
        <v>23872</v>
      </c>
      <c r="D14" s="56">
        <v>72</v>
      </c>
      <c r="E14" s="55">
        <v>23944</v>
      </c>
    </row>
    <row r="15" spans="1:5" s="14" customFormat="1" ht="15" thickBot="1" x14ac:dyDescent="0.35">
      <c r="A15" s="8" t="s">
        <v>619</v>
      </c>
      <c r="B15" s="9" t="s">
        <v>144</v>
      </c>
      <c r="C15" s="9">
        <v>0</v>
      </c>
      <c r="D15" s="56">
        <v>0</v>
      </c>
      <c r="E15" s="55">
        <v>0</v>
      </c>
    </row>
    <row r="16" spans="1:5" s="14" customFormat="1" ht="15" thickBot="1" x14ac:dyDescent="0.35">
      <c r="A16" s="8" t="s">
        <v>620</v>
      </c>
      <c r="B16" s="9" t="s">
        <v>142</v>
      </c>
      <c r="C16" s="9">
        <v>575</v>
      </c>
      <c r="D16" s="56">
        <v>1</v>
      </c>
      <c r="E16" s="55">
        <v>576</v>
      </c>
    </row>
    <row r="17" spans="1:5" s="14" customFormat="1" ht="15" thickBot="1" x14ac:dyDescent="0.35">
      <c r="A17" s="8" t="s">
        <v>621</v>
      </c>
      <c r="B17" s="9" t="s">
        <v>140</v>
      </c>
      <c r="C17" s="9">
        <v>44</v>
      </c>
      <c r="D17" s="56">
        <v>0</v>
      </c>
      <c r="E17" s="55">
        <v>44</v>
      </c>
    </row>
    <row r="18" spans="1:5" s="14" customFormat="1" ht="15" thickBot="1" x14ac:dyDescent="0.35">
      <c r="A18" s="8" t="s">
        <v>622</v>
      </c>
      <c r="B18" s="9" t="s">
        <v>136</v>
      </c>
      <c r="C18" s="9">
        <v>89</v>
      </c>
      <c r="D18" s="56">
        <v>1</v>
      </c>
      <c r="E18" s="55">
        <v>90</v>
      </c>
    </row>
    <row r="19" spans="1:5" s="14" customFormat="1" ht="15" thickBot="1" x14ac:dyDescent="0.35">
      <c r="A19" s="8" t="s">
        <v>623</v>
      </c>
      <c r="B19" s="9" t="s">
        <v>30</v>
      </c>
      <c r="C19" s="9">
        <v>199</v>
      </c>
      <c r="D19" s="56">
        <v>9</v>
      </c>
      <c r="E19" s="55">
        <v>208</v>
      </c>
    </row>
    <row r="20" spans="1:5" s="14" customFormat="1" ht="15" thickBot="1" x14ac:dyDescent="0.35">
      <c r="A20" s="8" t="s">
        <v>624</v>
      </c>
      <c r="B20" s="9" t="s">
        <v>32</v>
      </c>
      <c r="C20" s="9">
        <v>408</v>
      </c>
      <c r="D20" s="56">
        <v>0</v>
      </c>
      <c r="E20" s="55">
        <v>408</v>
      </c>
    </row>
    <row r="21" spans="1:5" s="14" customFormat="1" ht="15" thickBot="1" x14ac:dyDescent="0.35">
      <c r="A21" s="8" t="s">
        <v>625</v>
      </c>
      <c r="B21" s="9" t="s">
        <v>36</v>
      </c>
      <c r="C21" s="9">
        <v>365</v>
      </c>
      <c r="D21" s="56">
        <v>29</v>
      </c>
      <c r="E21" s="55">
        <v>394</v>
      </c>
    </row>
    <row r="22" spans="1:5" s="14" customFormat="1" ht="15" thickBot="1" x14ac:dyDescent="0.35">
      <c r="A22" s="8" t="s">
        <v>626</v>
      </c>
      <c r="B22" s="9" t="s">
        <v>34</v>
      </c>
      <c r="C22" s="9">
        <v>14</v>
      </c>
      <c r="D22" s="56">
        <v>0</v>
      </c>
      <c r="E22" s="55">
        <v>14</v>
      </c>
    </row>
    <row r="23" spans="1:5" s="14" customFormat="1" ht="15" thickBot="1" x14ac:dyDescent="0.35">
      <c r="A23" s="8" t="s">
        <v>627</v>
      </c>
      <c r="B23" s="9" t="s">
        <v>38</v>
      </c>
      <c r="C23" s="9">
        <v>48</v>
      </c>
      <c r="D23" s="56">
        <v>0</v>
      </c>
      <c r="E23" s="55">
        <v>48</v>
      </c>
    </row>
    <row r="24" spans="1:5" s="14" customFormat="1" ht="15" thickBot="1" x14ac:dyDescent="0.35">
      <c r="A24" s="8" t="s">
        <v>628</v>
      </c>
      <c r="B24" s="9" t="s">
        <v>40</v>
      </c>
      <c r="C24" s="9">
        <v>40</v>
      </c>
      <c r="D24" s="56">
        <v>1</v>
      </c>
      <c r="E24" s="55">
        <v>41</v>
      </c>
    </row>
    <row r="25" spans="1:5" s="14" customFormat="1" ht="15" thickBot="1" x14ac:dyDescent="0.35">
      <c r="A25" s="8" t="s">
        <v>629</v>
      </c>
      <c r="B25" s="9" t="s">
        <v>179</v>
      </c>
      <c r="C25" s="9">
        <v>0</v>
      </c>
      <c r="D25" s="56">
        <v>0</v>
      </c>
      <c r="E25" s="55">
        <v>0</v>
      </c>
    </row>
    <row r="26" spans="1:5" s="14" customFormat="1" ht="15" thickBot="1" x14ac:dyDescent="0.35">
      <c r="A26" s="8" t="s">
        <v>630</v>
      </c>
      <c r="B26" s="9" t="s">
        <v>54</v>
      </c>
      <c r="C26" s="9">
        <v>0</v>
      </c>
      <c r="D26" s="56">
        <v>0</v>
      </c>
      <c r="E26" s="55">
        <v>0</v>
      </c>
    </row>
    <row r="27" spans="1:5" s="14" customFormat="1" ht="15" thickBot="1" x14ac:dyDescent="0.35">
      <c r="A27" s="8" t="s">
        <v>631</v>
      </c>
      <c r="B27" s="9" t="s">
        <v>106</v>
      </c>
      <c r="C27" s="9">
        <v>48</v>
      </c>
      <c r="D27" s="56">
        <v>0</v>
      </c>
      <c r="E27" s="55">
        <v>48</v>
      </c>
    </row>
    <row r="28" spans="1:5" s="14" customFormat="1" ht="15" thickBot="1" x14ac:dyDescent="0.35">
      <c r="A28" s="8" t="s">
        <v>632</v>
      </c>
      <c r="B28" s="9" t="s">
        <v>114</v>
      </c>
      <c r="C28" s="9">
        <v>1563</v>
      </c>
      <c r="D28" s="56">
        <v>28</v>
      </c>
      <c r="E28" s="55">
        <v>1591</v>
      </c>
    </row>
    <row r="29" spans="1:5" s="14" customFormat="1" ht="15" thickBot="1" x14ac:dyDescent="0.35">
      <c r="A29" s="8" t="s">
        <v>633</v>
      </c>
      <c r="B29" s="9" t="s">
        <v>118</v>
      </c>
      <c r="C29" s="9">
        <v>963</v>
      </c>
      <c r="D29" s="56">
        <v>1</v>
      </c>
      <c r="E29" s="55">
        <v>964</v>
      </c>
    </row>
    <row r="30" spans="1:5" s="14" customFormat="1" ht="15" thickBot="1" x14ac:dyDescent="0.35">
      <c r="A30" s="8" t="s">
        <v>634</v>
      </c>
      <c r="B30" s="9" t="s">
        <v>68</v>
      </c>
      <c r="C30" s="9">
        <v>90</v>
      </c>
      <c r="D30" s="56">
        <v>0</v>
      </c>
      <c r="E30" s="55">
        <v>90</v>
      </c>
    </row>
    <row r="31" spans="1:5" s="14" customFormat="1" ht="15" thickBot="1" x14ac:dyDescent="0.35">
      <c r="A31" s="8" t="s">
        <v>635</v>
      </c>
      <c r="B31" s="9" t="s">
        <v>58</v>
      </c>
      <c r="C31" s="9">
        <v>1047</v>
      </c>
      <c r="D31" s="56">
        <v>0</v>
      </c>
      <c r="E31" s="55">
        <v>1047</v>
      </c>
    </row>
    <row r="32" spans="1:5" s="14" customFormat="1" ht="15" thickBot="1" x14ac:dyDescent="0.35">
      <c r="A32" s="8" t="s">
        <v>636</v>
      </c>
      <c r="B32" s="9" t="s">
        <v>104</v>
      </c>
      <c r="C32" s="9">
        <v>5</v>
      </c>
      <c r="D32" s="56">
        <v>0</v>
      </c>
      <c r="E32" s="55">
        <v>5</v>
      </c>
    </row>
    <row r="33" spans="1:5" s="14" customFormat="1" ht="15" thickBot="1" x14ac:dyDescent="0.35">
      <c r="A33" s="8" t="s">
        <v>637</v>
      </c>
      <c r="B33" s="9" t="s">
        <v>102</v>
      </c>
      <c r="C33" s="9">
        <v>0</v>
      </c>
      <c r="D33" s="56">
        <v>0</v>
      </c>
      <c r="E33" s="55">
        <v>0</v>
      </c>
    </row>
    <row r="34" spans="1:5" s="14" customFormat="1" ht="15" thickBot="1" x14ac:dyDescent="0.35">
      <c r="A34" s="8" t="s">
        <v>638</v>
      </c>
      <c r="B34" s="9" t="s">
        <v>100</v>
      </c>
      <c r="C34" s="9">
        <v>152</v>
      </c>
      <c r="D34" s="56">
        <v>58</v>
      </c>
      <c r="E34" s="55">
        <v>210</v>
      </c>
    </row>
    <row r="35" spans="1:5" s="14" customFormat="1" ht="15" thickBot="1" x14ac:dyDescent="0.35">
      <c r="A35" s="8" t="s">
        <v>639</v>
      </c>
      <c r="B35" s="9" t="s">
        <v>98</v>
      </c>
      <c r="C35" s="9">
        <v>14</v>
      </c>
      <c r="D35" s="56">
        <v>0</v>
      </c>
      <c r="E35" s="55">
        <v>14</v>
      </c>
    </row>
    <row r="36" spans="1:5" s="14" customFormat="1" ht="15" thickBot="1" x14ac:dyDescent="0.35">
      <c r="A36" s="8" t="s">
        <v>640</v>
      </c>
      <c r="B36" s="9" t="s">
        <v>116</v>
      </c>
      <c r="C36" s="9">
        <v>90</v>
      </c>
      <c r="D36" s="56">
        <v>0</v>
      </c>
      <c r="E36" s="55">
        <v>90</v>
      </c>
    </row>
    <row r="37" spans="1:5" s="14" customFormat="1" ht="15" thickBot="1" x14ac:dyDescent="0.35">
      <c r="A37" s="8" t="s">
        <v>641</v>
      </c>
      <c r="B37" s="9" t="s">
        <v>154</v>
      </c>
      <c r="C37" s="9">
        <v>588</v>
      </c>
      <c r="D37" s="56">
        <v>0</v>
      </c>
      <c r="E37" s="55">
        <v>588</v>
      </c>
    </row>
    <row r="38" spans="1:5" s="14" customFormat="1" ht="15" thickBot="1" x14ac:dyDescent="0.35">
      <c r="A38" s="8" t="s">
        <v>642</v>
      </c>
      <c r="B38" s="9" t="s">
        <v>150</v>
      </c>
      <c r="C38" s="9">
        <v>0</v>
      </c>
      <c r="D38" s="56">
        <v>1</v>
      </c>
      <c r="E38" s="55">
        <v>1</v>
      </c>
    </row>
    <row r="39" spans="1:5" s="14" customFormat="1" ht="15" thickBot="1" x14ac:dyDescent="0.35">
      <c r="A39" s="8" t="s">
        <v>643</v>
      </c>
      <c r="B39" s="9" t="s">
        <v>152</v>
      </c>
      <c r="C39" s="9">
        <v>1</v>
      </c>
      <c r="D39" s="56">
        <v>0</v>
      </c>
      <c r="E39" s="55">
        <v>1</v>
      </c>
    </row>
    <row r="40" spans="1:5" s="14" customFormat="1" ht="15" thickBot="1" x14ac:dyDescent="0.35">
      <c r="A40" s="8" t="s">
        <v>644</v>
      </c>
      <c r="B40" s="9" t="s">
        <v>56</v>
      </c>
      <c r="C40" s="9">
        <v>417</v>
      </c>
      <c r="D40" s="56">
        <v>3</v>
      </c>
      <c r="E40" s="55">
        <v>420</v>
      </c>
    </row>
    <row r="41" spans="1:5" s="14" customFormat="1" ht="15" thickBot="1" x14ac:dyDescent="0.35">
      <c r="A41" s="8" t="s">
        <v>645</v>
      </c>
      <c r="B41" s="9" t="s">
        <v>62</v>
      </c>
      <c r="C41" s="9">
        <v>6043</v>
      </c>
      <c r="D41" s="56">
        <v>419</v>
      </c>
      <c r="E41" s="55">
        <v>6462</v>
      </c>
    </row>
    <row r="42" spans="1:5" s="14" customFormat="1" ht="15" thickBot="1" x14ac:dyDescent="0.35">
      <c r="A42" s="8" t="s">
        <v>646</v>
      </c>
      <c r="B42" s="9" t="s">
        <v>138</v>
      </c>
      <c r="C42" s="9">
        <v>44</v>
      </c>
      <c r="D42" s="56">
        <v>0</v>
      </c>
      <c r="E42" s="55">
        <v>44</v>
      </c>
    </row>
    <row r="43" spans="1:5" s="14" customFormat="1" ht="15" thickBot="1" x14ac:dyDescent="0.35">
      <c r="A43" s="8" t="s">
        <v>647</v>
      </c>
      <c r="B43" s="9" t="s">
        <v>134</v>
      </c>
      <c r="C43" s="9">
        <v>40</v>
      </c>
      <c r="D43" s="56">
        <v>0</v>
      </c>
      <c r="E43" s="55">
        <v>40</v>
      </c>
    </row>
    <row r="44" spans="1:5" s="14" customFormat="1" ht="15" thickBot="1" x14ac:dyDescent="0.35">
      <c r="A44" s="8" t="s">
        <v>648</v>
      </c>
      <c r="B44" s="9" t="s">
        <v>110</v>
      </c>
      <c r="C44" s="9">
        <v>60</v>
      </c>
      <c r="D44" s="56">
        <v>0</v>
      </c>
      <c r="E44" s="55">
        <v>60</v>
      </c>
    </row>
    <row r="45" spans="1:5" s="14" customFormat="1" ht="15" thickBot="1" x14ac:dyDescent="0.35">
      <c r="A45" s="8" t="s">
        <v>649</v>
      </c>
      <c r="B45" s="9" t="s">
        <v>108</v>
      </c>
      <c r="C45" s="9">
        <v>84</v>
      </c>
      <c r="D45" s="56">
        <v>0</v>
      </c>
      <c r="E45" s="55">
        <v>84</v>
      </c>
    </row>
    <row r="46" spans="1:5" s="14" customFormat="1" ht="15" thickBot="1" x14ac:dyDescent="0.35">
      <c r="A46" s="8" t="s">
        <v>650</v>
      </c>
      <c r="B46" s="9" t="s">
        <v>164</v>
      </c>
      <c r="C46" s="9">
        <v>102</v>
      </c>
      <c r="D46" s="56">
        <v>0</v>
      </c>
      <c r="E46" s="55">
        <v>102</v>
      </c>
    </row>
    <row r="47" spans="1:5" s="14" customFormat="1" ht="15" thickBot="1" x14ac:dyDescent="0.35">
      <c r="A47" s="8" t="s">
        <v>651</v>
      </c>
      <c r="B47" s="9" t="s">
        <v>158</v>
      </c>
      <c r="C47" s="9">
        <v>397</v>
      </c>
      <c r="D47" s="56">
        <v>0</v>
      </c>
      <c r="E47" s="55">
        <v>397</v>
      </c>
    </row>
    <row r="48" spans="1:5" s="14" customFormat="1" ht="15" thickBot="1" x14ac:dyDescent="0.35">
      <c r="A48" s="8" t="s">
        <v>652</v>
      </c>
      <c r="B48" s="9" t="s">
        <v>126</v>
      </c>
      <c r="C48" s="9">
        <v>1147</v>
      </c>
      <c r="D48" s="56">
        <v>3</v>
      </c>
      <c r="E48" s="55">
        <v>1150</v>
      </c>
    </row>
    <row r="49" spans="1:5" s="14" customFormat="1" ht="15" thickBot="1" x14ac:dyDescent="0.35">
      <c r="A49" s="8" t="s">
        <v>653</v>
      </c>
      <c r="B49" s="9" t="s">
        <v>130</v>
      </c>
      <c r="C49" s="9">
        <v>1567</v>
      </c>
      <c r="D49" s="56">
        <v>0</v>
      </c>
      <c r="E49" s="55">
        <v>1567</v>
      </c>
    </row>
    <row r="50" spans="1:5" s="14" customFormat="1" ht="15" thickBot="1" x14ac:dyDescent="0.35">
      <c r="A50" s="8" t="s">
        <v>654</v>
      </c>
      <c r="B50" s="9" t="s">
        <v>76</v>
      </c>
      <c r="C50" s="9">
        <v>23</v>
      </c>
      <c r="D50" s="56">
        <v>37</v>
      </c>
      <c r="E50" s="55">
        <v>60</v>
      </c>
    </row>
    <row r="51" spans="1:5" s="14" customFormat="1" ht="15" thickBot="1" x14ac:dyDescent="0.35">
      <c r="A51" s="8" t="s">
        <v>655</v>
      </c>
      <c r="B51" s="9" t="s">
        <v>78</v>
      </c>
      <c r="C51" s="9">
        <v>54382</v>
      </c>
      <c r="D51" s="56">
        <v>50</v>
      </c>
      <c r="E51" s="55">
        <v>54432</v>
      </c>
    </row>
    <row r="52" spans="1:5" s="14" customFormat="1" ht="15" thickBot="1" x14ac:dyDescent="0.35">
      <c r="A52" s="8" t="s">
        <v>656</v>
      </c>
      <c r="B52" s="9" t="s">
        <v>84</v>
      </c>
      <c r="C52" s="9">
        <v>0</v>
      </c>
      <c r="D52" s="56">
        <v>0</v>
      </c>
      <c r="E52" s="55">
        <v>0</v>
      </c>
    </row>
    <row r="53" spans="1:5" s="14" customFormat="1" ht="15" thickBot="1" x14ac:dyDescent="0.35">
      <c r="A53" s="8" t="s">
        <v>657</v>
      </c>
      <c r="B53" s="9" t="s">
        <v>60</v>
      </c>
      <c r="C53" s="9">
        <v>290</v>
      </c>
      <c r="D53" s="56">
        <v>0</v>
      </c>
      <c r="E53" s="55">
        <v>290</v>
      </c>
    </row>
    <row r="54" spans="1:5" s="14" customFormat="1" ht="15" thickBot="1" x14ac:dyDescent="0.35">
      <c r="A54" s="8" t="s">
        <v>658</v>
      </c>
      <c r="B54" s="9" t="s">
        <v>52</v>
      </c>
      <c r="C54" s="9">
        <v>48</v>
      </c>
      <c r="D54" s="56">
        <v>0</v>
      </c>
      <c r="E54" s="55">
        <v>48</v>
      </c>
    </row>
    <row r="55" spans="1:5" s="14" customFormat="1" ht="15" thickBot="1" x14ac:dyDescent="0.35">
      <c r="A55" s="8" t="s">
        <v>659</v>
      </c>
      <c r="B55" s="9" t="s">
        <v>92</v>
      </c>
      <c r="C55" s="9">
        <v>2933</v>
      </c>
      <c r="D55" s="56">
        <v>68</v>
      </c>
      <c r="E55" s="55">
        <v>3001</v>
      </c>
    </row>
    <row r="56" spans="1:5" s="14" customFormat="1" ht="15" thickBot="1" x14ac:dyDescent="0.35">
      <c r="A56" s="8" t="s">
        <v>660</v>
      </c>
      <c r="B56" s="9" t="s">
        <v>112</v>
      </c>
      <c r="C56" s="9">
        <v>6956</v>
      </c>
      <c r="D56" s="56">
        <v>40</v>
      </c>
      <c r="E56" s="55">
        <v>6996</v>
      </c>
    </row>
    <row r="57" spans="1:5" s="14" customFormat="1" ht="15" thickBot="1" x14ac:dyDescent="0.35">
      <c r="A57" s="8" t="s">
        <v>661</v>
      </c>
      <c r="B57" s="9" t="s">
        <v>148</v>
      </c>
      <c r="C57" s="9">
        <v>545</v>
      </c>
      <c r="D57" s="56">
        <v>46</v>
      </c>
      <c r="E57" s="55">
        <v>591</v>
      </c>
    </row>
    <row r="58" spans="1:5" s="14" customFormat="1" ht="15" thickBot="1" x14ac:dyDescent="0.35">
      <c r="A58" s="8" t="s">
        <v>662</v>
      </c>
      <c r="B58" s="9" t="s">
        <v>156</v>
      </c>
      <c r="C58" s="9">
        <v>8</v>
      </c>
      <c r="D58" s="56">
        <v>26</v>
      </c>
      <c r="E58" s="55">
        <v>34</v>
      </c>
    </row>
    <row r="59" spans="1:5" s="14" customFormat="1" ht="15" thickBot="1" x14ac:dyDescent="0.35">
      <c r="A59" s="8" t="s">
        <v>663</v>
      </c>
      <c r="B59" s="9" t="s">
        <v>94</v>
      </c>
      <c r="C59" s="9">
        <v>0</v>
      </c>
      <c r="D59" s="56">
        <v>56</v>
      </c>
      <c r="E59" s="55">
        <v>56</v>
      </c>
    </row>
    <row r="60" spans="1:5" s="14" customFormat="1" ht="15" thickBot="1" x14ac:dyDescent="0.35">
      <c r="A60" s="8" t="s">
        <v>664</v>
      </c>
      <c r="B60" s="9" t="s">
        <v>64</v>
      </c>
      <c r="C60" s="9">
        <v>550</v>
      </c>
      <c r="D60" s="56">
        <v>3</v>
      </c>
      <c r="E60" s="55">
        <v>553</v>
      </c>
    </row>
    <row r="61" spans="1:5" s="14" customFormat="1" ht="15" thickBot="1" x14ac:dyDescent="0.35">
      <c r="A61" s="8" t="s">
        <v>665</v>
      </c>
      <c r="B61" s="9" t="s">
        <v>66</v>
      </c>
      <c r="C61" s="9">
        <v>552</v>
      </c>
      <c r="D61" s="56">
        <v>0</v>
      </c>
      <c r="E61" s="55">
        <v>552</v>
      </c>
    </row>
    <row r="62" spans="1:5" s="14" customFormat="1" ht="15" thickBot="1" x14ac:dyDescent="0.35">
      <c r="A62" s="8" t="s">
        <v>666</v>
      </c>
      <c r="B62" s="9" t="s">
        <v>182</v>
      </c>
      <c r="C62" s="9">
        <v>0</v>
      </c>
      <c r="D62" s="56">
        <v>66</v>
      </c>
      <c r="E62" s="55">
        <v>66</v>
      </c>
    </row>
    <row r="63" spans="1:5" s="14" customFormat="1" ht="15" thickBot="1" x14ac:dyDescent="0.35">
      <c r="A63" s="8" t="s">
        <v>667</v>
      </c>
      <c r="B63" s="9" t="s">
        <v>82</v>
      </c>
      <c r="C63" s="9">
        <v>-18</v>
      </c>
      <c r="D63" s="56">
        <v>154</v>
      </c>
      <c r="E63" s="55">
        <v>136</v>
      </c>
    </row>
    <row r="64" spans="1:5" s="14" customFormat="1" ht="15" thickBot="1" x14ac:dyDescent="0.35">
      <c r="A64" s="8" t="s">
        <v>668</v>
      </c>
      <c r="B64" s="9" t="s">
        <v>46</v>
      </c>
      <c r="C64" s="9">
        <v>52</v>
      </c>
      <c r="D64" s="56">
        <v>0</v>
      </c>
      <c r="E64" s="55">
        <v>52</v>
      </c>
    </row>
    <row r="65" spans="1:5" s="14" customFormat="1" ht="15" thickBot="1" x14ac:dyDescent="0.35">
      <c r="A65" s="8" t="s">
        <v>669</v>
      </c>
      <c r="B65" s="9" t="s">
        <v>48</v>
      </c>
      <c r="C65" s="9">
        <v>60</v>
      </c>
      <c r="D65" s="56">
        <v>0</v>
      </c>
      <c r="E65" s="55">
        <v>60</v>
      </c>
    </row>
    <row r="66" spans="1:5" s="14" customFormat="1" ht="15" thickBot="1" x14ac:dyDescent="0.35">
      <c r="A66" s="8" t="s">
        <v>670</v>
      </c>
      <c r="B66" s="9" t="s">
        <v>74</v>
      </c>
      <c r="C66" s="9">
        <v>25</v>
      </c>
      <c r="D66" s="56">
        <v>0</v>
      </c>
      <c r="E66" s="55">
        <v>25</v>
      </c>
    </row>
    <row r="67" spans="1:5" s="14" customFormat="1" ht="15" thickBot="1" x14ac:dyDescent="0.35">
      <c r="A67" s="8" t="s">
        <v>671</v>
      </c>
      <c r="B67" s="9" t="s">
        <v>184</v>
      </c>
      <c r="C67" s="9">
        <v>960</v>
      </c>
      <c r="D67" s="56">
        <v>0</v>
      </c>
      <c r="E67" s="55">
        <v>960</v>
      </c>
    </row>
    <row r="68" spans="1:5" s="14" customFormat="1" ht="15" thickBot="1" x14ac:dyDescent="0.35">
      <c r="A68" s="8" t="s">
        <v>672</v>
      </c>
      <c r="B68" s="9" t="s">
        <v>50</v>
      </c>
      <c r="C68" s="9">
        <v>156</v>
      </c>
      <c r="D68" s="56">
        <v>0</v>
      </c>
      <c r="E68" s="55">
        <v>156</v>
      </c>
    </row>
    <row r="69" spans="1:5" s="14" customFormat="1" ht="15" thickBot="1" x14ac:dyDescent="0.35">
      <c r="A69" s="8" t="s">
        <v>673</v>
      </c>
      <c r="B69" s="9" t="s">
        <v>96</v>
      </c>
      <c r="C69" s="9">
        <v>149</v>
      </c>
      <c r="D69" s="56">
        <v>3</v>
      </c>
      <c r="E69" s="55">
        <v>152</v>
      </c>
    </row>
    <row r="70" spans="1:5" s="14" customFormat="1" ht="15" thickBot="1" x14ac:dyDescent="0.35">
      <c r="A70" s="8" t="s">
        <v>674</v>
      </c>
      <c r="B70" s="9" t="s">
        <v>80</v>
      </c>
      <c r="C70" s="9">
        <v>0</v>
      </c>
      <c r="D70" s="56">
        <v>19</v>
      </c>
      <c r="E70" s="55">
        <v>19</v>
      </c>
    </row>
    <row r="71" spans="1:5" s="14" customFormat="1" ht="15" thickBot="1" x14ac:dyDescent="0.35">
      <c r="A71" s="8" t="s">
        <v>675</v>
      </c>
      <c r="B71" s="9" t="s">
        <v>86</v>
      </c>
      <c r="C71" s="9">
        <v>36037</v>
      </c>
      <c r="D71" s="56">
        <v>57</v>
      </c>
      <c r="E71" s="55">
        <v>36094</v>
      </c>
    </row>
    <row r="72" spans="1:5" s="14" customFormat="1" ht="15" thickBot="1" x14ac:dyDescent="0.35">
      <c r="A72" s="8" t="s">
        <v>676</v>
      </c>
      <c r="B72" s="9" t="s">
        <v>160</v>
      </c>
      <c r="C72" s="9">
        <v>18</v>
      </c>
      <c r="D72" s="56">
        <v>0</v>
      </c>
      <c r="E72" s="55">
        <v>18</v>
      </c>
    </row>
    <row r="73" spans="1:5" s="14" customFormat="1" ht="15" thickBot="1" x14ac:dyDescent="0.35">
      <c r="A73" s="8" t="s">
        <v>677</v>
      </c>
      <c r="B73" s="9" t="s">
        <v>162</v>
      </c>
      <c r="C73" s="9">
        <v>0</v>
      </c>
      <c r="D73" s="56">
        <v>0</v>
      </c>
      <c r="E73" s="55">
        <v>0</v>
      </c>
    </row>
    <row r="74" spans="1:5" s="14" customFormat="1" ht="15" thickBot="1" x14ac:dyDescent="0.35">
      <c r="A74" s="8" t="s">
        <v>678</v>
      </c>
      <c r="B74" s="9" t="s">
        <v>186</v>
      </c>
      <c r="C74" s="9">
        <v>0</v>
      </c>
      <c r="D74" s="56">
        <v>24</v>
      </c>
      <c r="E74" s="55">
        <v>24</v>
      </c>
    </row>
    <row r="75" spans="1:5" s="14" customFormat="1" ht="15" thickBot="1" x14ac:dyDescent="0.35">
      <c r="A75" s="8" t="s">
        <v>679</v>
      </c>
      <c r="B75" s="9" t="s">
        <v>189</v>
      </c>
      <c r="C75" s="9">
        <v>0</v>
      </c>
      <c r="D75" s="56">
        <v>24</v>
      </c>
      <c r="E75" s="55">
        <v>24</v>
      </c>
    </row>
    <row r="76" spans="1:5" s="14" customFormat="1" ht="15" thickBot="1" x14ac:dyDescent="0.35">
      <c r="A76" s="8" t="s">
        <v>680</v>
      </c>
      <c r="B76" s="9" t="s">
        <v>191</v>
      </c>
      <c r="C76" s="9">
        <v>120</v>
      </c>
      <c r="D76" s="56">
        <v>24</v>
      </c>
      <c r="E76" s="55">
        <v>144</v>
      </c>
    </row>
    <row r="77" spans="1:5" s="14" customFormat="1" ht="15" thickBot="1" x14ac:dyDescent="0.35">
      <c r="A77" s="8" t="s">
        <v>681</v>
      </c>
      <c r="B77" s="9" t="s">
        <v>193</v>
      </c>
      <c r="C77" s="9">
        <v>0</v>
      </c>
      <c r="D77" s="56">
        <v>24</v>
      </c>
      <c r="E77" s="55">
        <v>24</v>
      </c>
    </row>
    <row r="78" spans="1:5" s="14" customFormat="1" ht="15" thickBot="1" x14ac:dyDescent="0.35">
      <c r="A78" s="8" t="s">
        <v>682</v>
      </c>
      <c r="B78" s="9" t="s">
        <v>195</v>
      </c>
      <c r="C78" s="9">
        <v>0</v>
      </c>
      <c r="D78" s="56">
        <v>24</v>
      </c>
      <c r="E78" s="55">
        <v>24</v>
      </c>
    </row>
    <row r="79" spans="1:5" s="14" customFormat="1" ht="15" thickBot="1" x14ac:dyDescent="0.35">
      <c r="A79" s="8" t="s">
        <v>683</v>
      </c>
      <c r="B79" s="9" t="s">
        <v>197</v>
      </c>
      <c r="C79" s="9">
        <v>48</v>
      </c>
      <c r="D79" s="56">
        <v>24</v>
      </c>
      <c r="E79" s="55">
        <v>72</v>
      </c>
    </row>
    <row r="80" spans="1:5" s="14" customFormat="1" ht="15" thickBot="1" x14ac:dyDescent="0.35">
      <c r="A80" s="8" t="s">
        <v>684</v>
      </c>
      <c r="B80" s="9" t="s">
        <v>199</v>
      </c>
      <c r="C80" s="9">
        <v>0</v>
      </c>
      <c r="D80" s="56">
        <v>552</v>
      </c>
      <c r="E80" s="55">
        <v>552</v>
      </c>
    </row>
    <row r="81" spans="1:5" s="14" customFormat="1" ht="15" thickBot="1" x14ac:dyDescent="0.35">
      <c r="A81" s="8" t="s">
        <v>685</v>
      </c>
      <c r="B81" s="9" t="s">
        <v>201</v>
      </c>
      <c r="C81" s="9">
        <v>0</v>
      </c>
      <c r="D81" s="56">
        <v>24</v>
      </c>
      <c r="E81" s="55">
        <v>24</v>
      </c>
    </row>
    <row r="82" spans="1:5" s="14" customFormat="1" ht="15" thickBot="1" x14ac:dyDescent="0.35">
      <c r="A82" s="8" t="s">
        <v>686</v>
      </c>
      <c r="B82" s="9" t="s">
        <v>203</v>
      </c>
      <c r="C82" s="9">
        <v>1704</v>
      </c>
      <c r="D82" s="56">
        <v>24</v>
      </c>
      <c r="E82" s="55">
        <v>1728</v>
      </c>
    </row>
    <row r="83" spans="1:5" s="14" customFormat="1" ht="15" thickBot="1" x14ac:dyDescent="0.35">
      <c r="A83" s="8" t="s">
        <v>687</v>
      </c>
      <c r="B83" s="9" t="s">
        <v>205</v>
      </c>
      <c r="C83" s="9">
        <v>480</v>
      </c>
      <c r="D83" s="56">
        <v>24</v>
      </c>
      <c r="E83" s="55">
        <v>504</v>
      </c>
    </row>
    <row r="84" spans="1:5" s="14" customFormat="1" ht="15" thickBot="1" x14ac:dyDescent="0.35">
      <c r="A84" s="8" t="s">
        <v>688</v>
      </c>
      <c r="B84" s="9" t="s">
        <v>207</v>
      </c>
      <c r="C84" s="9">
        <v>576</v>
      </c>
      <c r="D84" s="56">
        <v>24</v>
      </c>
      <c r="E84" s="55">
        <v>600</v>
      </c>
    </row>
    <row r="85" spans="1:5" s="14" customFormat="1" ht="15" thickBot="1" x14ac:dyDescent="0.35">
      <c r="A85" s="8" t="s">
        <v>689</v>
      </c>
      <c r="B85" s="9" t="s">
        <v>209</v>
      </c>
      <c r="C85" s="9">
        <v>624</v>
      </c>
      <c r="D85" s="56">
        <v>24</v>
      </c>
      <c r="E85" s="55">
        <v>648</v>
      </c>
    </row>
    <row r="86" spans="1:5" s="14" customFormat="1" ht="15" thickBot="1" x14ac:dyDescent="0.35">
      <c r="A86" s="8" t="s">
        <v>690</v>
      </c>
      <c r="B86" s="9" t="s">
        <v>211</v>
      </c>
      <c r="C86" s="9">
        <v>0</v>
      </c>
      <c r="D86" s="56">
        <v>12</v>
      </c>
      <c r="E86" s="55">
        <v>12</v>
      </c>
    </row>
    <row r="87" spans="1:5" s="14" customFormat="1" ht="15" thickBot="1" x14ac:dyDescent="0.35">
      <c r="A87" s="8" t="s">
        <v>691</v>
      </c>
      <c r="B87" s="9" t="s">
        <v>213</v>
      </c>
      <c r="C87" s="9">
        <v>600</v>
      </c>
      <c r="D87" s="56">
        <v>24</v>
      </c>
      <c r="E87" s="55">
        <v>624</v>
      </c>
    </row>
    <row r="88" spans="1:5" s="14" customFormat="1" ht="15" thickBot="1" x14ac:dyDescent="0.35">
      <c r="A88" s="8" t="s">
        <v>692</v>
      </c>
      <c r="B88" s="9" t="s">
        <v>215</v>
      </c>
      <c r="C88" s="9">
        <v>0</v>
      </c>
      <c r="D88" s="56">
        <v>24</v>
      </c>
      <c r="E88" s="55">
        <v>24</v>
      </c>
    </row>
    <row r="89" spans="1:5" s="14" customFormat="1" ht="15" thickBot="1" x14ac:dyDescent="0.35">
      <c r="A89" s="8" t="s">
        <v>693</v>
      </c>
      <c r="B89" s="9" t="s">
        <v>217</v>
      </c>
      <c r="C89" s="9">
        <v>0</v>
      </c>
      <c r="D89" s="56">
        <v>24</v>
      </c>
      <c r="E89" s="55">
        <v>24</v>
      </c>
    </row>
    <row r="90" spans="1:5" s="14" customFormat="1" ht="15" thickBot="1" x14ac:dyDescent="0.35">
      <c r="A90" s="8" t="s">
        <v>694</v>
      </c>
      <c r="B90" s="9" t="s">
        <v>219</v>
      </c>
      <c r="C90" s="9">
        <v>0</v>
      </c>
      <c r="D90" s="56">
        <v>2</v>
      </c>
      <c r="E90" s="55">
        <v>2</v>
      </c>
    </row>
    <row r="91" spans="1:5" s="14" customFormat="1" ht="15" thickBot="1" x14ac:dyDescent="0.35">
      <c r="A91" s="8" t="s">
        <v>695</v>
      </c>
      <c r="B91" s="9" t="s">
        <v>221</v>
      </c>
      <c r="C91" s="9">
        <v>0</v>
      </c>
      <c r="D91" s="56">
        <v>2</v>
      </c>
      <c r="E91" s="55">
        <v>2</v>
      </c>
    </row>
    <row r="92" spans="1:5" s="14" customFormat="1" ht="15" thickBot="1" x14ac:dyDescent="0.35">
      <c r="A92" s="8" t="s">
        <v>696</v>
      </c>
      <c r="B92" s="9" t="s">
        <v>223</v>
      </c>
      <c r="C92" s="9">
        <v>0</v>
      </c>
      <c r="D92" s="56">
        <v>24</v>
      </c>
      <c r="E92" s="55">
        <v>24</v>
      </c>
    </row>
    <row r="93" spans="1:5" s="14" customFormat="1" ht="15" thickBot="1" x14ac:dyDescent="0.35">
      <c r="A93" s="8" t="s">
        <v>697</v>
      </c>
      <c r="B93" s="9" t="s">
        <v>225</v>
      </c>
      <c r="C93" s="9">
        <v>1872</v>
      </c>
      <c r="D93" s="56">
        <v>24</v>
      </c>
      <c r="E93" s="55">
        <v>1896</v>
      </c>
    </row>
    <row r="94" spans="1:5" s="14" customFormat="1" ht="15" thickBot="1" x14ac:dyDescent="0.35">
      <c r="A94" s="8" t="s">
        <v>698</v>
      </c>
      <c r="B94" s="9" t="s">
        <v>227</v>
      </c>
      <c r="C94" s="9">
        <v>0</v>
      </c>
      <c r="D94" s="56">
        <v>0</v>
      </c>
      <c r="E94" s="55">
        <v>0</v>
      </c>
    </row>
    <row r="95" spans="1:5" s="14" customFormat="1" ht="15" thickBot="1" x14ac:dyDescent="0.35">
      <c r="A95" s="8" t="s">
        <v>699</v>
      </c>
      <c r="B95" s="9" t="s">
        <v>229</v>
      </c>
      <c r="C95" s="9">
        <v>1050</v>
      </c>
      <c r="D95" s="56">
        <v>50</v>
      </c>
      <c r="E95" s="55">
        <v>1100</v>
      </c>
    </row>
    <row r="96" spans="1:5" s="14" customFormat="1" ht="15" thickBot="1" x14ac:dyDescent="0.35">
      <c r="A96" s="8" t="s">
        <v>700</v>
      </c>
      <c r="B96" s="9" t="s">
        <v>231</v>
      </c>
      <c r="C96" s="9">
        <v>250</v>
      </c>
      <c r="D96" s="56">
        <v>50</v>
      </c>
      <c r="E96" s="55">
        <v>300</v>
      </c>
    </row>
    <row r="97" spans="1:5" s="14" customFormat="1" ht="15" thickBot="1" x14ac:dyDescent="0.35">
      <c r="A97" s="8" t="s">
        <v>701</v>
      </c>
      <c r="B97" s="9" t="s">
        <v>233</v>
      </c>
      <c r="C97" s="9">
        <v>3150</v>
      </c>
      <c r="D97" s="56">
        <v>50</v>
      </c>
      <c r="E97" s="55">
        <v>3200</v>
      </c>
    </row>
    <row r="98" spans="1:5" s="14" customFormat="1" ht="15" thickBot="1" x14ac:dyDescent="0.35">
      <c r="A98" s="8" t="s">
        <v>702</v>
      </c>
      <c r="B98" s="9" t="s">
        <v>235</v>
      </c>
      <c r="C98" s="9">
        <v>0</v>
      </c>
      <c r="D98" s="56">
        <v>50</v>
      </c>
      <c r="E98" s="55">
        <v>50</v>
      </c>
    </row>
    <row r="99" spans="1:5" s="14" customFormat="1" ht="15" thickBot="1" x14ac:dyDescent="0.35">
      <c r="A99" s="8" t="s">
        <v>703</v>
      </c>
      <c r="B99" s="9" t="s">
        <v>237</v>
      </c>
      <c r="C99" s="9">
        <v>850</v>
      </c>
      <c r="D99" s="56">
        <v>50</v>
      </c>
      <c r="E99" s="55">
        <v>900</v>
      </c>
    </row>
    <row r="100" spans="1:5" s="14" customFormat="1" ht="15" thickBot="1" x14ac:dyDescent="0.35">
      <c r="A100" s="8" t="s">
        <v>704</v>
      </c>
      <c r="B100" s="9" t="s">
        <v>239</v>
      </c>
      <c r="C100" s="9">
        <v>1300</v>
      </c>
      <c r="D100" s="56">
        <v>100</v>
      </c>
      <c r="E100" s="55">
        <v>1400</v>
      </c>
    </row>
    <row r="101" spans="1:5" s="14" customFormat="1" ht="15" thickBot="1" x14ac:dyDescent="0.35">
      <c r="A101" s="8" t="s">
        <v>705</v>
      </c>
      <c r="B101" s="9" t="s">
        <v>241</v>
      </c>
      <c r="C101" s="9">
        <v>1850</v>
      </c>
      <c r="D101" s="56">
        <v>50</v>
      </c>
      <c r="E101" s="55">
        <v>1900</v>
      </c>
    </row>
    <row r="102" spans="1:5" s="14" customFormat="1" ht="15" thickBot="1" x14ac:dyDescent="0.35">
      <c r="A102" s="8" t="s">
        <v>706</v>
      </c>
      <c r="B102" s="9" t="s">
        <v>243</v>
      </c>
      <c r="C102" s="9">
        <v>0</v>
      </c>
      <c r="D102" s="56">
        <v>0</v>
      </c>
      <c r="E102" s="55">
        <v>0</v>
      </c>
    </row>
    <row r="103" spans="1:5" s="14" customFormat="1" ht="15" thickBot="1" x14ac:dyDescent="0.35">
      <c r="A103" s="8" t="s">
        <v>707</v>
      </c>
      <c r="B103" s="9" t="s">
        <v>245</v>
      </c>
      <c r="C103" s="9">
        <v>450</v>
      </c>
      <c r="D103" s="56">
        <v>50</v>
      </c>
      <c r="E103" s="55">
        <v>500</v>
      </c>
    </row>
    <row r="104" spans="1:5" s="14" customFormat="1" ht="15" thickBot="1" x14ac:dyDescent="0.35">
      <c r="A104" s="8" t="s">
        <v>708</v>
      </c>
      <c r="B104" s="9" t="s">
        <v>247</v>
      </c>
      <c r="C104" s="9">
        <v>850</v>
      </c>
      <c r="D104" s="56">
        <v>50</v>
      </c>
      <c r="E104" s="55">
        <v>900</v>
      </c>
    </row>
    <row r="105" spans="1:5" s="14" customFormat="1" ht="15" thickBot="1" x14ac:dyDescent="0.35">
      <c r="A105" s="8" t="s">
        <v>709</v>
      </c>
      <c r="B105" s="9" t="s">
        <v>249</v>
      </c>
      <c r="C105" s="9">
        <v>950</v>
      </c>
      <c r="D105" s="56">
        <v>50</v>
      </c>
      <c r="E105" s="55">
        <v>1000</v>
      </c>
    </row>
    <row r="106" spans="1:5" s="14" customFormat="1" ht="15" thickBot="1" x14ac:dyDescent="0.35">
      <c r="A106" s="8" t="s">
        <v>710</v>
      </c>
      <c r="B106" s="9" t="s">
        <v>251</v>
      </c>
      <c r="C106" s="9">
        <v>600</v>
      </c>
      <c r="D106" s="56">
        <v>100</v>
      </c>
      <c r="E106" s="55">
        <v>700</v>
      </c>
    </row>
    <row r="107" spans="1:5" s="14" customFormat="1" ht="15" thickBot="1" x14ac:dyDescent="0.35">
      <c r="A107" s="8" t="s">
        <v>711</v>
      </c>
      <c r="B107" s="9" t="s">
        <v>253</v>
      </c>
      <c r="C107" s="9">
        <v>500</v>
      </c>
      <c r="D107" s="56">
        <v>50</v>
      </c>
      <c r="E107" s="55">
        <v>550</v>
      </c>
    </row>
    <row r="108" spans="1:5" s="14" customFormat="1" ht="15" thickBot="1" x14ac:dyDescent="0.35">
      <c r="A108" s="8" t="s">
        <v>712</v>
      </c>
      <c r="B108" s="9" t="s">
        <v>255</v>
      </c>
      <c r="C108" s="9">
        <v>0</v>
      </c>
      <c r="D108" s="56">
        <v>0</v>
      </c>
      <c r="E108" s="55">
        <v>0</v>
      </c>
    </row>
    <row r="109" spans="1:5" s="14" customFormat="1" ht="15" thickBot="1" x14ac:dyDescent="0.35">
      <c r="A109" s="8" t="s">
        <v>713</v>
      </c>
      <c r="B109" s="9" t="s">
        <v>257</v>
      </c>
      <c r="C109" s="9">
        <v>400</v>
      </c>
      <c r="D109" s="56">
        <v>50</v>
      </c>
      <c r="E109" s="55">
        <v>450</v>
      </c>
    </row>
    <row r="110" spans="1:5" s="14" customFormat="1" ht="15" thickBot="1" x14ac:dyDescent="0.35">
      <c r="A110" s="8" t="s">
        <v>714</v>
      </c>
      <c r="B110" s="9" t="s">
        <v>259</v>
      </c>
      <c r="C110" s="9">
        <v>8050</v>
      </c>
      <c r="D110" s="56">
        <v>50</v>
      </c>
      <c r="E110" s="55">
        <v>8100</v>
      </c>
    </row>
    <row r="111" spans="1:5" s="14" customFormat="1" ht="15" thickBot="1" x14ac:dyDescent="0.35">
      <c r="A111" s="8" t="s">
        <v>715</v>
      </c>
      <c r="B111" s="9" t="s">
        <v>261</v>
      </c>
      <c r="C111" s="9">
        <v>6550</v>
      </c>
      <c r="D111" s="56">
        <v>50</v>
      </c>
      <c r="E111" s="55">
        <v>6600</v>
      </c>
    </row>
    <row r="112" spans="1:5" s="14" customFormat="1" ht="15" thickBot="1" x14ac:dyDescent="0.35">
      <c r="A112" s="8" t="s">
        <v>716</v>
      </c>
      <c r="B112" s="9" t="s">
        <v>263</v>
      </c>
      <c r="C112" s="9">
        <v>450</v>
      </c>
      <c r="D112" s="56">
        <v>50</v>
      </c>
      <c r="E112" s="55">
        <v>500</v>
      </c>
    </row>
    <row r="113" spans="1:5" s="14" customFormat="1" ht="15" thickBot="1" x14ac:dyDescent="0.35">
      <c r="A113" s="8" t="s">
        <v>717</v>
      </c>
      <c r="B113" s="9" t="s">
        <v>265</v>
      </c>
      <c r="C113" s="9">
        <v>300</v>
      </c>
      <c r="D113" s="56">
        <v>200</v>
      </c>
      <c r="E113" s="55">
        <v>500</v>
      </c>
    </row>
    <row r="114" spans="1:5" s="14" customFormat="1" ht="15" thickBot="1" x14ac:dyDescent="0.35">
      <c r="A114" s="8" t="s">
        <v>718</v>
      </c>
      <c r="B114" s="9" t="s">
        <v>267</v>
      </c>
      <c r="C114" s="9">
        <v>3200</v>
      </c>
      <c r="D114" s="56">
        <v>50</v>
      </c>
      <c r="E114" s="55">
        <v>3250</v>
      </c>
    </row>
    <row r="115" spans="1:5" s="14" customFormat="1" ht="15" thickBot="1" x14ac:dyDescent="0.35">
      <c r="A115" s="8" t="s">
        <v>719</v>
      </c>
      <c r="B115" s="9" t="s">
        <v>269</v>
      </c>
      <c r="C115" s="9">
        <v>0</v>
      </c>
      <c r="D115" s="56">
        <v>50</v>
      </c>
      <c r="E115" s="55">
        <v>50</v>
      </c>
    </row>
    <row r="116" spans="1:5" s="14" customFormat="1" ht="15" thickBot="1" x14ac:dyDescent="0.35">
      <c r="A116" s="8" t="s">
        <v>720</v>
      </c>
      <c r="B116" s="9" t="s">
        <v>271</v>
      </c>
      <c r="C116" s="9">
        <v>1000</v>
      </c>
      <c r="D116" s="56">
        <v>50</v>
      </c>
      <c r="E116" s="55">
        <v>1050</v>
      </c>
    </row>
    <row r="117" spans="1:5" s="14" customFormat="1" ht="15" thickBot="1" x14ac:dyDescent="0.35">
      <c r="A117" s="8" t="s">
        <v>721</v>
      </c>
      <c r="B117" s="9" t="s">
        <v>273</v>
      </c>
      <c r="C117" s="9">
        <v>0</v>
      </c>
      <c r="D117" s="56">
        <v>50</v>
      </c>
      <c r="E117" s="55">
        <v>50</v>
      </c>
    </row>
    <row r="118" spans="1:5" s="14" customFormat="1" ht="15" thickBot="1" x14ac:dyDescent="0.35">
      <c r="A118" s="8" t="s">
        <v>722</v>
      </c>
      <c r="B118" s="9" t="s">
        <v>275</v>
      </c>
      <c r="C118" s="9">
        <v>2100</v>
      </c>
      <c r="D118" s="56">
        <v>50</v>
      </c>
      <c r="E118" s="55">
        <v>2150</v>
      </c>
    </row>
    <row r="119" spans="1:5" s="14" customFormat="1" ht="15" thickBot="1" x14ac:dyDescent="0.35">
      <c r="A119" s="8" t="s">
        <v>723</v>
      </c>
      <c r="B119" s="9" t="s">
        <v>277</v>
      </c>
      <c r="C119" s="9">
        <v>0</v>
      </c>
      <c r="D119" s="56">
        <v>0</v>
      </c>
      <c r="E119" s="55">
        <v>0</v>
      </c>
    </row>
    <row r="120" spans="1:5" s="14" customFormat="1" ht="15" thickBot="1" x14ac:dyDescent="0.35">
      <c r="A120" s="8" t="s">
        <v>724</v>
      </c>
      <c r="B120" s="9" t="s">
        <v>279</v>
      </c>
      <c r="C120" s="9">
        <v>0</v>
      </c>
      <c r="D120" s="56">
        <v>0</v>
      </c>
      <c r="E120" s="55">
        <v>0</v>
      </c>
    </row>
    <row r="121" spans="1:5" s="14" customFormat="1" ht="15" thickBot="1" x14ac:dyDescent="0.35">
      <c r="A121" s="8" t="s">
        <v>725</v>
      </c>
      <c r="B121" s="9" t="s">
        <v>281</v>
      </c>
      <c r="C121" s="9">
        <v>3816</v>
      </c>
      <c r="D121" s="56">
        <v>24</v>
      </c>
      <c r="E121" s="55">
        <v>3840</v>
      </c>
    </row>
    <row r="122" spans="1:5" s="14" customFormat="1" ht="15" thickBot="1" x14ac:dyDescent="0.35">
      <c r="A122" s="8" t="s">
        <v>726</v>
      </c>
      <c r="B122" s="9" t="s">
        <v>283</v>
      </c>
      <c r="C122" s="9">
        <v>3816</v>
      </c>
      <c r="D122" s="56">
        <v>24</v>
      </c>
      <c r="E122" s="55">
        <v>3840</v>
      </c>
    </row>
    <row r="123" spans="1:5" s="14" customFormat="1" ht="15" thickBot="1" x14ac:dyDescent="0.35">
      <c r="A123" s="8" t="s">
        <v>727</v>
      </c>
      <c r="B123" s="9" t="s">
        <v>285</v>
      </c>
      <c r="C123" s="9">
        <v>0</v>
      </c>
      <c r="D123" s="56">
        <v>0</v>
      </c>
      <c r="E123" s="55">
        <v>0</v>
      </c>
    </row>
    <row r="124" spans="1:5" s="14" customFormat="1" ht="15" thickBot="1" x14ac:dyDescent="0.35">
      <c r="A124" s="8" t="s">
        <v>728</v>
      </c>
      <c r="B124" s="9" t="s">
        <v>287</v>
      </c>
      <c r="C124" s="9">
        <v>0</v>
      </c>
      <c r="D124" s="56">
        <v>0</v>
      </c>
      <c r="E124" s="55">
        <v>0</v>
      </c>
    </row>
    <row r="125" spans="1:5" s="14" customFormat="1" ht="15" thickBot="1" x14ac:dyDescent="0.35">
      <c r="A125" s="8" t="s">
        <v>729</v>
      </c>
      <c r="B125" s="9" t="s">
        <v>289</v>
      </c>
      <c r="C125" s="9">
        <v>0</v>
      </c>
      <c r="D125" s="56">
        <v>0</v>
      </c>
      <c r="E125" s="55">
        <v>0</v>
      </c>
    </row>
    <row r="126" spans="1:5" s="14" customFormat="1" ht="15" thickBot="1" x14ac:dyDescent="0.35">
      <c r="A126" s="8" t="s">
        <v>730</v>
      </c>
      <c r="B126" s="9" t="s">
        <v>291</v>
      </c>
      <c r="C126" s="9">
        <v>0</v>
      </c>
      <c r="D126" s="56">
        <v>0</v>
      </c>
      <c r="E126" s="55">
        <v>0</v>
      </c>
    </row>
    <row r="127" spans="1:5" s="14" customFormat="1" ht="15" thickBot="1" x14ac:dyDescent="0.35">
      <c r="A127" s="8" t="s">
        <v>731</v>
      </c>
      <c r="B127" s="9" t="s">
        <v>293</v>
      </c>
      <c r="C127" s="9">
        <v>0</v>
      </c>
      <c r="D127" s="56">
        <v>0</v>
      </c>
      <c r="E127" s="55">
        <v>0</v>
      </c>
    </row>
    <row r="128" spans="1:5" s="14" customFormat="1" ht="15" thickBot="1" x14ac:dyDescent="0.35">
      <c r="A128" s="8" t="s">
        <v>732</v>
      </c>
      <c r="B128" s="9" t="s">
        <v>295</v>
      </c>
      <c r="C128" s="9">
        <v>0</v>
      </c>
      <c r="D128" s="56">
        <v>0</v>
      </c>
      <c r="E128" s="55">
        <v>0</v>
      </c>
    </row>
    <row r="129" spans="1:5" s="14" customFormat="1" ht="15" thickBot="1" x14ac:dyDescent="0.35">
      <c r="A129" s="8" t="s">
        <v>733</v>
      </c>
      <c r="B129" s="9" t="s">
        <v>297</v>
      </c>
      <c r="C129" s="9">
        <v>0</v>
      </c>
      <c r="D129" s="56">
        <v>0</v>
      </c>
      <c r="E129" s="55">
        <v>0</v>
      </c>
    </row>
    <row r="130" spans="1:5" s="14" customFormat="1" ht="15" thickBot="1" x14ac:dyDescent="0.35">
      <c r="A130" s="8" t="s">
        <v>734</v>
      </c>
      <c r="B130" s="9" t="s">
        <v>299</v>
      </c>
      <c r="C130" s="9">
        <v>0</v>
      </c>
      <c r="D130" s="56">
        <v>0</v>
      </c>
      <c r="E130" s="55">
        <v>0</v>
      </c>
    </row>
    <row r="131" spans="1:5" s="14" customFormat="1" ht="15" thickBot="1" x14ac:dyDescent="0.35">
      <c r="A131" s="8" t="s">
        <v>735</v>
      </c>
      <c r="B131" s="9" t="s">
        <v>301</v>
      </c>
      <c r="C131" s="9">
        <v>0</v>
      </c>
      <c r="D131" s="56">
        <v>0</v>
      </c>
      <c r="E131" s="55">
        <v>0</v>
      </c>
    </row>
    <row r="132" spans="1:5" s="14" customFormat="1" ht="15" thickBot="1" x14ac:dyDescent="0.35">
      <c r="A132" s="8" t="s">
        <v>736</v>
      </c>
      <c r="B132" s="9" t="s">
        <v>303</v>
      </c>
      <c r="C132" s="9">
        <v>0</v>
      </c>
      <c r="D132" s="56">
        <v>0</v>
      </c>
      <c r="E132" s="55">
        <v>0</v>
      </c>
    </row>
    <row r="133" spans="1:5" s="14" customFormat="1" ht="15" thickBot="1" x14ac:dyDescent="0.35">
      <c r="A133" s="8" t="s">
        <v>737</v>
      </c>
      <c r="B133" s="9" t="s">
        <v>305</v>
      </c>
      <c r="C133" s="9">
        <v>0</v>
      </c>
      <c r="D133" s="56">
        <v>0</v>
      </c>
      <c r="E133" s="55">
        <v>0</v>
      </c>
    </row>
    <row r="134" spans="1:5" s="14" customFormat="1" ht="15" thickBot="1" x14ac:dyDescent="0.35">
      <c r="A134" s="8" t="s">
        <v>738</v>
      </c>
      <c r="B134" s="9" t="s">
        <v>307</v>
      </c>
      <c r="C134" s="9">
        <v>3120</v>
      </c>
      <c r="D134" s="56">
        <v>24</v>
      </c>
      <c r="E134" s="55">
        <v>3144</v>
      </c>
    </row>
    <row r="135" spans="1:5" s="14" customFormat="1" ht="15" thickBot="1" x14ac:dyDescent="0.35">
      <c r="A135" s="8" t="s">
        <v>739</v>
      </c>
      <c r="B135" s="9" t="s">
        <v>309</v>
      </c>
      <c r="C135" s="9">
        <v>2268</v>
      </c>
      <c r="D135" s="56">
        <v>48</v>
      </c>
      <c r="E135" s="55">
        <v>2316</v>
      </c>
    </row>
    <row r="136" spans="1:5" s="14" customFormat="1" ht="15" thickBot="1" x14ac:dyDescent="0.35">
      <c r="A136" s="8" t="s">
        <v>740</v>
      </c>
      <c r="B136" s="9" t="s">
        <v>311</v>
      </c>
      <c r="C136" s="9">
        <v>1260</v>
      </c>
      <c r="D136" s="56">
        <v>48</v>
      </c>
      <c r="E136" s="55">
        <v>1308</v>
      </c>
    </row>
    <row r="137" spans="1:5" s="14" customFormat="1" ht="15" thickBot="1" x14ac:dyDescent="0.35">
      <c r="A137" s="8" t="s">
        <v>741</v>
      </c>
      <c r="B137" s="9" t="s">
        <v>313</v>
      </c>
      <c r="C137" s="9">
        <v>2460</v>
      </c>
      <c r="D137" s="56">
        <v>48</v>
      </c>
      <c r="E137" s="55">
        <v>2508</v>
      </c>
    </row>
    <row r="138" spans="1:5" s="14" customFormat="1" ht="15" thickBot="1" x14ac:dyDescent="0.35">
      <c r="A138" s="8" t="s">
        <v>742</v>
      </c>
      <c r="B138" s="9" t="s">
        <v>315</v>
      </c>
      <c r="C138" s="9">
        <v>0</v>
      </c>
      <c r="D138" s="56">
        <v>24</v>
      </c>
      <c r="E138" s="55">
        <v>24</v>
      </c>
    </row>
    <row r="139" spans="1:5" s="14" customFormat="1" ht="15" thickBot="1" x14ac:dyDescent="0.35">
      <c r="A139" s="8" t="s">
        <v>743</v>
      </c>
      <c r="B139" s="9" t="s">
        <v>317</v>
      </c>
      <c r="C139" s="9">
        <v>2616</v>
      </c>
      <c r="D139" s="56">
        <v>24</v>
      </c>
      <c r="E139" s="55">
        <v>2640</v>
      </c>
    </row>
    <row r="140" spans="1:5" s="14" customFormat="1" ht="15" thickBot="1" x14ac:dyDescent="0.35">
      <c r="A140" s="8" t="s">
        <v>744</v>
      </c>
      <c r="B140" s="9" t="s">
        <v>319</v>
      </c>
      <c r="C140" s="9">
        <v>2328</v>
      </c>
      <c r="D140" s="56">
        <v>24</v>
      </c>
      <c r="E140" s="55">
        <v>2352</v>
      </c>
    </row>
    <row r="141" spans="1:5" s="14" customFormat="1" ht="15" thickBot="1" x14ac:dyDescent="0.35">
      <c r="A141" s="8" t="s">
        <v>745</v>
      </c>
      <c r="B141" s="9" t="s">
        <v>321</v>
      </c>
      <c r="C141" s="9">
        <v>4296</v>
      </c>
      <c r="D141" s="56">
        <v>24</v>
      </c>
      <c r="E141" s="55">
        <v>4320</v>
      </c>
    </row>
    <row r="142" spans="1:5" s="14" customFormat="1" ht="15" thickBot="1" x14ac:dyDescent="0.35">
      <c r="A142" s="8" t="s">
        <v>746</v>
      </c>
      <c r="B142" s="9" t="s">
        <v>323</v>
      </c>
      <c r="C142" s="9">
        <v>6192</v>
      </c>
      <c r="D142" s="56">
        <v>24</v>
      </c>
      <c r="E142" s="55">
        <v>6216</v>
      </c>
    </row>
    <row r="143" spans="1:5" s="14" customFormat="1" ht="15" thickBot="1" x14ac:dyDescent="0.35">
      <c r="A143" s="8" t="s">
        <v>747</v>
      </c>
      <c r="B143" s="9" t="s">
        <v>325</v>
      </c>
      <c r="C143" s="9">
        <v>0</v>
      </c>
      <c r="D143" s="56">
        <v>6</v>
      </c>
      <c r="E143" s="55">
        <v>6</v>
      </c>
    </row>
    <row r="144" spans="1:5" s="14" customFormat="1" ht="15" thickBot="1" x14ac:dyDescent="0.35">
      <c r="A144" s="8" t="s">
        <v>748</v>
      </c>
      <c r="B144" s="9" t="s">
        <v>327</v>
      </c>
      <c r="C144" s="9">
        <v>1920</v>
      </c>
      <c r="D144" s="56">
        <v>24</v>
      </c>
      <c r="E144" s="55">
        <v>1944</v>
      </c>
    </row>
    <row r="145" spans="1:5" s="14" customFormat="1" ht="15" thickBot="1" x14ac:dyDescent="0.35">
      <c r="A145" s="8" t="s">
        <v>749</v>
      </c>
      <c r="B145" s="9" t="s">
        <v>329</v>
      </c>
      <c r="C145" s="9">
        <v>1128</v>
      </c>
      <c r="D145" s="56">
        <v>24</v>
      </c>
      <c r="E145" s="55">
        <v>1152</v>
      </c>
    </row>
    <row r="146" spans="1:5" s="14" customFormat="1" ht="15" thickBot="1" x14ac:dyDescent="0.35">
      <c r="A146" s="8" t="s">
        <v>750</v>
      </c>
      <c r="B146" s="9" t="s">
        <v>331</v>
      </c>
      <c r="C146" s="9">
        <v>2568</v>
      </c>
      <c r="D146" s="56">
        <v>12</v>
      </c>
      <c r="E146" s="55">
        <v>2580</v>
      </c>
    </row>
    <row r="147" spans="1:5" s="14" customFormat="1" ht="15" thickBot="1" x14ac:dyDescent="0.35">
      <c r="A147" s="8" t="s">
        <v>751</v>
      </c>
      <c r="B147" s="9" t="s">
        <v>333</v>
      </c>
      <c r="C147" s="9">
        <v>0</v>
      </c>
      <c r="D147" s="56">
        <v>24</v>
      </c>
      <c r="E147" s="55">
        <v>24</v>
      </c>
    </row>
    <row r="148" spans="1:5" s="14" customFormat="1" ht="15" thickBot="1" x14ac:dyDescent="0.35">
      <c r="A148" s="8" t="s">
        <v>752</v>
      </c>
      <c r="B148" s="9" t="s">
        <v>335</v>
      </c>
      <c r="C148" s="9">
        <v>1512</v>
      </c>
      <c r="D148" s="56">
        <v>24</v>
      </c>
      <c r="E148" s="55">
        <v>1536</v>
      </c>
    </row>
    <row r="149" spans="1:5" s="14" customFormat="1" ht="15" thickBot="1" x14ac:dyDescent="0.35">
      <c r="A149" s="8" t="s">
        <v>753</v>
      </c>
      <c r="B149" s="9" t="s">
        <v>337</v>
      </c>
      <c r="C149" s="9">
        <v>1176</v>
      </c>
      <c r="D149" s="56">
        <v>24</v>
      </c>
      <c r="E149" s="55">
        <v>1200</v>
      </c>
    </row>
    <row r="150" spans="1:5" s="14" customFormat="1" ht="15" thickBot="1" x14ac:dyDescent="0.35">
      <c r="A150" s="8" t="s">
        <v>754</v>
      </c>
      <c r="B150" s="9" t="s">
        <v>339</v>
      </c>
      <c r="C150" s="9">
        <v>288</v>
      </c>
      <c r="D150" s="56">
        <v>6</v>
      </c>
      <c r="E150" s="55">
        <v>294</v>
      </c>
    </row>
    <row r="151" spans="1:5" s="14" customFormat="1" ht="15" thickBot="1" x14ac:dyDescent="0.35">
      <c r="A151" s="8" t="s">
        <v>755</v>
      </c>
      <c r="B151" s="9" t="s">
        <v>341</v>
      </c>
      <c r="C151" s="9">
        <v>0</v>
      </c>
      <c r="D151" s="56">
        <v>24</v>
      </c>
      <c r="E151" s="55">
        <v>24</v>
      </c>
    </row>
    <row r="152" spans="1:5" s="14" customFormat="1" ht="15" thickBot="1" x14ac:dyDescent="0.35">
      <c r="A152" s="8" t="s">
        <v>756</v>
      </c>
      <c r="B152" s="9" t="s">
        <v>343</v>
      </c>
      <c r="C152" s="9">
        <v>0</v>
      </c>
      <c r="D152" s="56">
        <v>24</v>
      </c>
      <c r="E152" s="55">
        <v>24</v>
      </c>
    </row>
    <row r="153" spans="1:5" s="14" customFormat="1" ht="15" thickBot="1" x14ac:dyDescent="0.35">
      <c r="A153" s="8" t="s">
        <v>757</v>
      </c>
      <c r="B153" s="9" t="s">
        <v>345</v>
      </c>
      <c r="C153" s="9">
        <v>0</v>
      </c>
      <c r="D153" s="56">
        <v>24</v>
      </c>
      <c r="E153" s="55">
        <v>24</v>
      </c>
    </row>
    <row r="154" spans="1:5" s="14" customFormat="1" ht="15" thickBot="1" x14ac:dyDescent="0.35">
      <c r="A154" s="8" t="s">
        <v>758</v>
      </c>
      <c r="B154" s="9" t="s">
        <v>347</v>
      </c>
      <c r="C154" s="9">
        <v>0</v>
      </c>
      <c r="D154" s="56">
        <v>24</v>
      </c>
      <c r="E154" s="55">
        <v>24</v>
      </c>
    </row>
    <row r="155" spans="1:5" s="14" customFormat="1" ht="15" thickBot="1" x14ac:dyDescent="0.35">
      <c r="A155" s="8" t="s">
        <v>759</v>
      </c>
      <c r="B155" s="9" t="s">
        <v>349</v>
      </c>
      <c r="C155" s="9">
        <v>0</v>
      </c>
      <c r="D155" s="56">
        <v>6</v>
      </c>
      <c r="E155" s="55">
        <v>6</v>
      </c>
    </row>
    <row r="156" spans="1:5" s="14" customFormat="1" ht="15" thickBot="1" x14ac:dyDescent="0.35">
      <c r="A156" s="8" t="s">
        <v>760</v>
      </c>
      <c r="B156" s="9" t="s">
        <v>351</v>
      </c>
      <c r="C156" s="9">
        <v>0</v>
      </c>
      <c r="D156" s="56">
        <v>24</v>
      </c>
      <c r="E156" s="55">
        <v>24</v>
      </c>
    </row>
    <row r="157" spans="1:5" s="14" customFormat="1" ht="15" thickBot="1" x14ac:dyDescent="0.35">
      <c r="A157" s="8" t="s">
        <v>761</v>
      </c>
      <c r="B157" s="9" t="s">
        <v>353</v>
      </c>
      <c r="C157" s="9">
        <v>1192</v>
      </c>
      <c r="D157" s="56">
        <v>48</v>
      </c>
      <c r="E157" s="55">
        <v>1240</v>
      </c>
    </row>
    <row r="158" spans="1:5" s="14" customFormat="1" ht="15" thickBot="1" x14ac:dyDescent="0.35">
      <c r="A158" s="8" t="s">
        <v>762</v>
      </c>
      <c r="B158" s="9" t="s">
        <v>355</v>
      </c>
      <c r="C158" s="9">
        <v>8</v>
      </c>
      <c r="D158" s="56">
        <v>0</v>
      </c>
      <c r="E158" s="55">
        <v>8</v>
      </c>
    </row>
    <row r="159" spans="1:5" s="14" customFormat="1" ht="15" thickBot="1" x14ac:dyDescent="0.35">
      <c r="A159" s="8" t="s">
        <v>763</v>
      </c>
      <c r="B159" s="9" t="s">
        <v>357</v>
      </c>
      <c r="C159" s="9">
        <v>0</v>
      </c>
      <c r="D159" s="56">
        <v>0</v>
      </c>
      <c r="E159" s="55">
        <v>0</v>
      </c>
    </row>
    <row r="160" spans="1:5" s="14" customFormat="1" ht="15" thickBot="1" x14ac:dyDescent="0.35">
      <c r="A160" s="8" t="s">
        <v>764</v>
      </c>
      <c r="B160" s="9" t="s">
        <v>359</v>
      </c>
      <c r="C160" s="9">
        <v>6</v>
      </c>
      <c r="D160" s="56">
        <v>0</v>
      </c>
      <c r="E160" s="55">
        <v>6</v>
      </c>
    </row>
    <row r="161" spans="1:5" s="14" customFormat="1" ht="15" thickBot="1" x14ac:dyDescent="0.35">
      <c r="A161" s="8" t="s">
        <v>765</v>
      </c>
      <c r="B161" s="9" t="s">
        <v>361</v>
      </c>
      <c r="C161" s="9">
        <v>0</v>
      </c>
      <c r="D161" s="56">
        <v>0</v>
      </c>
      <c r="E161" s="55">
        <v>0</v>
      </c>
    </row>
    <row r="162" spans="1:5" s="14" customFormat="1" ht="15" thickBot="1" x14ac:dyDescent="0.35">
      <c r="A162" s="8" t="s">
        <v>766</v>
      </c>
      <c r="B162" s="9" t="s">
        <v>363</v>
      </c>
      <c r="C162" s="9">
        <v>0</v>
      </c>
      <c r="D162" s="56">
        <v>0</v>
      </c>
      <c r="E162" s="55">
        <v>0</v>
      </c>
    </row>
    <row r="163" spans="1:5" s="14" customFormat="1" ht="15" thickBot="1" x14ac:dyDescent="0.35">
      <c r="A163" s="8" t="s">
        <v>767</v>
      </c>
      <c r="B163" s="9" t="s">
        <v>365</v>
      </c>
      <c r="C163" s="9">
        <v>176</v>
      </c>
      <c r="D163" s="56">
        <v>0</v>
      </c>
      <c r="E163" s="55">
        <v>176</v>
      </c>
    </row>
    <row r="164" spans="1:5" s="14" customFormat="1" ht="15" thickBot="1" x14ac:dyDescent="0.35">
      <c r="A164" s="8" t="s">
        <v>768</v>
      </c>
      <c r="B164" s="9" t="s">
        <v>367</v>
      </c>
      <c r="C164" s="9">
        <v>0</v>
      </c>
      <c r="D164" s="56">
        <v>0</v>
      </c>
      <c r="E164" s="55">
        <v>0</v>
      </c>
    </row>
    <row r="165" spans="1:5" s="14" customFormat="1" ht="15" thickBot="1" x14ac:dyDescent="0.35">
      <c r="A165" s="8" t="s">
        <v>769</v>
      </c>
      <c r="B165" s="9" t="s">
        <v>369</v>
      </c>
      <c r="C165" s="9">
        <v>0</v>
      </c>
      <c r="D165" s="56">
        <v>0</v>
      </c>
      <c r="E165" s="55">
        <v>0</v>
      </c>
    </row>
    <row r="166" spans="1:5" s="14" customFormat="1" ht="15" thickBot="1" x14ac:dyDescent="0.35">
      <c r="A166" s="8" t="s">
        <v>770</v>
      </c>
      <c r="B166" s="9" t="s">
        <v>371</v>
      </c>
      <c r="C166" s="9">
        <v>0</v>
      </c>
      <c r="D166" s="56">
        <v>0</v>
      </c>
      <c r="E166" s="55">
        <v>0</v>
      </c>
    </row>
    <row r="167" spans="1:5" s="14" customFormat="1" ht="15" thickBot="1" x14ac:dyDescent="0.35">
      <c r="A167" s="8" t="s">
        <v>771</v>
      </c>
      <c r="B167" s="9" t="s">
        <v>373</v>
      </c>
      <c r="C167" s="9">
        <v>0</v>
      </c>
      <c r="D167" s="56">
        <v>0</v>
      </c>
      <c r="E167" s="55">
        <v>0</v>
      </c>
    </row>
    <row r="168" spans="1:5" s="14" customFormat="1" ht="15" thickBot="1" x14ac:dyDescent="0.35">
      <c r="A168" s="8" t="s">
        <v>772</v>
      </c>
      <c r="B168" s="9" t="s">
        <v>375</v>
      </c>
      <c r="C168" s="9">
        <v>0</v>
      </c>
      <c r="D168" s="56">
        <v>0</v>
      </c>
      <c r="E168" s="55">
        <v>0</v>
      </c>
    </row>
    <row r="169" spans="1:5" s="14" customFormat="1" ht="15" thickBot="1" x14ac:dyDescent="0.35">
      <c r="A169" s="8" t="s">
        <v>773</v>
      </c>
      <c r="B169" s="9" t="s">
        <v>377</v>
      </c>
      <c r="C169" s="9">
        <v>0</v>
      </c>
      <c r="D169" s="56">
        <v>0</v>
      </c>
      <c r="E169" s="55">
        <v>0</v>
      </c>
    </row>
    <row r="170" spans="1:5" s="14" customFormat="1" ht="15" thickBot="1" x14ac:dyDescent="0.35">
      <c r="A170" s="8" t="s">
        <v>774</v>
      </c>
      <c r="B170" s="9" t="s">
        <v>379</v>
      </c>
      <c r="C170" s="9">
        <v>0</v>
      </c>
      <c r="D170" s="56">
        <v>0</v>
      </c>
      <c r="E170" s="55">
        <v>0</v>
      </c>
    </row>
    <row r="171" spans="1:5" s="14" customFormat="1" ht="15" thickBot="1" x14ac:dyDescent="0.35">
      <c r="A171" s="8" t="s">
        <v>775</v>
      </c>
      <c r="B171" s="9" t="s">
        <v>381</v>
      </c>
      <c r="C171" s="9">
        <v>0</v>
      </c>
      <c r="D171" s="56">
        <v>0</v>
      </c>
      <c r="E171" s="55">
        <v>0</v>
      </c>
    </row>
    <row r="172" spans="1:5" s="14" customFormat="1" ht="15" thickBot="1" x14ac:dyDescent="0.35">
      <c r="A172" s="8" t="s">
        <v>776</v>
      </c>
      <c r="B172" s="9" t="s">
        <v>383</v>
      </c>
      <c r="C172" s="9">
        <v>0</v>
      </c>
      <c r="D172" s="56">
        <v>0</v>
      </c>
      <c r="E172" s="55">
        <v>0</v>
      </c>
    </row>
    <row r="173" spans="1:5" s="14" customFormat="1" ht="15" thickBot="1" x14ac:dyDescent="0.35">
      <c r="A173" s="8" t="s">
        <v>777</v>
      </c>
      <c r="B173" s="9" t="s">
        <v>385</v>
      </c>
      <c r="C173" s="9">
        <v>0</v>
      </c>
      <c r="D173" s="56">
        <v>0</v>
      </c>
      <c r="E173" s="55">
        <v>0</v>
      </c>
    </row>
    <row r="174" spans="1:5" s="14" customFormat="1" ht="15" thickBot="1" x14ac:dyDescent="0.35">
      <c r="A174" s="8" t="s">
        <v>778</v>
      </c>
      <c r="B174" s="9" t="s">
        <v>387</v>
      </c>
      <c r="C174" s="9">
        <v>0</v>
      </c>
      <c r="D174" s="56">
        <v>0</v>
      </c>
      <c r="E174" s="55">
        <v>0</v>
      </c>
    </row>
    <row r="175" spans="1:5" s="14" customFormat="1" ht="15" thickBot="1" x14ac:dyDescent="0.35">
      <c r="A175" s="8" t="s">
        <v>779</v>
      </c>
      <c r="B175" s="9" t="s">
        <v>389</v>
      </c>
      <c r="C175" s="9">
        <v>0</v>
      </c>
      <c r="D175" s="56">
        <v>0</v>
      </c>
      <c r="E175" s="55">
        <v>0</v>
      </c>
    </row>
    <row r="176" spans="1:5" s="14" customFormat="1" ht="15" thickBot="1" x14ac:dyDescent="0.35">
      <c r="A176" s="8" t="s">
        <v>780</v>
      </c>
      <c r="B176" s="9" t="s">
        <v>391</v>
      </c>
      <c r="C176" s="9">
        <v>0</v>
      </c>
      <c r="D176" s="56">
        <v>0</v>
      </c>
      <c r="E176" s="55">
        <v>0</v>
      </c>
    </row>
    <row r="177" spans="1:5" s="14" customFormat="1" ht="15" thickBot="1" x14ac:dyDescent="0.35">
      <c r="A177" s="8" t="s">
        <v>781</v>
      </c>
      <c r="B177" s="9" t="s">
        <v>393</v>
      </c>
      <c r="C177" s="9">
        <v>0</v>
      </c>
      <c r="D177" s="56">
        <v>0</v>
      </c>
      <c r="E177" s="55">
        <v>0</v>
      </c>
    </row>
    <row r="178" spans="1:5" s="14" customFormat="1" ht="15" thickBot="1" x14ac:dyDescent="0.35">
      <c r="A178" s="8" t="s">
        <v>782</v>
      </c>
      <c r="B178" s="9" t="s">
        <v>395</v>
      </c>
      <c r="C178" s="9">
        <v>0</v>
      </c>
      <c r="D178" s="56">
        <v>0</v>
      </c>
      <c r="E178" s="55">
        <v>0</v>
      </c>
    </row>
    <row r="179" spans="1:5" s="14" customFormat="1" ht="15" thickBot="1" x14ac:dyDescent="0.35">
      <c r="A179" s="8" t="s">
        <v>783</v>
      </c>
      <c r="B179" s="9" t="s">
        <v>397</v>
      </c>
      <c r="C179" s="9">
        <v>0</v>
      </c>
      <c r="D179" s="56">
        <v>0</v>
      </c>
      <c r="E179" s="55">
        <v>0</v>
      </c>
    </row>
    <row r="180" spans="1:5" s="14" customFormat="1" ht="15" thickBot="1" x14ac:dyDescent="0.35">
      <c r="A180" s="8" t="s">
        <v>784</v>
      </c>
      <c r="B180" s="9" t="s">
        <v>399</v>
      </c>
      <c r="C180" s="9">
        <v>0</v>
      </c>
      <c r="D180" s="56">
        <v>0</v>
      </c>
      <c r="E180" s="55">
        <v>0</v>
      </c>
    </row>
    <row r="181" spans="1:5" s="14" customFormat="1" ht="15" thickBot="1" x14ac:dyDescent="0.35">
      <c r="A181" s="8" t="s">
        <v>785</v>
      </c>
      <c r="B181" s="9" t="s">
        <v>401</v>
      </c>
      <c r="C181" s="9">
        <v>0</v>
      </c>
      <c r="D181" s="56">
        <v>0</v>
      </c>
      <c r="E181" s="55">
        <v>0</v>
      </c>
    </row>
    <row r="182" spans="1:5" s="14" customFormat="1" ht="15" thickBot="1" x14ac:dyDescent="0.35">
      <c r="A182" s="8" t="s">
        <v>786</v>
      </c>
      <c r="B182" s="9" t="s">
        <v>403</v>
      </c>
      <c r="C182" s="9">
        <v>0</v>
      </c>
      <c r="D182" s="56">
        <v>0</v>
      </c>
      <c r="E182" s="55">
        <v>0</v>
      </c>
    </row>
    <row r="183" spans="1:5" s="14" customFormat="1" ht="15" thickBot="1" x14ac:dyDescent="0.35">
      <c r="A183" s="8" t="s">
        <v>787</v>
      </c>
      <c r="B183" s="9" t="s">
        <v>405</v>
      </c>
      <c r="C183" s="9">
        <v>0</v>
      </c>
      <c r="D183" s="56">
        <v>0</v>
      </c>
      <c r="E183" s="55">
        <v>0</v>
      </c>
    </row>
    <row r="184" spans="1:5" s="14" customFormat="1" ht="15" thickBot="1" x14ac:dyDescent="0.35">
      <c r="A184" s="8" t="s">
        <v>788</v>
      </c>
      <c r="B184" s="9" t="s">
        <v>407</v>
      </c>
      <c r="C184" s="9">
        <v>0</v>
      </c>
      <c r="D184" s="56">
        <v>0</v>
      </c>
      <c r="E184" s="55">
        <v>0</v>
      </c>
    </row>
    <row r="185" spans="1:5" s="14" customFormat="1" ht="15" thickBot="1" x14ac:dyDescent="0.35">
      <c r="A185" s="8" t="s">
        <v>789</v>
      </c>
      <c r="B185" s="9" t="s">
        <v>409</v>
      </c>
      <c r="C185" s="9">
        <v>0</v>
      </c>
      <c r="D185" s="56">
        <v>0</v>
      </c>
      <c r="E185" s="55">
        <v>0</v>
      </c>
    </row>
    <row r="186" spans="1:5" s="14" customFormat="1" ht="15" thickBot="1" x14ac:dyDescent="0.35">
      <c r="A186" s="8" t="s">
        <v>790</v>
      </c>
      <c r="B186" s="9" t="s">
        <v>411</v>
      </c>
      <c r="C186" s="9">
        <v>0</v>
      </c>
      <c r="D186" s="56">
        <v>0</v>
      </c>
      <c r="E186" s="55">
        <v>0</v>
      </c>
    </row>
    <row r="187" spans="1:5" s="14" customFormat="1" ht="15" thickBot="1" x14ac:dyDescent="0.35">
      <c r="A187" s="8" t="s">
        <v>791</v>
      </c>
      <c r="B187" s="9" t="s">
        <v>413</v>
      </c>
      <c r="C187" s="9">
        <v>0</v>
      </c>
      <c r="D187" s="56">
        <v>0</v>
      </c>
      <c r="E187" s="55">
        <v>0</v>
      </c>
    </row>
    <row r="188" spans="1:5" s="14" customFormat="1" ht="15" thickBot="1" x14ac:dyDescent="0.35">
      <c r="A188" s="8" t="s">
        <v>792</v>
      </c>
      <c r="B188" s="9" t="s">
        <v>415</v>
      </c>
      <c r="C188" s="9">
        <v>0</v>
      </c>
      <c r="D188" s="56">
        <v>0</v>
      </c>
      <c r="E188" s="55">
        <v>0</v>
      </c>
    </row>
    <row r="189" spans="1:5" s="14" customFormat="1" ht="15" thickBot="1" x14ac:dyDescent="0.35">
      <c r="A189" s="8" t="s">
        <v>793</v>
      </c>
      <c r="B189" s="9" t="s">
        <v>417</v>
      </c>
      <c r="C189" s="9">
        <v>0</v>
      </c>
      <c r="D189" s="56">
        <v>0</v>
      </c>
      <c r="E189" s="55">
        <v>0</v>
      </c>
    </row>
    <row r="190" spans="1:5" s="14" customFormat="1" ht="15" thickBot="1" x14ac:dyDescent="0.35">
      <c r="A190" s="8" t="s">
        <v>794</v>
      </c>
      <c r="B190" s="9" t="s">
        <v>419</v>
      </c>
      <c r="C190" s="9">
        <v>0</v>
      </c>
      <c r="D190" s="56">
        <v>0</v>
      </c>
      <c r="E190" s="55">
        <v>0</v>
      </c>
    </row>
    <row r="191" spans="1:5" s="14" customFormat="1" ht="15" thickBot="1" x14ac:dyDescent="0.35">
      <c r="A191" s="8" t="s">
        <v>795</v>
      </c>
      <c r="B191" s="9" t="s">
        <v>421</v>
      </c>
      <c r="C191" s="9">
        <v>0</v>
      </c>
      <c r="D191" s="56">
        <v>0</v>
      </c>
      <c r="E191" s="55">
        <v>0</v>
      </c>
    </row>
    <row r="192" spans="1:5" s="14" customFormat="1" ht="15" thickBot="1" x14ac:dyDescent="0.35">
      <c r="A192" s="8" t="s">
        <v>796</v>
      </c>
      <c r="B192" s="9" t="s">
        <v>423</v>
      </c>
      <c r="C192" s="9">
        <v>0</v>
      </c>
      <c r="D192" s="56">
        <v>0</v>
      </c>
      <c r="E192" s="55">
        <v>0</v>
      </c>
    </row>
    <row r="193" spans="1:5" s="14" customFormat="1" ht="15" thickBot="1" x14ac:dyDescent="0.35">
      <c r="A193" s="8" t="s">
        <v>797</v>
      </c>
      <c r="B193" s="9" t="s">
        <v>425</v>
      </c>
      <c r="C193" s="9">
        <v>0</v>
      </c>
      <c r="D193" s="56">
        <v>0</v>
      </c>
      <c r="E193" s="55">
        <v>0</v>
      </c>
    </row>
    <row r="194" spans="1:5" s="14" customFormat="1" ht="15" thickBot="1" x14ac:dyDescent="0.35">
      <c r="A194" s="8" t="s">
        <v>798</v>
      </c>
      <c r="B194" s="9" t="s">
        <v>427</v>
      </c>
      <c r="C194" s="9">
        <v>0</v>
      </c>
      <c r="D194" s="56">
        <v>0</v>
      </c>
      <c r="E194" s="55">
        <v>0</v>
      </c>
    </row>
    <row r="195" spans="1:5" s="14" customFormat="1" ht="15" thickBot="1" x14ac:dyDescent="0.35">
      <c r="A195" s="8" t="s">
        <v>799</v>
      </c>
      <c r="B195" s="9" t="s">
        <v>429</v>
      </c>
      <c r="C195" s="9">
        <v>0</v>
      </c>
      <c r="D195" s="56">
        <v>0</v>
      </c>
      <c r="E195" s="55">
        <v>0</v>
      </c>
    </row>
    <row r="196" spans="1:5" s="14" customFormat="1" ht="15" thickBot="1" x14ac:dyDescent="0.35">
      <c r="A196" s="8" t="s">
        <v>800</v>
      </c>
      <c r="B196" s="9" t="s">
        <v>431</v>
      </c>
      <c r="C196" s="9">
        <v>0</v>
      </c>
      <c r="D196" s="56">
        <v>0</v>
      </c>
      <c r="E196" s="55">
        <v>0</v>
      </c>
    </row>
    <row r="197" spans="1:5" s="14" customFormat="1" ht="15" thickBot="1" x14ac:dyDescent="0.35">
      <c r="A197" s="8" t="s">
        <v>801</v>
      </c>
      <c r="B197" s="9" t="s">
        <v>433</v>
      </c>
      <c r="C197" s="9">
        <v>0</v>
      </c>
      <c r="D197" s="56">
        <v>0</v>
      </c>
      <c r="E197" s="55">
        <v>0</v>
      </c>
    </row>
    <row r="198" spans="1:5" s="14" customFormat="1" ht="15" thickBot="1" x14ac:dyDescent="0.35">
      <c r="A198" s="8" t="s">
        <v>802</v>
      </c>
      <c r="B198" s="9" t="s">
        <v>435</v>
      </c>
      <c r="C198" s="9">
        <v>0</v>
      </c>
      <c r="D198" s="56">
        <v>0</v>
      </c>
      <c r="E198" s="55">
        <v>0</v>
      </c>
    </row>
    <row r="199" spans="1:5" s="14" customFormat="1" ht="15" thickBot="1" x14ac:dyDescent="0.35">
      <c r="A199" s="8" t="s">
        <v>803</v>
      </c>
      <c r="B199" s="9" t="s">
        <v>437</v>
      </c>
      <c r="C199" s="9">
        <v>0</v>
      </c>
      <c r="D199" s="56">
        <v>0</v>
      </c>
      <c r="E199" s="55">
        <v>0</v>
      </c>
    </row>
    <row r="200" spans="1:5" s="14" customFormat="1" ht="15" thickBot="1" x14ac:dyDescent="0.35">
      <c r="A200" s="8" t="s">
        <v>804</v>
      </c>
      <c r="B200" s="9" t="s">
        <v>439</v>
      </c>
      <c r="C200" s="9">
        <v>0</v>
      </c>
      <c r="D200" s="56">
        <v>0</v>
      </c>
      <c r="E200" s="55">
        <v>0</v>
      </c>
    </row>
    <row r="201" spans="1:5" s="14" customFormat="1" ht="15" thickBot="1" x14ac:dyDescent="0.35">
      <c r="A201" s="8" t="s">
        <v>805</v>
      </c>
      <c r="B201" s="9" t="s">
        <v>441</v>
      </c>
      <c r="C201" s="9">
        <v>0</v>
      </c>
      <c r="D201" s="56">
        <v>0</v>
      </c>
      <c r="E201" s="55">
        <v>0</v>
      </c>
    </row>
    <row r="202" spans="1:5" s="14" customFormat="1" ht="15" thickBot="1" x14ac:dyDescent="0.35">
      <c r="A202" s="8" t="s">
        <v>806</v>
      </c>
      <c r="B202" s="9" t="s">
        <v>443</v>
      </c>
      <c r="C202" s="9">
        <v>0</v>
      </c>
      <c r="D202" s="56">
        <v>0</v>
      </c>
      <c r="E202" s="55">
        <v>0</v>
      </c>
    </row>
    <row r="203" spans="1:5" s="14" customFormat="1" ht="15" thickBot="1" x14ac:dyDescent="0.35">
      <c r="A203" s="8" t="s">
        <v>807</v>
      </c>
      <c r="B203" s="9" t="s">
        <v>445</v>
      </c>
      <c r="C203" s="9">
        <v>0</v>
      </c>
      <c r="D203" s="56">
        <v>0</v>
      </c>
      <c r="E203" s="55">
        <v>0</v>
      </c>
    </row>
    <row r="204" spans="1:5" s="14" customFormat="1" ht="15" thickBot="1" x14ac:dyDescent="0.35">
      <c r="A204" s="8" t="s">
        <v>808</v>
      </c>
      <c r="B204" s="9" t="s">
        <v>447</v>
      </c>
      <c r="C204" s="9">
        <v>0</v>
      </c>
      <c r="D204" s="56">
        <v>0</v>
      </c>
      <c r="E204" s="55">
        <v>0</v>
      </c>
    </row>
    <row r="205" spans="1:5" s="14" customFormat="1" ht="15" thickBot="1" x14ac:dyDescent="0.35">
      <c r="A205" s="8" t="s">
        <v>809</v>
      </c>
      <c r="B205" s="9" t="s">
        <v>449</v>
      </c>
      <c r="C205" s="9">
        <v>0</v>
      </c>
      <c r="D205" s="56">
        <v>0</v>
      </c>
      <c r="E205" s="55">
        <v>0</v>
      </c>
    </row>
    <row r="206" spans="1:5" s="14" customFormat="1" ht="15" thickBot="1" x14ac:dyDescent="0.35">
      <c r="A206" s="8" t="s">
        <v>810</v>
      </c>
      <c r="B206" s="9" t="s">
        <v>451</v>
      </c>
      <c r="C206" s="9">
        <v>0</v>
      </c>
      <c r="D206" s="56">
        <v>0</v>
      </c>
      <c r="E206" s="55">
        <v>0</v>
      </c>
    </row>
    <row r="207" spans="1:5" s="14" customFormat="1" ht="15" thickBot="1" x14ac:dyDescent="0.35">
      <c r="A207" s="8" t="s">
        <v>811</v>
      </c>
      <c r="B207" s="9" t="s">
        <v>453</v>
      </c>
      <c r="C207" s="9">
        <v>0</v>
      </c>
      <c r="D207" s="56">
        <v>0</v>
      </c>
      <c r="E207" s="55">
        <v>0</v>
      </c>
    </row>
    <row r="208" spans="1:5" s="14" customFormat="1" ht="15" thickBot="1" x14ac:dyDescent="0.35">
      <c r="A208" s="8" t="s">
        <v>812</v>
      </c>
      <c r="B208" s="9" t="s">
        <v>455</v>
      </c>
      <c r="C208" s="9">
        <v>0</v>
      </c>
      <c r="D208" s="56">
        <v>0</v>
      </c>
      <c r="E208" s="55">
        <v>0</v>
      </c>
    </row>
    <row r="209" spans="1:5" s="14" customFormat="1" ht="15" thickBot="1" x14ac:dyDescent="0.35">
      <c r="A209" s="8" t="s">
        <v>813</v>
      </c>
      <c r="B209" s="9" t="s">
        <v>457</v>
      </c>
      <c r="C209" s="9">
        <v>0</v>
      </c>
      <c r="D209" s="56">
        <v>0</v>
      </c>
      <c r="E209" s="55">
        <v>0</v>
      </c>
    </row>
    <row r="210" spans="1:5" s="14" customFormat="1" ht="15" thickBot="1" x14ac:dyDescent="0.35">
      <c r="A210" s="8" t="s">
        <v>814</v>
      </c>
      <c r="B210" s="9" t="s">
        <v>459</v>
      </c>
      <c r="C210" s="9">
        <v>0</v>
      </c>
      <c r="D210" s="56">
        <v>0</v>
      </c>
      <c r="E210" s="55">
        <v>0</v>
      </c>
    </row>
    <row r="211" spans="1:5" s="14" customFormat="1" ht="15" thickBot="1" x14ac:dyDescent="0.35">
      <c r="A211" s="8" t="s">
        <v>815</v>
      </c>
      <c r="B211" s="9" t="s">
        <v>461</v>
      </c>
      <c r="C211" s="9">
        <v>0</v>
      </c>
      <c r="D211" s="56">
        <v>0</v>
      </c>
      <c r="E211" s="55">
        <v>0</v>
      </c>
    </row>
    <row r="212" spans="1:5" s="14" customFormat="1" ht="15" thickBot="1" x14ac:dyDescent="0.35">
      <c r="A212" s="8" t="s">
        <v>816</v>
      </c>
      <c r="B212" s="9" t="s">
        <v>463</v>
      </c>
      <c r="C212" s="9">
        <v>0</v>
      </c>
      <c r="D212" s="56">
        <v>0</v>
      </c>
      <c r="E212" s="55">
        <v>0</v>
      </c>
    </row>
    <row r="213" spans="1:5" s="14" customFormat="1" ht="15" thickBot="1" x14ac:dyDescent="0.35">
      <c r="A213" s="8" t="s">
        <v>817</v>
      </c>
      <c r="B213" s="9" t="s">
        <v>465</v>
      </c>
      <c r="C213" s="9">
        <v>0</v>
      </c>
      <c r="D213" s="56">
        <v>0</v>
      </c>
      <c r="E213" s="55">
        <v>0</v>
      </c>
    </row>
    <row r="214" spans="1:5" s="14" customFormat="1" ht="15" thickBot="1" x14ac:dyDescent="0.35">
      <c r="A214" s="8" t="s">
        <v>818</v>
      </c>
      <c r="B214" s="9" t="s">
        <v>467</v>
      </c>
      <c r="C214" s="9">
        <v>0</v>
      </c>
      <c r="D214" s="56">
        <v>0</v>
      </c>
      <c r="E214" s="55">
        <v>0</v>
      </c>
    </row>
    <row r="215" spans="1:5" s="14" customFormat="1" ht="15" thickBot="1" x14ac:dyDescent="0.35">
      <c r="A215" s="8" t="s">
        <v>819</v>
      </c>
      <c r="B215" s="9" t="s">
        <v>469</v>
      </c>
      <c r="C215" s="9">
        <v>0</v>
      </c>
      <c r="D215" s="56">
        <v>0</v>
      </c>
      <c r="E215" s="55">
        <v>0</v>
      </c>
    </row>
    <row r="216" spans="1:5" s="14" customFormat="1" ht="15" thickBot="1" x14ac:dyDescent="0.35">
      <c r="A216" s="8" t="s">
        <v>820</v>
      </c>
      <c r="B216" s="9" t="s">
        <v>471</v>
      </c>
      <c r="C216" s="9">
        <v>0</v>
      </c>
      <c r="D216" s="56">
        <v>0</v>
      </c>
      <c r="E216" s="55">
        <v>0</v>
      </c>
    </row>
    <row r="217" spans="1:5" s="14" customFormat="1" ht="15" thickBot="1" x14ac:dyDescent="0.35">
      <c r="A217" s="8" t="s">
        <v>821</v>
      </c>
      <c r="B217" s="9" t="s">
        <v>473</v>
      </c>
      <c r="C217" s="9">
        <v>0</v>
      </c>
      <c r="D217" s="56">
        <v>0</v>
      </c>
      <c r="E217" s="55">
        <v>0</v>
      </c>
    </row>
    <row r="218" spans="1:5" s="14" customFormat="1" ht="15" thickBot="1" x14ac:dyDescent="0.35">
      <c r="A218" s="8" t="s">
        <v>822</v>
      </c>
      <c r="B218" s="9" t="s">
        <v>475</v>
      </c>
      <c r="C218" s="9">
        <v>0</v>
      </c>
      <c r="D218" s="56">
        <v>0</v>
      </c>
      <c r="E218" s="55">
        <v>0</v>
      </c>
    </row>
    <row r="219" spans="1:5" s="14" customFormat="1" ht="15" thickBot="1" x14ac:dyDescent="0.35">
      <c r="A219" s="8" t="s">
        <v>823</v>
      </c>
      <c r="B219" s="9" t="s">
        <v>477</v>
      </c>
      <c r="C219" s="9">
        <v>0</v>
      </c>
      <c r="D219" s="56">
        <v>0</v>
      </c>
      <c r="E219" s="55">
        <v>0</v>
      </c>
    </row>
    <row r="220" spans="1:5" s="14" customFormat="1" ht="15" thickBot="1" x14ac:dyDescent="0.35">
      <c r="A220" s="8" t="s">
        <v>824</v>
      </c>
      <c r="B220" s="9" t="s">
        <v>479</v>
      </c>
      <c r="C220" s="9">
        <v>0</v>
      </c>
      <c r="D220" s="56">
        <v>0</v>
      </c>
      <c r="E220" s="55">
        <v>0</v>
      </c>
    </row>
    <row r="221" spans="1:5" s="14" customFormat="1" ht="15" thickBot="1" x14ac:dyDescent="0.35">
      <c r="A221" s="8" t="s">
        <v>825</v>
      </c>
      <c r="B221" s="9" t="s">
        <v>481</v>
      </c>
      <c r="C221" s="9">
        <v>0</v>
      </c>
      <c r="D221" s="56">
        <v>0</v>
      </c>
      <c r="E221" s="55">
        <v>0</v>
      </c>
    </row>
    <row r="222" spans="1:5" s="14" customFormat="1" ht="15" thickBot="1" x14ac:dyDescent="0.35">
      <c r="A222" s="8" t="s">
        <v>826</v>
      </c>
      <c r="B222" s="9" t="s">
        <v>483</v>
      </c>
      <c r="C222" s="9">
        <v>0</v>
      </c>
      <c r="D222" s="56">
        <v>0</v>
      </c>
      <c r="E222" s="55">
        <v>0</v>
      </c>
    </row>
    <row r="223" spans="1:5" s="14" customFormat="1" ht="15" thickBot="1" x14ac:dyDescent="0.35">
      <c r="A223" s="8" t="s">
        <v>827</v>
      </c>
      <c r="B223" s="9" t="s">
        <v>485</v>
      </c>
      <c r="C223" s="9">
        <v>0</v>
      </c>
      <c r="D223" s="56">
        <v>0</v>
      </c>
      <c r="E223" s="55">
        <v>0</v>
      </c>
    </row>
    <row r="224" spans="1:5" s="14" customFormat="1" ht="15" thickBot="1" x14ac:dyDescent="0.35">
      <c r="A224" s="8" t="s">
        <v>828</v>
      </c>
      <c r="B224" s="9" t="s">
        <v>487</v>
      </c>
      <c r="C224" s="9">
        <v>0</v>
      </c>
      <c r="D224" s="56">
        <v>0</v>
      </c>
      <c r="E224" s="55">
        <v>0</v>
      </c>
    </row>
    <row r="225" spans="1:5" s="14" customFormat="1" ht="15" thickBot="1" x14ac:dyDescent="0.35">
      <c r="A225" s="8" t="s">
        <v>829</v>
      </c>
      <c r="B225" s="9" t="s">
        <v>489</v>
      </c>
      <c r="C225" s="9">
        <v>0</v>
      </c>
      <c r="D225" s="56">
        <v>0</v>
      </c>
      <c r="E225" s="55">
        <v>0</v>
      </c>
    </row>
    <row r="226" spans="1:5" s="14" customFormat="1" ht="15" thickBot="1" x14ac:dyDescent="0.35">
      <c r="A226" s="8" t="s">
        <v>830</v>
      </c>
      <c r="B226" s="9" t="s">
        <v>491</v>
      </c>
      <c r="C226" s="9">
        <v>0</v>
      </c>
      <c r="D226" s="56">
        <v>0</v>
      </c>
      <c r="E226" s="55">
        <v>0</v>
      </c>
    </row>
    <row r="227" spans="1:5" s="14" customFormat="1" ht="15" thickBot="1" x14ac:dyDescent="0.35">
      <c r="A227" s="8" t="s">
        <v>831</v>
      </c>
      <c r="B227" s="9" t="s">
        <v>493</v>
      </c>
      <c r="C227" s="9">
        <v>0</v>
      </c>
      <c r="D227" s="56">
        <v>0</v>
      </c>
      <c r="E227" s="55">
        <v>0</v>
      </c>
    </row>
    <row r="228" spans="1:5" s="14" customFormat="1" ht="15" thickBot="1" x14ac:dyDescent="0.35">
      <c r="A228" s="8" t="s">
        <v>832</v>
      </c>
      <c r="B228" s="9" t="s">
        <v>495</v>
      </c>
      <c r="C228" s="9">
        <v>0</v>
      </c>
      <c r="D228" s="56">
        <v>0</v>
      </c>
      <c r="E228" s="55">
        <v>0</v>
      </c>
    </row>
    <row r="229" spans="1:5" s="14" customFormat="1" ht="15" thickBot="1" x14ac:dyDescent="0.35">
      <c r="A229" s="8" t="s">
        <v>833</v>
      </c>
      <c r="B229" s="9" t="s">
        <v>497</v>
      </c>
      <c r="C229" s="9">
        <v>0</v>
      </c>
      <c r="D229" s="56">
        <v>0</v>
      </c>
      <c r="E229" s="55">
        <v>0</v>
      </c>
    </row>
    <row r="230" spans="1:5" s="14" customFormat="1" ht="15" thickBot="1" x14ac:dyDescent="0.35">
      <c r="A230" s="8" t="s">
        <v>834</v>
      </c>
      <c r="B230" s="9" t="s">
        <v>499</v>
      </c>
      <c r="C230" s="9">
        <v>0</v>
      </c>
      <c r="D230" s="56">
        <v>0</v>
      </c>
      <c r="E230" s="55">
        <v>0</v>
      </c>
    </row>
    <row r="231" spans="1:5" s="14" customFormat="1" ht="15" thickBot="1" x14ac:dyDescent="0.35">
      <c r="A231" s="8" t="s">
        <v>835</v>
      </c>
      <c r="B231" s="9" t="s">
        <v>501</v>
      </c>
      <c r="C231" s="9">
        <v>0</v>
      </c>
      <c r="D231" s="56">
        <v>0</v>
      </c>
      <c r="E231" s="55">
        <v>0</v>
      </c>
    </row>
    <row r="232" spans="1:5" s="14" customFormat="1" ht="15" thickBot="1" x14ac:dyDescent="0.35">
      <c r="A232" s="8" t="s">
        <v>836</v>
      </c>
      <c r="B232" s="9" t="s">
        <v>503</v>
      </c>
      <c r="C232" s="9">
        <v>0</v>
      </c>
      <c r="D232" s="56">
        <v>0</v>
      </c>
      <c r="E232" s="55">
        <v>0</v>
      </c>
    </row>
    <row r="233" spans="1:5" s="14" customFormat="1" ht="15" thickBot="1" x14ac:dyDescent="0.35">
      <c r="A233" s="8" t="s">
        <v>837</v>
      </c>
      <c r="B233" s="9" t="s">
        <v>505</v>
      </c>
      <c r="C233" s="9">
        <v>0</v>
      </c>
      <c r="D233" s="56">
        <v>0</v>
      </c>
      <c r="E233" s="55">
        <v>0</v>
      </c>
    </row>
    <row r="234" spans="1:5" s="14" customFormat="1" ht="15" thickBot="1" x14ac:dyDescent="0.35">
      <c r="A234" s="8" t="s">
        <v>838</v>
      </c>
      <c r="B234" s="9" t="s">
        <v>507</v>
      </c>
      <c r="C234" s="9">
        <v>0</v>
      </c>
      <c r="D234" s="56">
        <v>0</v>
      </c>
      <c r="E234" s="55">
        <v>0</v>
      </c>
    </row>
    <row r="235" spans="1:5" s="14" customFormat="1" ht="15" thickBot="1" x14ac:dyDescent="0.35">
      <c r="A235" s="8" t="s">
        <v>839</v>
      </c>
      <c r="B235" s="9" t="s">
        <v>509</v>
      </c>
      <c r="C235" s="9">
        <v>0</v>
      </c>
      <c r="D235" s="56">
        <v>0</v>
      </c>
      <c r="E235" s="55">
        <v>0</v>
      </c>
    </row>
    <row r="236" spans="1:5" s="14" customFormat="1" ht="15" thickBot="1" x14ac:dyDescent="0.35">
      <c r="A236" s="8" t="s">
        <v>840</v>
      </c>
      <c r="B236" s="9" t="s">
        <v>511</v>
      </c>
      <c r="C236" s="9">
        <v>0</v>
      </c>
      <c r="D236" s="56">
        <v>0</v>
      </c>
      <c r="E236" s="55">
        <v>0</v>
      </c>
    </row>
    <row r="237" spans="1:5" s="14" customFormat="1" ht="15" thickBot="1" x14ac:dyDescent="0.35">
      <c r="A237" s="8" t="s">
        <v>841</v>
      </c>
      <c r="B237" s="9" t="s">
        <v>513</v>
      </c>
      <c r="C237" s="9">
        <v>0</v>
      </c>
      <c r="D237" s="56">
        <v>0</v>
      </c>
      <c r="E237" s="55">
        <v>0</v>
      </c>
    </row>
    <row r="238" spans="1:5" s="14" customFormat="1" ht="15" thickBot="1" x14ac:dyDescent="0.35">
      <c r="A238" s="8" t="s">
        <v>842</v>
      </c>
      <c r="B238" s="9" t="s">
        <v>515</v>
      </c>
      <c r="C238" s="9">
        <v>0</v>
      </c>
      <c r="D238" s="56">
        <v>0</v>
      </c>
      <c r="E238" s="55">
        <v>0</v>
      </c>
    </row>
    <row r="239" spans="1:5" s="14" customFormat="1" ht="15" thickBot="1" x14ac:dyDescent="0.35">
      <c r="A239" s="8" t="s">
        <v>843</v>
      </c>
      <c r="B239" s="9" t="s">
        <v>517</v>
      </c>
      <c r="C239" s="9">
        <v>0</v>
      </c>
      <c r="D239" s="56">
        <v>0</v>
      </c>
      <c r="E239" s="55">
        <v>0</v>
      </c>
    </row>
    <row r="240" spans="1:5" s="14" customFormat="1" ht="15" thickBot="1" x14ac:dyDescent="0.35">
      <c r="A240" s="8" t="s">
        <v>844</v>
      </c>
      <c r="B240" s="9" t="s">
        <v>519</v>
      </c>
      <c r="C240" s="9">
        <v>0</v>
      </c>
      <c r="D240" s="56">
        <v>0</v>
      </c>
      <c r="E240" s="55">
        <v>0</v>
      </c>
    </row>
    <row r="241" spans="1:5" s="14" customFormat="1" ht="15" thickBot="1" x14ac:dyDescent="0.35">
      <c r="A241" s="8" t="s">
        <v>845</v>
      </c>
      <c r="B241" s="9" t="s">
        <v>521</v>
      </c>
      <c r="C241" s="9">
        <v>0</v>
      </c>
      <c r="D241" s="56">
        <v>0</v>
      </c>
      <c r="E241" s="55">
        <v>0</v>
      </c>
    </row>
    <row r="242" spans="1:5" s="14" customFormat="1" ht="15" thickBot="1" x14ac:dyDescent="0.35">
      <c r="A242" s="8" t="s">
        <v>846</v>
      </c>
      <c r="B242" s="9" t="s">
        <v>523</v>
      </c>
      <c r="C242" s="9">
        <v>0</v>
      </c>
      <c r="D242" s="56">
        <v>0</v>
      </c>
      <c r="E242" s="55">
        <v>0</v>
      </c>
    </row>
    <row r="243" spans="1:5" s="14" customFormat="1" ht="15" thickBot="1" x14ac:dyDescent="0.35">
      <c r="A243" s="8" t="s">
        <v>847</v>
      </c>
      <c r="B243" s="9" t="s">
        <v>525</v>
      </c>
      <c r="C243" s="9">
        <v>0</v>
      </c>
      <c r="D243" s="56">
        <v>0</v>
      </c>
      <c r="E243" s="55">
        <v>0</v>
      </c>
    </row>
    <row r="244" spans="1:5" s="14" customFormat="1" ht="15" thickBot="1" x14ac:dyDescent="0.35">
      <c r="A244" s="8" t="s">
        <v>848</v>
      </c>
      <c r="B244" s="9" t="s">
        <v>527</v>
      </c>
      <c r="C244" s="9">
        <v>0</v>
      </c>
      <c r="D244" s="56">
        <v>0</v>
      </c>
      <c r="E244" s="55">
        <v>0</v>
      </c>
    </row>
    <row r="245" spans="1:5" s="14" customFormat="1" ht="15" thickBot="1" x14ac:dyDescent="0.35">
      <c r="A245" s="8" t="s">
        <v>849</v>
      </c>
      <c r="B245" s="9" t="s">
        <v>529</v>
      </c>
      <c r="C245" s="9">
        <v>0</v>
      </c>
      <c r="D245" s="56">
        <v>0</v>
      </c>
      <c r="E245" s="55">
        <v>0</v>
      </c>
    </row>
    <row r="246" spans="1:5" s="14" customFormat="1" ht="15" thickBot="1" x14ac:dyDescent="0.35">
      <c r="A246" s="8" t="s">
        <v>850</v>
      </c>
      <c r="B246" s="9" t="s">
        <v>531</v>
      </c>
      <c r="C246" s="9">
        <v>0</v>
      </c>
      <c r="D246" s="56">
        <v>0</v>
      </c>
      <c r="E246" s="55">
        <v>0</v>
      </c>
    </row>
    <row r="247" spans="1:5" s="14" customFormat="1" ht="15" thickBot="1" x14ac:dyDescent="0.35">
      <c r="A247" s="8" t="s">
        <v>851</v>
      </c>
      <c r="B247" s="9" t="s">
        <v>533</v>
      </c>
      <c r="C247" s="9">
        <v>0</v>
      </c>
      <c r="D247" s="56">
        <v>0</v>
      </c>
      <c r="E247" s="55">
        <v>0</v>
      </c>
    </row>
    <row r="248" spans="1:5" s="14" customFormat="1" ht="15" thickBot="1" x14ac:dyDescent="0.35">
      <c r="A248" s="8" t="s">
        <v>852</v>
      </c>
      <c r="B248" s="9" t="s">
        <v>535</v>
      </c>
      <c r="C248" s="9">
        <v>0</v>
      </c>
      <c r="D248" s="56">
        <v>0</v>
      </c>
      <c r="E248" s="55">
        <v>0</v>
      </c>
    </row>
    <row r="249" spans="1:5" s="14" customFormat="1" ht="15" thickBot="1" x14ac:dyDescent="0.35">
      <c r="A249" s="8" t="s">
        <v>853</v>
      </c>
      <c r="B249" s="9" t="s">
        <v>537</v>
      </c>
      <c r="C249" s="9">
        <v>0</v>
      </c>
      <c r="D249" s="56">
        <v>0</v>
      </c>
      <c r="E249" s="55">
        <v>0</v>
      </c>
    </row>
    <row r="250" spans="1:5" s="14" customFormat="1" ht="15" thickBot="1" x14ac:dyDescent="0.35">
      <c r="A250" s="8" t="s">
        <v>854</v>
      </c>
      <c r="B250" s="9" t="s">
        <v>539</v>
      </c>
      <c r="C250" s="9">
        <v>0</v>
      </c>
      <c r="D250" s="56">
        <v>0</v>
      </c>
      <c r="E250" s="55">
        <v>0</v>
      </c>
    </row>
    <row r="251" spans="1:5" s="14" customFormat="1" ht="15" thickBot="1" x14ac:dyDescent="0.35">
      <c r="A251" s="8" t="s">
        <v>855</v>
      </c>
      <c r="B251" s="9" t="s">
        <v>541</v>
      </c>
      <c r="C251" s="9">
        <v>0</v>
      </c>
      <c r="D251" s="56">
        <v>0</v>
      </c>
      <c r="E251" s="55">
        <v>0</v>
      </c>
    </row>
    <row r="252" spans="1:5" s="14" customFormat="1" ht="15" thickBot="1" x14ac:dyDescent="0.35">
      <c r="A252" s="8" t="s">
        <v>856</v>
      </c>
      <c r="B252" s="9" t="s">
        <v>543</v>
      </c>
      <c r="C252" s="9">
        <v>0</v>
      </c>
      <c r="D252" s="56">
        <v>0</v>
      </c>
      <c r="E252" s="55">
        <v>0</v>
      </c>
    </row>
    <row r="253" spans="1:5" s="14" customFormat="1" ht="15" thickBot="1" x14ac:dyDescent="0.35">
      <c r="A253" s="8" t="s">
        <v>857</v>
      </c>
      <c r="B253" s="9" t="s">
        <v>545</v>
      </c>
      <c r="C253" s="9">
        <v>0</v>
      </c>
      <c r="D253" s="56">
        <v>0</v>
      </c>
      <c r="E253" s="55">
        <v>0</v>
      </c>
    </row>
    <row r="254" spans="1:5" s="14" customFormat="1" ht="15" thickBot="1" x14ac:dyDescent="0.35">
      <c r="A254" s="8" t="s">
        <v>858</v>
      </c>
      <c r="B254" s="9" t="s">
        <v>547</v>
      </c>
      <c r="C254" s="9">
        <v>0</v>
      </c>
      <c r="D254" s="56">
        <v>0</v>
      </c>
      <c r="E254" s="55">
        <v>0</v>
      </c>
    </row>
    <row r="255" spans="1:5" s="14" customFormat="1" ht="15" thickBot="1" x14ac:dyDescent="0.35">
      <c r="A255" s="8" t="s">
        <v>859</v>
      </c>
      <c r="B255" s="9" t="s">
        <v>549</v>
      </c>
      <c r="C255" s="9">
        <v>0</v>
      </c>
      <c r="D255" s="56">
        <v>0</v>
      </c>
      <c r="E255" s="55">
        <v>0</v>
      </c>
    </row>
    <row r="256" spans="1:5" s="14" customFormat="1" ht="15" thickBot="1" x14ac:dyDescent="0.35">
      <c r="A256" s="8" t="s">
        <v>860</v>
      </c>
      <c r="B256" s="9" t="s">
        <v>551</v>
      </c>
      <c r="C256" s="9">
        <v>0</v>
      </c>
      <c r="D256" s="56">
        <v>0</v>
      </c>
      <c r="E256" s="55">
        <v>0</v>
      </c>
    </row>
    <row r="257" spans="1:5" s="14" customFormat="1" ht="15" thickBot="1" x14ac:dyDescent="0.35">
      <c r="A257" s="8" t="s">
        <v>861</v>
      </c>
      <c r="B257" s="9" t="s">
        <v>553</v>
      </c>
      <c r="C257" s="9">
        <v>0</v>
      </c>
      <c r="D257" s="56">
        <v>0</v>
      </c>
      <c r="E257" s="55">
        <v>0</v>
      </c>
    </row>
    <row r="258" spans="1:5" s="14" customFormat="1" ht="15" thickBot="1" x14ac:dyDescent="0.35">
      <c r="A258" s="8" t="s">
        <v>862</v>
      </c>
      <c r="B258" s="9" t="s">
        <v>555</v>
      </c>
      <c r="C258" s="9">
        <v>0</v>
      </c>
      <c r="D258" s="56">
        <v>0</v>
      </c>
      <c r="E258" s="55">
        <v>0</v>
      </c>
    </row>
    <row r="259" spans="1:5" s="14" customFormat="1" ht="15" thickBot="1" x14ac:dyDescent="0.35">
      <c r="A259" s="8" t="s">
        <v>863</v>
      </c>
      <c r="B259" s="9" t="s">
        <v>557</v>
      </c>
      <c r="C259" s="9">
        <v>0</v>
      </c>
      <c r="D259" s="56">
        <v>0</v>
      </c>
      <c r="E259" s="55">
        <v>0</v>
      </c>
    </row>
    <row r="260" spans="1:5" s="14" customFormat="1" ht="15" thickBot="1" x14ac:dyDescent="0.35">
      <c r="A260" s="8" t="s">
        <v>864</v>
      </c>
      <c r="B260" s="9" t="s">
        <v>559</v>
      </c>
      <c r="C260" s="9">
        <v>0</v>
      </c>
      <c r="D260" s="56">
        <v>0</v>
      </c>
      <c r="E260" s="55">
        <v>0</v>
      </c>
    </row>
    <row r="261" spans="1:5" s="14" customFormat="1" ht="15" thickBot="1" x14ac:dyDescent="0.35">
      <c r="A261" s="8" t="s">
        <v>865</v>
      </c>
      <c r="B261" s="9" t="s">
        <v>561</v>
      </c>
      <c r="C261" s="9">
        <v>0</v>
      </c>
      <c r="D261" s="56">
        <v>0</v>
      </c>
      <c r="E261" s="55">
        <v>0</v>
      </c>
    </row>
    <row r="262" spans="1:5" s="14" customFormat="1" ht="15" thickBot="1" x14ac:dyDescent="0.35">
      <c r="A262" s="8" t="s">
        <v>866</v>
      </c>
      <c r="B262" s="9" t="s">
        <v>563</v>
      </c>
      <c r="C262" s="9">
        <v>0</v>
      </c>
      <c r="D262" s="56">
        <v>0</v>
      </c>
      <c r="E262" s="55">
        <v>0</v>
      </c>
    </row>
    <row r="263" spans="1:5" s="14" customFormat="1" ht="15" thickBot="1" x14ac:dyDescent="0.35">
      <c r="A263" s="8" t="s">
        <v>867</v>
      </c>
      <c r="B263" s="9" t="s">
        <v>565</v>
      </c>
      <c r="C263" s="9">
        <v>0</v>
      </c>
      <c r="D263" s="56">
        <v>0</v>
      </c>
      <c r="E263" s="55">
        <v>0</v>
      </c>
    </row>
    <row r="264" spans="1:5" s="14" customFormat="1" ht="15" thickBot="1" x14ac:dyDescent="0.35">
      <c r="A264" s="8" t="s">
        <v>868</v>
      </c>
      <c r="B264" s="9" t="s">
        <v>567</v>
      </c>
      <c r="C264" s="9">
        <v>0</v>
      </c>
      <c r="D264" s="56">
        <v>0</v>
      </c>
      <c r="E264" s="55">
        <v>0</v>
      </c>
    </row>
    <row r="265" spans="1:5" s="14" customFormat="1" ht="15" thickBot="1" x14ac:dyDescent="0.35">
      <c r="A265" s="8" t="s">
        <v>869</v>
      </c>
      <c r="B265" s="9" t="s">
        <v>569</v>
      </c>
      <c r="C265" s="9">
        <v>0</v>
      </c>
      <c r="D265" s="56">
        <v>0</v>
      </c>
      <c r="E265" s="55">
        <v>0</v>
      </c>
    </row>
    <row r="266" spans="1:5" s="14" customFormat="1" ht="15" thickBot="1" x14ac:dyDescent="0.35">
      <c r="A266" s="8" t="s">
        <v>870</v>
      </c>
      <c r="B266" s="9" t="s">
        <v>571</v>
      </c>
      <c r="C266" s="9">
        <v>0</v>
      </c>
      <c r="D266" s="56">
        <v>0</v>
      </c>
      <c r="E266" s="55">
        <v>0</v>
      </c>
    </row>
    <row r="267" spans="1:5" s="14" customFormat="1" ht="15" thickBot="1" x14ac:dyDescent="0.35">
      <c r="A267" s="8" t="s">
        <v>871</v>
      </c>
      <c r="B267" s="9" t="s">
        <v>573</v>
      </c>
      <c r="C267" s="9">
        <v>0</v>
      </c>
      <c r="D267" s="56">
        <v>0</v>
      </c>
      <c r="E267" s="55">
        <v>0</v>
      </c>
    </row>
    <row r="268" spans="1:5" s="14" customFormat="1" ht="15" thickBot="1" x14ac:dyDescent="0.35">
      <c r="A268" s="8" t="s">
        <v>872</v>
      </c>
      <c r="B268" s="9" t="s">
        <v>575</v>
      </c>
      <c r="C268" s="9">
        <v>0</v>
      </c>
      <c r="D268" s="56">
        <v>0</v>
      </c>
      <c r="E268" s="55">
        <v>0</v>
      </c>
    </row>
    <row r="269" spans="1:5" s="14" customFormat="1" ht="15" thickBot="1" x14ac:dyDescent="0.35">
      <c r="A269" s="8" t="s">
        <v>873</v>
      </c>
      <c r="B269" s="9" t="s">
        <v>577</v>
      </c>
      <c r="C269" s="9">
        <v>0</v>
      </c>
      <c r="D269" s="56">
        <v>0</v>
      </c>
      <c r="E269" s="55">
        <v>0</v>
      </c>
    </row>
    <row r="270" spans="1:5" s="14" customFormat="1" ht="15" thickBot="1" x14ac:dyDescent="0.35">
      <c r="A270" s="8" t="s">
        <v>874</v>
      </c>
      <c r="B270" s="9" t="s">
        <v>579</v>
      </c>
      <c r="C270" s="9">
        <v>0</v>
      </c>
      <c r="D270" s="56">
        <v>0</v>
      </c>
      <c r="E270" s="55">
        <v>0</v>
      </c>
    </row>
    <row r="271" spans="1:5" s="14" customFormat="1" ht="15" thickBot="1" x14ac:dyDescent="0.35">
      <c r="A271" s="8" t="s">
        <v>875</v>
      </c>
      <c r="B271" s="9" t="s">
        <v>581</v>
      </c>
      <c r="C271" s="9">
        <v>0</v>
      </c>
      <c r="D271" s="56">
        <v>0</v>
      </c>
      <c r="E271" s="55">
        <v>0</v>
      </c>
    </row>
    <row r="272" spans="1:5" s="14" customFormat="1" ht="15" thickBot="1" x14ac:dyDescent="0.35">
      <c r="A272" s="8" t="s">
        <v>876</v>
      </c>
      <c r="B272" s="9" t="s">
        <v>583</v>
      </c>
      <c r="C272" s="9">
        <v>0</v>
      </c>
      <c r="D272" s="56">
        <v>0</v>
      </c>
      <c r="E272" s="55">
        <v>0</v>
      </c>
    </row>
    <row r="273" spans="1:5" s="14" customFormat="1" ht="15" thickBot="1" x14ac:dyDescent="0.35">
      <c r="A273" s="8" t="s">
        <v>877</v>
      </c>
      <c r="B273" s="9" t="s">
        <v>585</v>
      </c>
      <c r="C273" s="9">
        <v>0</v>
      </c>
      <c r="D273" s="56">
        <v>0</v>
      </c>
      <c r="E273" s="55">
        <v>0</v>
      </c>
    </row>
    <row r="274" spans="1:5" s="14" customFormat="1" ht="15" thickBot="1" x14ac:dyDescent="0.35">
      <c r="A274" s="8" t="s">
        <v>878</v>
      </c>
      <c r="B274" s="9" t="s">
        <v>587</v>
      </c>
      <c r="C274" s="9">
        <v>0</v>
      </c>
      <c r="D274" s="56">
        <v>0</v>
      </c>
      <c r="E274" s="55">
        <v>0</v>
      </c>
    </row>
    <row r="275" spans="1:5" s="14" customFormat="1" ht="15" thickBot="1" x14ac:dyDescent="0.35">
      <c r="A275" s="8" t="s">
        <v>879</v>
      </c>
      <c r="B275" s="9" t="s">
        <v>589</v>
      </c>
      <c r="C275" s="9">
        <v>0</v>
      </c>
      <c r="D275" s="56">
        <v>0</v>
      </c>
      <c r="E275" s="55">
        <v>0</v>
      </c>
    </row>
    <row r="276" spans="1:5" s="14" customFormat="1" ht="15" thickBot="1" x14ac:dyDescent="0.35">
      <c r="A276" s="8" t="s">
        <v>880</v>
      </c>
      <c r="B276" s="9" t="s">
        <v>591</v>
      </c>
      <c r="C276" s="9">
        <v>0</v>
      </c>
      <c r="D276" s="56">
        <v>0</v>
      </c>
      <c r="E276" s="55">
        <v>0</v>
      </c>
    </row>
    <row r="277" spans="1:5" s="14" customFormat="1" ht="15" thickBot="1" x14ac:dyDescent="0.35">
      <c r="A277" s="8" t="s">
        <v>881</v>
      </c>
      <c r="B277" s="9" t="s">
        <v>593</v>
      </c>
      <c r="C277" s="9">
        <v>0</v>
      </c>
      <c r="D277" s="56">
        <v>0</v>
      </c>
      <c r="E277" s="55">
        <v>0</v>
      </c>
    </row>
    <row r="278" spans="1:5" s="14" customFormat="1" ht="15" thickBot="1" x14ac:dyDescent="0.35">
      <c r="A278" s="8" t="s">
        <v>882</v>
      </c>
      <c r="B278" s="9" t="s">
        <v>595</v>
      </c>
      <c r="C278" s="9">
        <v>0</v>
      </c>
      <c r="D278" s="56">
        <v>0</v>
      </c>
      <c r="E278" s="55">
        <v>0</v>
      </c>
    </row>
    <row r="279" spans="1:5" s="14" customFormat="1" ht="15" thickBot="1" x14ac:dyDescent="0.35">
      <c r="A279" s="8" t="s">
        <v>883</v>
      </c>
      <c r="B279" s="9" t="s">
        <v>597</v>
      </c>
      <c r="C279" s="9">
        <v>0</v>
      </c>
      <c r="D279" s="56">
        <v>0</v>
      </c>
      <c r="E279" s="55">
        <v>0</v>
      </c>
    </row>
    <row r="280" spans="1:5" s="14" customFormat="1" ht="15" thickBot="1" x14ac:dyDescent="0.35">
      <c r="A280" s="8" t="s">
        <v>884</v>
      </c>
      <c r="B280" s="9" t="s">
        <v>599</v>
      </c>
      <c r="C280" s="9">
        <v>0</v>
      </c>
      <c r="D280" s="56">
        <v>0</v>
      </c>
      <c r="E280" s="55">
        <v>0</v>
      </c>
    </row>
    <row r="281" spans="1:5" s="14" customFormat="1" ht="15" thickBot="1" x14ac:dyDescent="0.35">
      <c r="A281" s="8" t="s">
        <v>885</v>
      </c>
      <c r="B281" s="9" t="s">
        <v>601</v>
      </c>
      <c r="C281" s="9">
        <v>0</v>
      </c>
      <c r="D281" s="56">
        <v>0</v>
      </c>
      <c r="E281" s="55">
        <v>0</v>
      </c>
    </row>
    <row r="282" spans="1:5" s="14" customFormat="1" ht="15" thickBot="1" x14ac:dyDescent="0.35">
      <c r="A282" s="8" t="s">
        <v>886</v>
      </c>
      <c r="B282" s="9" t="s">
        <v>603</v>
      </c>
      <c r="C282" s="9">
        <v>0</v>
      </c>
      <c r="D282" s="56">
        <v>0</v>
      </c>
      <c r="E282" s="55">
        <v>0</v>
      </c>
    </row>
    <row r="283" spans="1:5" s="14" customFormat="1" ht="15" thickBot="1" x14ac:dyDescent="0.35">
      <c r="A283" s="8" t="s">
        <v>887</v>
      </c>
      <c r="B283" s="9" t="s">
        <v>888</v>
      </c>
      <c r="C283" s="9">
        <v>0</v>
      </c>
      <c r="D283" s="56">
        <v>0</v>
      </c>
      <c r="E283" s="55">
        <v>0</v>
      </c>
    </row>
    <row r="284" spans="1:5" s="14" customFormat="1" ht="15" thickBot="1" x14ac:dyDescent="0.35">
      <c r="A284" s="8" t="s">
        <v>889</v>
      </c>
      <c r="B284" s="9" t="s">
        <v>890</v>
      </c>
      <c r="C284" s="9">
        <v>0</v>
      </c>
      <c r="D284" s="56">
        <v>0</v>
      </c>
      <c r="E284" s="55">
        <v>0</v>
      </c>
    </row>
    <row r="285" spans="1:5" s="14" customFormat="1" x14ac:dyDescent="0.3">
      <c r="A285" s="8" t="s">
        <v>891</v>
      </c>
      <c r="B285" s="9" t="s">
        <v>892</v>
      </c>
      <c r="C285" s="9">
        <v>0</v>
      </c>
      <c r="D285" s="56">
        <v>0</v>
      </c>
      <c r="E285" s="55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FA490-2CC8-4235-B745-FC12E230B5BB}">
  <sheetPr codeName="Hoja5"/>
  <dimension ref="A1:D1423"/>
  <sheetViews>
    <sheetView workbookViewId="0">
      <selection activeCell="A284" sqref="A284:XFD286"/>
    </sheetView>
  </sheetViews>
  <sheetFormatPr baseColWidth="10" defaultRowHeight="14.4" x14ac:dyDescent="0.3"/>
  <cols>
    <col min="1" max="1" width="11" bestFit="1" customWidth="1"/>
    <col min="2" max="2" width="66.88671875" bestFit="1" customWidth="1"/>
  </cols>
  <sheetData>
    <row r="1" spans="1:4" x14ac:dyDescent="0.3">
      <c r="A1" t="s">
        <v>169</v>
      </c>
      <c r="B1" t="s">
        <v>170</v>
      </c>
      <c r="C1" t="s">
        <v>171</v>
      </c>
      <c r="D1" t="s">
        <v>604</v>
      </c>
    </row>
    <row r="2" spans="1:4" x14ac:dyDescent="0.3">
      <c r="A2" t="s">
        <v>89</v>
      </c>
      <c r="B2" t="s">
        <v>90</v>
      </c>
      <c r="C2">
        <v>2705</v>
      </c>
      <c r="D2" t="s">
        <v>172</v>
      </c>
    </row>
    <row r="3" spans="1:4" x14ac:dyDescent="0.3">
      <c r="A3" t="s">
        <v>87</v>
      </c>
      <c r="B3" t="s">
        <v>88</v>
      </c>
      <c r="C3">
        <v>0</v>
      </c>
      <c r="D3" t="s">
        <v>172</v>
      </c>
    </row>
    <row r="4" spans="1:4" x14ac:dyDescent="0.3">
      <c r="A4" t="s">
        <v>173</v>
      </c>
      <c r="B4" t="s">
        <v>174</v>
      </c>
      <c r="C4">
        <v>0</v>
      </c>
      <c r="D4" t="s">
        <v>172</v>
      </c>
    </row>
    <row r="5" spans="1:4" x14ac:dyDescent="0.3">
      <c r="A5" t="s">
        <v>71</v>
      </c>
      <c r="B5" t="s">
        <v>72</v>
      </c>
      <c r="C5">
        <v>325</v>
      </c>
      <c r="D5" t="s">
        <v>175</v>
      </c>
    </row>
    <row r="6" spans="1:4" x14ac:dyDescent="0.3">
      <c r="A6" t="s">
        <v>176</v>
      </c>
      <c r="B6" t="s">
        <v>70</v>
      </c>
      <c r="C6">
        <v>0</v>
      </c>
      <c r="D6" t="s">
        <v>172</v>
      </c>
    </row>
    <row r="7" spans="1:4" x14ac:dyDescent="0.3">
      <c r="A7" t="s">
        <v>69</v>
      </c>
      <c r="B7" t="s">
        <v>70</v>
      </c>
      <c r="C7">
        <v>8835</v>
      </c>
      <c r="D7" t="s">
        <v>172</v>
      </c>
    </row>
    <row r="8" spans="1:4" x14ac:dyDescent="0.3">
      <c r="A8" t="s">
        <v>145</v>
      </c>
      <c r="B8" t="s">
        <v>146</v>
      </c>
      <c r="C8">
        <v>928</v>
      </c>
      <c r="D8" t="s">
        <v>177</v>
      </c>
    </row>
    <row r="9" spans="1:4" x14ac:dyDescent="0.3">
      <c r="A9" t="s">
        <v>127</v>
      </c>
      <c r="B9" t="s">
        <v>128</v>
      </c>
      <c r="C9">
        <v>588</v>
      </c>
      <c r="D9" t="s">
        <v>175</v>
      </c>
    </row>
    <row r="10" spans="1:4" x14ac:dyDescent="0.3">
      <c r="A10" t="s">
        <v>123</v>
      </c>
      <c r="B10" t="s">
        <v>124</v>
      </c>
      <c r="C10">
        <v>821</v>
      </c>
      <c r="D10" t="s">
        <v>177</v>
      </c>
    </row>
    <row r="11" spans="1:4" x14ac:dyDescent="0.3">
      <c r="A11" t="s">
        <v>119</v>
      </c>
      <c r="B11" t="s">
        <v>120</v>
      </c>
      <c r="C11">
        <v>377</v>
      </c>
      <c r="D11" t="s">
        <v>175</v>
      </c>
    </row>
    <row r="12" spans="1:4" x14ac:dyDescent="0.3">
      <c r="A12" t="s">
        <v>121</v>
      </c>
      <c r="B12" t="s">
        <v>122</v>
      </c>
      <c r="C12">
        <v>10805</v>
      </c>
      <c r="D12" t="s">
        <v>177</v>
      </c>
    </row>
    <row r="13" spans="1:4" x14ac:dyDescent="0.3">
      <c r="A13" t="s">
        <v>131</v>
      </c>
      <c r="B13" t="s">
        <v>132</v>
      </c>
      <c r="C13">
        <v>0</v>
      </c>
      <c r="D13" t="s">
        <v>177</v>
      </c>
    </row>
    <row r="14" spans="1:4" x14ac:dyDescent="0.3">
      <c r="A14" t="s">
        <v>43</v>
      </c>
      <c r="B14" t="s">
        <v>44</v>
      </c>
      <c r="C14">
        <v>0</v>
      </c>
      <c r="D14" t="s">
        <v>172</v>
      </c>
    </row>
    <row r="15" spans="1:4" x14ac:dyDescent="0.3">
      <c r="A15" t="s">
        <v>41</v>
      </c>
      <c r="B15" t="s">
        <v>42</v>
      </c>
      <c r="C15">
        <v>24103</v>
      </c>
      <c r="D15" t="s">
        <v>172</v>
      </c>
    </row>
    <row r="16" spans="1:4" x14ac:dyDescent="0.3">
      <c r="A16" t="s">
        <v>143</v>
      </c>
      <c r="B16" t="s">
        <v>144</v>
      </c>
      <c r="C16">
        <v>0</v>
      </c>
      <c r="D16" t="s">
        <v>175</v>
      </c>
    </row>
    <row r="17" spans="1:4" x14ac:dyDescent="0.3">
      <c r="A17" t="s">
        <v>141</v>
      </c>
      <c r="B17" t="s">
        <v>142</v>
      </c>
      <c r="C17">
        <v>575</v>
      </c>
      <c r="D17" t="s">
        <v>177</v>
      </c>
    </row>
    <row r="18" spans="1:4" x14ac:dyDescent="0.3">
      <c r="A18" t="s">
        <v>139</v>
      </c>
      <c r="B18" t="s">
        <v>140</v>
      </c>
      <c r="C18">
        <v>44</v>
      </c>
      <c r="D18" t="s">
        <v>172</v>
      </c>
    </row>
    <row r="19" spans="1:4" x14ac:dyDescent="0.3">
      <c r="A19" t="s">
        <v>135</v>
      </c>
      <c r="B19" t="s">
        <v>136</v>
      </c>
      <c r="C19">
        <v>89</v>
      </c>
      <c r="D19" t="s">
        <v>172</v>
      </c>
    </row>
    <row r="20" spans="1:4" x14ac:dyDescent="0.3">
      <c r="A20" t="s">
        <v>29</v>
      </c>
      <c r="B20" t="s">
        <v>30</v>
      </c>
      <c r="C20">
        <v>199</v>
      </c>
      <c r="D20" t="s">
        <v>177</v>
      </c>
    </row>
    <row r="21" spans="1:4" x14ac:dyDescent="0.3">
      <c r="A21" t="s">
        <v>31</v>
      </c>
      <c r="B21" t="s">
        <v>32</v>
      </c>
      <c r="C21">
        <v>408</v>
      </c>
      <c r="D21" t="s">
        <v>177</v>
      </c>
    </row>
    <row r="22" spans="1:4" x14ac:dyDescent="0.3">
      <c r="A22" t="s">
        <v>35</v>
      </c>
      <c r="B22" t="s">
        <v>36</v>
      </c>
      <c r="C22">
        <v>365</v>
      </c>
      <c r="D22" t="s">
        <v>177</v>
      </c>
    </row>
    <row r="23" spans="1:4" x14ac:dyDescent="0.3">
      <c r="A23" t="s">
        <v>33</v>
      </c>
      <c r="B23" t="s">
        <v>34</v>
      </c>
      <c r="C23">
        <v>14</v>
      </c>
      <c r="D23" t="s">
        <v>175</v>
      </c>
    </row>
    <row r="24" spans="1:4" x14ac:dyDescent="0.3">
      <c r="A24" t="s">
        <v>37</v>
      </c>
      <c r="B24" t="s">
        <v>38</v>
      </c>
      <c r="C24">
        <v>48</v>
      </c>
      <c r="D24" t="s">
        <v>175</v>
      </c>
    </row>
    <row r="25" spans="1:4" x14ac:dyDescent="0.3">
      <c r="A25" t="s">
        <v>39</v>
      </c>
      <c r="B25" t="s">
        <v>40</v>
      </c>
      <c r="C25">
        <v>40</v>
      </c>
      <c r="D25" t="s">
        <v>177</v>
      </c>
    </row>
    <row r="26" spans="1:4" x14ac:dyDescent="0.3">
      <c r="A26" t="s">
        <v>178</v>
      </c>
      <c r="B26" t="s">
        <v>179</v>
      </c>
      <c r="C26">
        <v>0</v>
      </c>
      <c r="D26" t="s">
        <v>180</v>
      </c>
    </row>
    <row r="27" spans="1:4" x14ac:dyDescent="0.3">
      <c r="A27" t="s">
        <v>53</v>
      </c>
      <c r="B27" t="s">
        <v>54</v>
      </c>
      <c r="C27">
        <v>0</v>
      </c>
      <c r="D27" t="s">
        <v>175</v>
      </c>
    </row>
    <row r="28" spans="1:4" x14ac:dyDescent="0.3">
      <c r="A28" t="s">
        <v>105</v>
      </c>
      <c r="B28" t="s">
        <v>106</v>
      </c>
      <c r="C28">
        <v>48</v>
      </c>
      <c r="D28" t="s">
        <v>175</v>
      </c>
    </row>
    <row r="29" spans="1:4" x14ac:dyDescent="0.3">
      <c r="A29" t="s">
        <v>113</v>
      </c>
      <c r="B29" t="s">
        <v>114</v>
      </c>
      <c r="C29">
        <v>1563</v>
      </c>
      <c r="D29" t="s">
        <v>177</v>
      </c>
    </row>
    <row r="30" spans="1:4" x14ac:dyDescent="0.3">
      <c r="A30" t="s">
        <v>117</v>
      </c>
      <c r="B30" t="s">
        <v>118</v>
      </c>
      <c r="C30">
        <v>963</v>
      </c>
      <c r="D30" t="s">
        <v>177</v>
      </c>
    </row>
    <row r="31" spans="1:4" x14ac:dyDescent="0.3">
      <c r="A31" t="s">
        <v>67</v>
      </c>
      <c r="B31" t="s">
        <v>68</v>
      </c>
      <c r="C31">
        <v>90</v>
      </c>
      <c r="D31" t="s">
        <v>175</v>
      </c>
    </row>
    <row r="32" spans="1:4" x14ac:dyDescent="0.3">
      <c r="A32" t="s">
        <v>57</v>
      </c>
      <c r="B32" t="s">
        <v>58</v>
      </c>
      <c r="C32">
        <v>1047</v>
      </c>
      <c r="D32" t="s">
        <v>177</v>
      </c>
    </row>
    <row r="33" spans="1:4" x14ac:dyDescent="0.3">
      <c r="A33" t="s">
        <v>103</v>
      </c>
      <c r="B33" t="s">
        <v>104</v>
      </c>
      <c r="C33">
        <v>5</v>
      </c>
      <c r="D33" t="s">
        <v>177</v>
      </c>
    </row>
    <row r="34" spans="1:4" x14ac:dyDescent="0.3">
      <c r="A34" t="s">
        <v>101</v>
      </c>
      <c r="B34" t="s">
        <v>102</v>
      </c>
      <c r="C34">
        <v>0</v>
      </c>
      <c r="D34" t="s">
        <v>175</v>
      </c>
    </row>
    <row r="35" spans="1:4" x14ac:dyDescent="0.3">
      <c r="A35" t="s">
        <v>99</v>
      </c>
      <c r="B35" t="s">
        <v>100</v>
      </c>
      <c r="C35">
        <v>152</v>
      </c>
      <c r="D35" t="s">
        <v>177</v>
      </c>
    </row>
    <row r="36" spans="1:4" x14ac:dyDescent="0.3">
      <c r="A36" t="s">
        <v>97</v>
      </c>
      <c r="B36" t="s">
        <v>98</v>
      </c>
      <c r="C36">
        <v>14</v>
      </c>
      <c r="D36" t="s">
        <v>175</v>
      </c>
    </row>
    <row r="37" spans="1:4" x14ac:dyDescent="0.3">
      <c r="A37" t="s">
        <v>115</v>
      </c>
      <c r="B37" t="s">
        <v>116</v>
      </c>
      <c r="C37">
        <v>94</v>
      </c>
      <c r="D37" t="s">
        <v>175</v>
      </c>
    </row>
    <row r="38" spans="1:4" x14ac:dyDescent="0.3">
      <c r="A38" t="s">
        <v>153</v>
      </c>
      <c r="B38" t="s">
        <v>154</v>
      </c>
      <c r="C38">
        <v>588</v>
      </c>
      <c r="D38" t="s">
        <v>177</v>
      </c>
    </row>
    <row r="39" spans="1:4" x14ac:dyDescent="0.3">
      <c r="A39" t="s">
        <v>149</v>
      </c>
      <c r="B39" t="s">
        <v>150</v>
      </c>
      <c r="C39">
        <v>0</v>
      </c>
      <c r="D39" t="s">
        <v>175</v>
      </c>
    </row>
    <row r="40" spans="1:4" x14ac:dyDescent="0.3">
      <c r="A40" t="s">
        <v>151</v>
      </c>
      <c r="B40" t="s">
        <v>152</v>
      </c>
      <c r="C40">
        <v>5</v>
      </c>
      <c r="D40" t="s">
        <v>175</v>
      </c>
    </row>
    <row r="41" spans="1:4" x14ac:dyDescent="0.3">
      <c r="A41" t="s">
        <v>55</v>
      </c>
      <c r="B41" t="s">
        <v>56</v>
      </c>
      <c r="C41">
        <v>417</v>
      </c>
      <c r="D41" t="s">
        <v>177</v>
      </c>
    </row>
    <row r="42" spans="1:4" x14ac:dyDescent="0.3">
      <c r="A42" t="s">
        <v>61</v>
      </c>
      <c r="B42" t="s">
        <v>62</v>
      </c>
      <c r="C42">
        <v>6208</v>
      </c>
      <c r="D42" t="s">
        <v>172</v>
      </c>
    </row>
    <row r="43" spans="1:4" x14ac:dyDescent="0.3">
      <c r="A43" t="s">
        <v>137</v>
      </c>
      <c r="B43" t="s">
        <v>138</v>
      </c>
      <c r="C43">
        <v>44</v>
      </c>
      <c r="D43" t="s">
        <v>175</v>
      </c>
    </row>
    <row r="44" spans="1:4" x14ac:dyDescent="0.3">
      <c r="A44" t="s">
        <v>133</v>
      </c>
      <c r="B44" t="s">
        <v>134</v>
      </c>
      <c r="C44">
        <v>40</v>
      </c>
      <c r="D44" t="s">
        <v>175</v>
      </c>
    </row>
    <row r="45" spans="1:4" x14ac:dyDescent="0.3">
      <c r="A45" t="s">
        <v>109</v>
      </c>
      <c r="B45" t="s">
        <v>110</v>
      </c>
      <c r="C45">
        <v>60</v>
      </c>
      <c r="D45" t="s">
        <v>175</v>
      </c>
    </row>
    <row r="46" spans="1:4" x14ac:dyDescent="0.3">
      <c r="A46" t="s">
        <v>107</v>
      </c>
      <c r="B46" t="s">
        <v>108</v>
      </c>
      <c r="C46">
        <v>84</v>
      </c>
      <c r="D46" t="s">
        <v>175</v>
      </c>
    </row>
    <row r="47" spans="1:4" x14ac:dyDescent="0.3">
      <c r="A47" t="s">
        <v>163</v>
      </c>
      <c r="B47" t="s">
        <v>164</v>
      </c>
      <c r="C47">
        <v>102</v>
      </c>
      <c r="D47" t="s">
        <v>175</v>
      </c>
    </row>
    <row r="48" spans="1:4" x14ac:dyDescent="0.3">
      <c r="A48" t="s">
        <v>157</v>
      </c>
      <c r="B48" t="s">
        <v>158</v>
      </c>
      <c r="C48">
        <v>397</v>
      </c>
      <c r="D48" t="s">
        <v>177</v>
      </c>
    </row>
    <row r="49" spans="1:4" x14ac:dyDescent="0.3">
      <c r="A49" t="s">
        <v>125</v>
      </c>
      <c r="B49" t="s">
        <v>126</v>
      </c>
      <c r="C49">
        <v>1147</v>
      </c>
      <c r="D49" t="s">
        <v>172</v>
      </c>
    </row>
    <row r="50" spans="1:4" x14ac:dyDescent="0.3">
      <c r="A50" t="s">
        <v>129</v>
      </c>
      <c r="B50" t="s">
        <v>130</v>
      </c>
      <c r="C50">
        <v>1567</v>
      </c>
      <c r="D50" t="s">
        <v>172</v>
      </c>
    </row>
    <row r="51" spans="1:4" x14ac:dyDescent="0.3">
      <c r="A51" t="s">
        <v>75</v>
      </c>
      <c r="B51" t="s">
        <v>76</v>
      </c>
      <c r="C51">
        <v>23</v>
      </c>
      <c r="D51" t="s">
        <v>172</v>
      </c>
    </row>
    <row r="52" spans="1:4" x14ac:dyDescent="0.3">
      <c r="A52" t="s">
        <v>77</v>
      </c>
      <c r="B52" t="s">
        <v>78</v>
      </c>
      <c r="C52">
        <v>55432</v>
      </c>
      <c r="D52" t="s">
        <v>172</v>
      </c>
    </row>
    <row r="53" spans="1:4" x14ac:dyDescent="0.3">
      <c r="A53" t="s">
        <v>83</v>
      </c>
      <c r="B53" t="s">
        <v>84</v>
      </c>
      <c r="C53">
        <v>0</v>
      </c>
      <c r="D53" t="s">
        <v>172</v>
      </c>
    </row>
    <row r="54" spans="1:4" x14ac:dyDescent="0.3">
      <c r="A54" t="s">
        <v>59</v>
      </c>
      <c r="B54" t="s">
        <v>60</v>
      </c>
      <c r="C54">
        <v>290</v>
      </c>
      <c r="D54" t="s">
        <v>175</v>
      </c>
    </row>
    <row r="55" spans="1:4" x14ac:dyDescent="0.3">
      <c r="A55" t="s">
        <v>51</v>
      </c>
      <c r="B55" t="s">
        <v>52</v>
      </c>
      <c r="C55">
        <v>48</v>
      </c>
      <c r="D55" t="s">
        <v>175</v>
      </c>
    </row>
    <row r="56" spans="1:4" x14ac:dyDescent="0.3">
      <c r="A56" t="s">
        <v>91</v>
      </c>
      <c r="B56" t="s">
        <v>92</v>
      </c>
      <c r="C56">
        <v>2933</v>
      </c>
      <c r="D56" t="s">
        <v>172</v>
      </c>
    </row>
    <row r="57" spans="1:4" x14ac:dyDescent="0.3">
      <c r="A57" t="s">
        <v>111</v>
      </c>
      <c r="B57" t="s">
        <v>112</v>
      </c>
      <c r="C57">
        <v>6956</v>
      </c>
      <c r="D57" t="s">
        <v>172</v>
      </c>
    </row>
    <row r="58" spans="1:4" x14ac:dyDescent="0.3">
      <c r="A58" t="s">
        <v>147</v>
      </c>
      <c r="B58" t="s">
        <v>148</v>
      </c>
      <c r="C58">
        <v>545</v>
      </c>
      <c r="D58" t="s">
        <v>172</v>
      </c>
    </row>
    <row r="59" spans="1:4" x14ac:dyDescent="0.3">
      <c r="A59" t="s">
        <v>155</v>
      </c>
      <c r="B59" t="s">
        <v>156</v>
      </c>
      <c r="C59">
        <v>8</v>
      </c>
      <c r="D59" t="s">
        <v>172</v>
      </c>
    </row>
    <row r="60" spans="1:4" x14ac:dyDescent="0.3">
      <c r="A60" t="s">
        <v>93</v>
      </c>
      <c r="B60" t="s">
        <v>94</v>
      </c>
      <c r="C60">
        <v>0</v>
      </c>
      <c r="D60" t="s">
        <v>172</v>
      </c>
    </row>
    <row r="61" spans="1:4" x14ac:dyDescent="0.3">
      <c r="A61" t="s">
        <v>63</v>
      </c>
      <c r="B61" t="s">
        <v>64</v>
      </c>
      <c r="C61">
        <v>550</v>
      </c>
      <c r="D61" t="s">
        <v>177</v>
      </c>
    </row>
    <row r="62" spans="1:4" x14ac:dyDescent="0.3">
      <c r="A62" t="s">
        <v>65</v>
      </c>
      <c r="B62" t="s">
        <v>66</v>
      </c>
      <c r="C62">
        <v>552</v>
      </c>
      <c r="D62" t="s">
        <v>177</v>
      </c>
    </row>
    <row r="63" spans="1:4" x14ac:dyDescent="0.3">
      <c r="A63" t="s">
        <v>181</v>
      </c>
      <c r="B63" t="s">
        <v>182</v>
      </c>
      <c r="C63">
        <v>0</v>
      </c>
      <c r="D63" t="s">
        <v>172</v>
      </c>
    </row>
    <row r="64" spans="1:4" x14ac:dyDescent="0.3">
      <c r="A64" t="s">
        <v>81</v>
      </c>
      <c r="B64" t="s">
        <v>82</v>
      </c>
      <c r="C64">
        <v>-18</v>
      </c>
      <c r="D64" t="s">
        <v>172</v>
      </c>
    </row>
    <row r="65" spans="1:4" x14ac:dyDescent="0.3">
      <c r="A65" t="s">
        <v>45</v>
      </c>
      <c r="B65" t="s">
        <v>46</v>
      </c>
      <c r="C65">
        <v>52</v>
      </c>
      <c r="D65" t="s">
        <v>175</v>
      </c>
    </row>
    <row r="66" spans="1:4" x14ac:dyDescent="0.3">
      <c r="A66" t="s">
        <v>47</v>
      </c>
      <c r="B66" t="s">
        <v>48</v>
      </c>
      <c r="C66">
        <v>60</v>
      </c>
      <c r="D66" t="s">
        <v>175</v>
      </c>
    </row>
    <row r="67" spans="1:4" x14ac:dyDescent="0.3">
      <c r="A67" t="s">
        <v>73</v>
      </c>
      <c r="B67" t="s">
        <v>74</v>
      </c>
      <c r="C67">
        <v>25</v>
      </c>
      <c r="D67" t="s">
        <v>175</v>
      </c>
    </row>
    <row r="68" spans="1:4" x14ac:dyDescent="0.3">
      <c r="A68" t="s">
        <v>183</v>
      </c>
      <c r="B68" t="s">
        <v>184</v>
      </c>
      <c r="C68">
        <v>960</v>
      </c>
      <c r="D68" t="s">
        <v>177</v>
      </c>
    </row>
    <row r="69" spans="1:4" x14ac:dyDescent="0.3">
      <c r="A69" t="s">
        <v>49</v>
      </c>
      <c r="B69" t="s">
        <v>50</v>
      </c>
      <c r="C69">
        <v>156</v>
      </c>
      <c r="D69" t="s">
        <v>175</v>
      </c>
    </row>
    <row r="70" spans="1:4" x14ac:dyDescent="0.3">
      <c r="A70" t="s">
        <v>95</v>
      </c>
      <c r="B70" t="s">
        <v>96</v>
      </c>
      <c r="C70">
        <v>324</v>
      </c>
      <c r="D70" t="s">
        <v>172</v>
      </c>
    </row>
    <row r="71" spans="1:4" x14ac:dyDescent="0.3">
      <c r="A71" t="s">
        <v>79</v>
      </c>
      <c r="B71" t="s">
        <v>80</v>
      </c>
      <c r="C71">
        <v>0</v>
      </c>
      <c r="D71" t="s">
        <v>172</v>
      </c>
    </row>
    <row r="72" spans="1:4" x14ac:dyDescent="0.3">
      <c r="A72" t="s">
        <v>85</v>
      </c>
      <c r="B72" t="s">
        <v>86</v>
      </c>
      <c r="C72">
        <v>36037</v>
      </c>
      <c r="D72" t="s">
        <v>172</v>
      </c>
    </row>
    <row r="73" spans="1:4" x14ac:dyDescent="0.3">
      <c r="A73" t="s">
        <v>159</v>
      </c>
      <c r="B73" t="s">
        <v>160</v>
      </c>
      <c r="C73">
        <v>42</v>
      </c>
      <c r="D73" t="s">
        <v>175</v>
      </c>
    </row>
    <row r="74" spans="1:4" x14ac:dyDescent="0.3">
      <c r="A74" t="s">
        <v>161</v>
      </c>
      <c r="B74" t="s">
        <v>162</v>
      </c>
      <c r="C74">
        <v>0</v>
      </c>
      <c r="D74" t="s">
        <v>175</v>
      </c>
    </row>
    <row r="75" spans="1:4" x14ac:dyDescent="0.3">
      <c r="A75" t="s">
        <v>185</v>
      </c>
      <c r="B75" t="s">
        <v>186</v>
      </c>
      <c r="C75">
        <v>0</v>
      </c>
      <c r="D75" t="s">
        <v>187</v>
      </c>
    </row>
    <row r="76" spans="1:4" x14ac:dyDescent="0.3">
      <c r="A76" t="s">
        <v>188</v>
      </c>
      <c r="B76" t="s">
        <v>189</v>
      </c>
      <c r="C76">
        <v>0</v>
      </c>
      <c r="D76" t="s">
        <v>187</v>
      </c>
    </row>
    <row r="77" spans="1:4" x14ac:dyDescent="0.3">
      <c r="A77" t="s">
        <v>190</v>
      </c>
      <c r="B77" t="s">
        <v>191</v>
      </c>
      <c r="C77">
        <v>120</v>
      </c>
      <c r="D77" t="s">
        <v>187</v>
      </c>
    </row>
    <row r="78" spans="1:4" x14ac:dyDescent="0.3">
      <c r="A78" t="s">
        <v>192</v>
      </c>
      <c r="B78" t="s">
        <v>193</v>
      </c>
      <c r="C78">
        <v>0</v>
      </c>
      <c r="D78" t="s">
        <v>187</v>
      </c>
    </row>
    <row r="79" spans="1:4" x14ac:dyDescent="0.3">
      <c r="A79" t="s">
        <v>194</v>
      </c>
      <c r="B79" t="s">
        <v>195</v>
      </c>
      <c r="C79">
        <v>0</v>
      </c>
      <c r="D79" t="s">
        <v>187</v>
      </c>
    </row>
    <row r="80" spans="1:4" x14ac:dyDescent="0.3">
      <c r="A80" t="s">
        <v>196</v>
      </c>
      <c r="B80" t="s">
        <v>197</v>
      </c>
      <c r="C80">
        <v>48</v>
      </c>
      <c r="D80" t="s">
        <v>187</v>
      </c>
    </row>
    <row r="81" spans="1:4" x14ac:dyDescent="0.3">
      <c r="A81" t="s">
        <v>198</v>
      </c>
      <c r="B81" t="s">
        <v>199</v>
      </c>
      <c r="C81">
        <v>0</v>
      </c>
      <c r="D81" t="s">
        <v>187</v>
      </c>
    </row>
    <row r="82" spans="1:4" x14ac:dyDescent="0.3">
      <c r="A82" t="s">
        <v>200</v>
      </c>
      <c r="B82" t="s">
        <v>201</v>
      </c>
      <c r="C82">
        <v>0</v>
      </c>
      <c r="D82" t="s">
        <v>187</v>
      </c>
    </row>
    <row r="83" spans="1:4" x14ac:dyDescent="0.3">
      <c r="A83" t="s">
        <v>202</v>
      </c>
      <c r="B83" t="s">
        <v>203</v>
      </c>
      <c r="C83">
        <v>1704</v>
      </c>
      <c r="D83" t="s">
        <v>187</v>
      </c>
    </row>
    <row r="84" spans="1:4" x14ac:dyDescent="0.3">
      <c r="A84" t="s">
        <v>204</v>
      </c>
      <c r="B84" t="s">
        <v>205</v>
      </c>
      <c r="C84">
        <v>480</v>
      </c>
      <c r="D84" t="s">
        <v>187</v>
      </c>
    </row>
    <row r="85" spans="1:4" x14ac:dyDescent="0.3">
      <c r="A85" t="s">
        <v>206</v>
      </c>
      <c r="B85" t="s">
        <v>207</v>
      </c>
      <c r="C85">
        <v>576</v>
      </c>
      <c r="D85" t="s">
        <v>187</v>
      </c>
    </row>
    <row r="86" spans="1:4" x14ac:dyDescent="0.3">
      <c r="A86" t="s">
        <v>208</v>
      </c>
      <c r="B86" t="s">
        <v>209</v>
      </c>
      <c r="C86">
        <v>624</v>
      </c>
      <c r="D86" t="s">
        <v>187</v>
      </c>
    </row>
    <row r="87" spans="1:4" x14ac:dyDescent="0.3">
      <c r="A87" t="s">
        <v>210</v>
      </c>
      <c r="B87" t="s">
        <v>211</v>
      </c>
      <c r="C87">
        <v>0</v>
      </c>
      <c r="D87" t="s">
        <v>187</v>
      </c>
    </row>
    <row r="88" spans="1:4" x14ac:dyDescent="0.3">
      <c r="A88" t="s">
        <v>212</v>
      </c>
      <c r="B88" t="s">
        <v>213</v>
      </c>
      <c r="C88">
        <v>600</v>
      </c>
      <c r="D88" t="s">
        <v>187</v>
      </c>
    </row>
    <row r="89" spans="1:4" x14ac:dyDescent="0.3">
      <c r="A89" t="s">
        <v>214</v>
      </c>
      <c r="B89" t="s">
        <v>215</v>
      </c>
      <c r="C89">
        <v>0</v>
      </c>
      <c r="D89" t="s">
        <v>187</v>
      </c>
    </row>
    <row r="90" spans="1:4" x14ac:dyDescent="0.3">
      <c r="A90" t="s">
        <v>216</v>
      </c>
      <c r="B90" t="s">
        <v>217</v>
      </c>
      <c r="C90">
        <v>0</v>
      </c>
      <c r="D90" t="s">
        <v>187</v>
      </c>
    </row>
    <row r="91" spans="1:4" x14ac:dyDescent="0.3">
      <c r="A91" t="s">
        <v>218</v>
      </c>
      <c r="B91" t="s">
        <v>219</v>
      </c>
      <c r="C91">
        <v>0</v>
      </c>
      <c r="D91" t="s">
        <v>187</v>
      </c>
    </row>
    <row r="92" spans="1:4" x14ac:dyDescent="0.3">
      <c r="A92" t="s">
        <v>220</v>
      </c>
      <c r="B92" t="s">
        <v>221</v>
      </c>
      <c r="C92">
        <v>0</v>
      </c>
      <c r="D92" t="s">
        <v>187</v>
      </c>
    </row>
    <row r="93" spans="1:4" x14ac:dyDescent="0.3">
      <c r="A93" t="s">
        <v>222</v>
      </c>
      <c r="B93" t="s">
        <v>223</v>
      </c>
      <c r="C93">
        <v>0</v>
      </c>
      <c r="D93" t="s">
        <v>187</v>
      </c>
    </row>
    <row r="94" spans="1:4" x14ac:dyDescent="0.3">
      <c r="A94" t="s">
        <v>224</v>
      </c>
      <c r="B94" t="s">
        <v>225</v>
      </c>
      <c r="C94">
        <v>1872</v>
      </c>
      <c r="D94" t="s">
        <v>187</v>
      </c>
    </row>
    <row r="95" spans="1:4" x14ac:dyDescent="0.3">
      <c r="A95" t="s">
        <v>226</v>
      </c>
      <c r="B95" t="s">
        <v>227</v>
      </c>
      <c r="C95">
        <v>0</v>
      </c>
      <c r="D95" t="s">
        <v>172</v>
      </c>
    </row>
    <row r="96" spans="1:4" x14ac:dyDescent="0.3">
      <c r="A96" t="s">
        <v>228</v>
      </c>
      <c r="B96" t="s">
        <v>229</v>
      </c>
      <c r="C96">
        <v>1050</v>
      </c>
      <c r="D96" t="s">
        <v>187</v>
      </c>
    </row>
    <row r="97" spans="1:4" x14ac:dyDescent="0.3">
      <c r="A97" t="s">
        <v>230</v>
      </c>
      <c r="B97" t="s">
        <v>231</v>
      </c>
      <c r="C97">
        <v>250</v>
      </c>
      <c r="D97" t="s">
        <v>187</v>
      </c>
    </row>
    <row r="98" spans="1:4" x14ac:dyDescent="0.3">
      <c r="A98" t="s">
        <v>232</v>
      </c>
      <c r="B98" t="s">
        <v>233</v>
      </c>
      <c r="C98">
        <v>3150</v>
      </c>
      <c r="D98" t="s">
        <v>187</v>
      </c>
    </row>
    <row r="99" spans="1:4" x14ac:dyDescent="0.3">
      <c r="A99" t="s">
        <v>234</v>
      </c>
      <c r="B99" t="s">
        <v>235</v>
      </c>
      <c r="C99">
        <v>0</v>
      </c>
      <c r="D99" t="s">
        <v>187</v>
      </c>
    </row>
    <row r="100" spans="1:4" x14ac:dyDescent="0.3">
      <c r="A100" t="s">
        <v>236</v>
      </c>
      <c r="B100" t="s">
        <v>237</v>
      </c>
      <c r="C100">
        <v>850</v>
      </c>
      <c r="D100" t="s">
        <v>187</v>
      </c>
    </row>
    <row r="101" spans="1:4" x14ac:dyDescent="0.3">
      <c r="A101" t="s">
        <v>238</v>
      </c>
      <c r="B101" t="s">
        <v>239</v>
      </c>
      <c r="C101">
        <v>1300</v>
      </c>
      <c r="D101" t="s">
        <v>187</v>
      </c>
    </row>
    <row r="102" spans="1:4" x14ac:dyDescent="0.3">
      <c r="A102" t="s">
        <v>240</v>
      </c>
      <c r="B102" t="s">
        <v>241</v>
      </c>
      <c r="C102">
        <v>1850</v>
      </c>
      <c r="D102" t="s">
        <v>187</v>
      </c>
    </row>
    <row r="103" spans="1:4" x14ac:dyDescent="0.3">
      <c r="A103" t="s">
        <v>242</v>
      </c>
      <c r="B103" t="s">
        <v>243</v>
      </c>
      <c r="C103">
        <v>0</v>
      </c>
      <c r="D103" t="s">
        <v>187</v>
      </c>
    </row>
    <row r="104" spans="1:4" x14ac:dyDescent="0.3">
      <c r="A104" t="s">
        <v>244</v>
      </c>
      <c r="B104" t="s">
        <v>245</v>
      </c>
      <c r="C104">
        <v>450</v>
      </c>
      <c r="D104" t="s">
        <v>187</v>
      </c>
    </row>
    <row r="105" spans="1:4" x14ac:dyDescent="0.3">
      <c r="A105" t="s">
        <v>246</v>
      </c>
      <c r="B105" t="s">
        <v>247</v>
      </c>
      <c r="C105">
        <v>850</v>
      </c>
      <c r="D105" t="s">
        <v>187</v>
      </c>
    </row>
    <row r="106" spans="1:4" x14ac:dyDescent="0.3">
      <c r="A106" t="s">
        <v>248</v>
      </c>
      <c r="B106" t="s">
        <v>249</v>
      </c>
      <c r="C106">
        <v>950</v>
      </c>
      <c r="D106" t="s">
        <v>187</v>
      </c>
    </row>
    <row r="107" spans="1:4" x14ac:dyDescent="0.3">
      <c r="A107" t="s">
        <v>250</v>
      </c>
      <c r="B107" t="s">
        <v>251</v>
      </c>
      <c r="C107">
        <v>600</v>
      </c>
      <c r="D107" t="s">
        <v>187</v>
      </c>
    </row>
    <row r="108" spans="1:4" x14ac:dyDescent="0.3">
      <c r="A108" t="s">
        <v>252</v>
      </c>
      <c r="B108" t="s">
        <v>253</v>
      </c>
      <c r="C108">
        <v>500</v>
      </c>
      <c r="D108" t="s">
        <v>187</v>
      </c>
    </row>
    <row r="109" spans="1:4" x14ac:dyDescent="0.3">
      <c r="A109" t="s">
        <v>254</v>
      </c>
      <c r="B109" t="s">
        <v>255</v>
      </c>
      <c r="C109">
        <v>0</v>
      </c>
      <c r="D109" t="s">
        <v>187</v>
      </c>
    </row>
    <row r="110" spans="1:4" x14ac:dyDescent="0.3">
      <c r="A110" t="s">
        <v>256</v>
      </c>
      <c r="B110" t="s">
        <v>257</v>
      </c>
      <c r="C110">
        <v>400</v>
      </c>
      <c r="D110" t="s">
        <v>187</v>
      </c>
    </row>
    <row r="111" spans="1:4" x14ac:dyDescent="0.3">
      <c r="A111" t="s">
        <v>258</v>
      </c>
      <c r="B111" t="s">
        <v>259</v>
      </c>
      <c r="C111">
        <v>8050</v>
      </c>
      <c r="D111" t="s">
        <v>187</v>
      </c>
    </row>
    <row r="112" spans="1:4" x14ac:dyDescent="0.3">
      <c r="A112" t="s">
        <v>260</v>
      </c>
      <c r="B112" t="s">
        <v>261</v>
      </c>
      <c r="C112">
        <v>6550</v>
      </c>
      <c r="D112" t="s">
        <v>187</v>
      </c>
    </row>
    <row r="113" spans="1:4" x14ac:dyDescent="0.3">
      <c r="A113" t="s">
        <v>262</v>
      </c>
      <c r="B113" t="s">
        <v>263</v>
      </c>
      <c r="C113">
        <v>450</v>
      </c>
      <c r="D113" t="s">
        <v>187</v>
      </c>
    </row>
    <row r="114" spans="1:4" x14ac:dyDescent="0.3">
      <c r="A114" t="s">
        <v>264</v>
      </c>
      <c r="B114" t="s">
        <v>265</v>
      </c>
      <c r="C114">
        <v>300</v>
      </c>
      <c r="D114" t="s">
        <v>187</v>
      </c>
    </row>
    <row r="115" spans="1:4" x14ac:dyDescent="0.3">
      <c r="A115" t="s">
        <v>266</v>
      </c>
      <c r="B115" t="s">
        <v>267</v>
      </c>
      <c r="C115">
        <v>3200</v>
      </c>
      <c r="D115" t="s">
        <v>187</v>
      </c>
    </row>
    <row r="116" spans="1:4" x14ac:dyDescent="0.3">
      <c r="A116" t="s">
        <v>268</v>
      </c>
      <c r="B116" t="s">
        <v>269</v>
      </c>
      <c r="C116">
        <v>0</v>
      </c>
      <c r="D116" t="s">
        <v>187</v>
      </c>
    </row>
    <row r="117" spans="1:4" x14ac:dyDescent="0.3">
      <c r="A117" t="s">
        <v>270</v>
      </c>
      <c r="B117" t="s">
        <v>271</v>
      </c>
      <c r="C117">
        <v>1000</v>
      </c>
      <c r="D117" t="s">
        <v>187</v>
      </c>
    </row>
    <row r="118" spans="1:4" x14ac:dyDescent="0.3">
      <c r="A118" t="s">
        <v>272</v>
      </c>
      <c r="B118" t="s">
        <v>273</v>
      </c>
      <c r="C118">
        <v>0</v>
      </c>
      <c r="D118" t="s">
        <v>187</v>
      </c>
    </row>
    <row r="119" spans="1:4" x14ac:dyDescent="0.3">
      <c r="A119" t="s">
        <v>274</v>
      </c>
      <c r="B119" t="s">
        <v>275</v>
      </c>
      <c r="C119">
        <v>2100</v>
      </c>
      <c r="D119" t="s">
        <v>187</v>
      </c>
    </row>
    <row r="120" spans="1:4" x14ac:dyDescent="0.3">
      <c r="A120" t="s">
        <v>276</v>
      </c>
      <c r="B120" t="s">
        <v>277</v>
      </c>
      <c r="C120">
        <v>0</v>
      </c>
      <c r="D120" t="s">
        <v>187</v>
      </c>
    </row>
    <row r="121" spans="1:4" x14ac:dyDescent="0.3">
      <c r="A121" t="s">
        <v>278</v>
      </c>
      <c r="B121" t="s">
        <v>279</v>
      </c>
      <c r="C121">
        <v>0</v>
      </c>
      <c r="D121" t="s">
        <v>187</v>
      </c>
    </row>
    <row r="122" spans="1:4" x14ac:dyDescent="0.3">
      <c r="A122" t="s">
        <v>280</v>
      </c>
      <c r="B122" t="s">
        <v>281</v>
      </c>
      <c r="C122">
        <v>3816</v>
      </c>
      <c r="D122" t="s">
        <v>187</v>
      </c>
    </row>
    <row r="123" spans="1:4" x14ac:dyDescent="0.3">
      <c r="A123" t="s">
        <v>282</v>
      </c>
      <c r="B123" t="s">
        <v>283</v>
      </c>
      <c r="C123">
        <v>3816</v>
      </c>
      <c r="D123" t="s">
        <v>187</v>
      </c>
    </row>
    <row r="124" spans="1:4" x14ac:dyDescent="0.3">
      <c r="A124" t="s">
        <v>284</v>
      </c>
      <c r="B124" t="s">
        <v>285</v>
      </c>
      <c r="C124">
        <v>0</v>
      </c>
      <c r="D124" t="s">
        <v>175</v>
      </c>
    </row>
    <row r="125" spans="1:4" x14ac:dyDescent="0.3">
      <c r="A125" t="s">
        <v>286</v>
      </c>
      <c r="B125" t="s">
        <v>287</v>
      </c>
      <c r="C125">
        <v>0</v>
      </c>
      <c r="D125" t="s">
        <v>172</v>
      </c>
    </row>
    <row r="126" spans="1:4" x14ac:dyDescent="0.3">
      <c r="A126" t="s">
        <v>288</v>
      </c>
      <c r="B126" t="s">
        <v>289</v>
      </c>
      <c r="C126">
        <v>0</v>
      </c>
      <c r="D126" t="s">
        <v>172</v>
      </c>
    </row>
    <row r="127" spans="1:4" x14ac:dyDescent="0.3">
      <c r="A127" t="s">
        <v>290</v>
      </c>
      <c r="B127" t="s">
        <v>291</v>
      </c>
      <c r="C127">
        <v>0</v>
      </c>
      <c r="D127" t="s">
        <v>175</v>
      </c>
    </row>
    <row r="128" spans="1:4" x14ac:dyDescent="0.3">
      <c r="A128" t="s">
        <v>292</v>
      </c>
      <c r="B128" t="s">
        <v>293</v>
      </c>
      <c r="C128">
        <v>0</v>
      </c>
      <c r="D128" t="s">
        <v>172</v>
      </c>
    </row>
    <row r="129" spans="1:4" x14ac:dyDescent="0.3">
      <c r="A129" t="s">
        <v>294</v>
      </c>
      <c r="B129" t="s">
        <v>295</v>
      </c>
      <c r="C129">
        <v>0</v>
      </c>
      <c r="D129" t="s">
        <v>172</v>
      </c>
    </row>
    <row r="130" spans="1:4" x14ac:dyDescent="0.3">
      <c r="A130" t="s">
        <v>296</v>
      </c>
      <c r="B130" t="s">
        <v>297</v>
      </c>
      <c r="C130">
        <v>0</v>
      </c>
      <c r="D130" t="s">
        <v>172</v>
      </c>
    </row>
    <row r="131" spans="1:4" x14ac:dyDescent="0.3">
      <c r="A131" t="s">
        <v>298</v>
      </c>
      <c r="B131" t="s">
        <v>299</v>
      </c>
      <c r="C131">
        <v>0</v>
      </c>
      <c r="D131" t="s">
        <v>172</v>
      </c>
    </row>
    <row r="132" spans="1:4" x14ac:dyDescent="0.3">
      <c r="A132" t="s">
        <v>300</v>
      </c>
      <c r="B132" t="s">
        <v>301</v>
      </c>
      <c r="C132">
        <v>0</v>
      </c>
      <c r="D132" t="s">
        <v>172</v>
      </c>
    </row>
    <row r="133" spans="1:4" x14ac:dyDescent="0.3">
      <c r="A133" t="s">
        <v>302</v>
      </c>
      <c r="B133" t="s">
        <v>303</v>
      </c>
      <c r="C133">
        <v>0</v>
      </c>
      <c r="D133" t="s">
        <v>172</v>
      </c>
    </row>
    <row r="134" spans="1:4" x14ac:dyDescent="0.3">
      <c r="A134" t="s">
        <v>304</v>
      </c>
      <c r="B134" t="s">
        <v>305</v>
      </c>
      <c r="C134">
        <v>0</v>
      </c>
      <c r="D134" t="s">
        <v>172</v>
      </c>
    </row>
    <row r="135" spans="1:4" x14ac:dyDescent="0.3">
      <c r="A135" t="s">
        <v>306</v>
      </c>
      <c r="B135" t="s">
        <v>307</v>
      </c>
      <c r="C135">
        <v>3120</v>
      </c>
      <c r="D135" t="s">
        <v>187</v>
      </c>
    </row>
    <row r="136" spans="1:4" x14ac:dyDescent="0.3">
      <c r="A136" t="s">
        <v>308</v>
      </c>
      <c r="B136" t="s">
        <v>309</v>
      </c>
      <c r="C136">
        <v>2268</v>
      </c>
      <c r="D136" t="s">
        <v>187</v>
      </c>
    </row>
    <row r="137" spans="1:4" x14ac:dyDescent="0.3">
      <c r="A137" t="s">
        <v>310</v>
      </c>
      <c r="B137" t="s">
        <v>311</v>
      </c>
      <c r="C137">
        <v>1260</v>
      </c>
      <c r="D137" t="s">
        <v>187</v>
      </c>
    </row>
    <row r="138" spans="1:4" x14ac:dyDescent="0.3">
      <c r="A138" t="s">
        <v>312</v>
      </c>
      <c r="B138" t="s">
        <v>313</v>
      </c>
      <c r="C138">
        <v>2460</v>
      </c>
      <c r="D138" t="s">
        <v>187</v>
      </c>
    </row>
    <row r="139" spans="1:4" x14ac:dyDescent="0.3">
      <c r="A139" t="s">
        <v>314</v>
      </c>
      <c r="B139" t="s">
        <v>315</v>
      </c>
      <c r="C139">
        <v>0</v>
      </c>
      <c r="D139" t="s">
        <v>187</v>
      </c>
    </row>
    <row r="140" spans="1:4" x14ac:dyDescent="0.3">
      <c r="A140" t="s">
        <v>316</v>
      </c>
      <c r="B140" t="s">
        <v>317</v>
      </c>
      <c r="C140">
        <v>2616</v>
      </c>
      <c r="D140" t="s">
        <v>187</v>
      </c>
    </row>
    <row r="141" spans="1:4" x14ac:dyDescent="0.3">
      <c r="A141" t="s">
        <v>318</v>
      </c>
      <c r="B141" t="s">
        <v>319</v>
      </c>
      <c r="C141">
        <v>2328</v>
      </c>
      <c r="D141" t="s">
        <v>187</v>
      </c>
    </row>
    <row r="142" spans="1:4" x14ac:dyDescent="0.3">
      <c r="A142" t="s">
        <v>320</v>
      </c>
      <c r="B142" t="s">
        <v>321</v>
      </c>
      <c r="C142">
        <v>4296</v>
      </c>
      <c r="D142" t="s">
        <v>187</v>
      </c>
    </row>
    <row r="143" spans="1:4" x14ac:dyDescent="0.3">
      <c r="A143" t="s">
        <v>322</v>
      </c>
      <c r="B143" t="s">
        <v>323</v>
      </c>
      <c r="C143">
        <v>6192</v>
      </c>
      <c r="D143" t="s">
        <v>187</v>
      </c>
    </row>
    <row r="144" spans="1:4" x14ac:dyDescent="0.3">
      <c r="A144" t="s">
        <v>324</v>
      </c>
      <c r="B144" t="s">
        <v>325</v>
      </c>
      <c r="C144">
        <v>0</v>
      </c>
      <c r="D144" t="s">
        <v>187</v>
      </c>
    </row>
    <row r="145" spans="1:4" x14ac:dyDescent="0.3">
      <c r="A145" t="s">
        <v>326</v>
      </c>
      <c r="B145" t="s">
        <v>327</v>
      </c>
      <c r="C145">
        <v>1920</v>
      </c>
      <c r="D145" t="s">
        <v>187</v>
      </c>
    </row>
    <row r="146" spans="1:4" x14ac:dyDescent="0.3">
      <c r="A146" t="s">
        <v>328</v>
      </c>
      <c r="B146" t="s">
        <v>329</v>
      </c>
      <c r="C146">
        <v>1128</v>
      </c>
      <c r="D146" t="s">
        <v>187</v>
      </c>
    </row>
    <row r="147" spans="1:4" x14ac:dyDescent="0.3">
      <c r="A147" t="s">
        <v>330</v>
      </c>
      <c r="B147" t="s">
        <v>331</v>
      </c>
      <c r="C147">
        <v>2568</v>
      </c>
      <c r="D147" t="s">
        <v>187</v>
      </c>
    </row>
    <row r="148" spans="1:4" x14ac:dyDescent="0.3">
      <c r="A148" t="s">
        <v>332</v>
      </c>
      <c r="B148" t="s">
        <v>333</v>
      </c>
      <c r="C148">
        <v>0</v>
      </c>
      <c r="D148" t="s">
        <v>187</v>
      </c>
    </row>
    <row r="149" spans="1:4" x14ac:dyDescent="0.3">
      <c r="A149" t="s">
        <v>334</v>
      </c>
      <c r="B149" t="s">
        <v>335</v>
      </c>
      <c r="C149">
        <v>1512</v>
      </c>
      <c r="D149" t="s">
        <v>187</v>
      </c>
    </row>
    <row r="150" spans="1:4" x14ac:dyDescent="0.3">
      <c r="A150" t="s">
        <v>336</v>
      </c>
      <c r="B150" t="s">
        <v>337</v>
      </c>
      <c r="C150">
        <v>1176</v>
      </c>
      <c r="D150" t="s">
        <v>187</v>
      </c>
    </row>
    <row r="151" spans="1:4" x14ac:dyDescent="0.3">
      <c r="A151" t="s">
        <v>338</v>
      </c>
      <c r="B151" t="s">
        <v>339</v>
      </c>
      <c r="C151">
        <v>288</v>
      </c>
      <c r="D151" t="s">
        <v>187</v>
      </c>
    </row>
    <row r="152" spans="1:4" x14ac:dyDescent="0.3">
      <c r="A152" t="s">
        <v>340</v>
      </c>
      <c r="B152" t="s">
        <v>341</v>
      </c>
      <c r="C152">
        <v>0</v>
      </c>
      <c r="D152" t="s">
        <v>187</v>
      </c>
    </row>
    <row r="153" spans="1:4" x14ac:dyDescent="0.3">
      <c r="A153" t="s">
        <v>342</v>
      </c>
      <c r="B153" t="s">
        <v>343</v>
      </c>
      <c r="C153">
        <v>0</v>
      </c>
      <c r="D153" t="s">
        <v>187</v>
      </c>
    </row>
    <row r="154" spans="1:4" x14ac:dyDescent="0.3">
      <c r="A154" t="s">
        <v>344</v>
      </c>
      <c r="B154" t="s">
        <v>345</v>
      </c>
      <c r="C154">
        <v>0</v>
      </c>
      <c r="D154" t="s">
        <v>187</v>
      </c>
    </row>
    <row r="155" spans="1:4" x14ac:dyDescent="0.3">
      <c r="A155" t="s">
        <v>346</v>
      </c>
      <c r="B155" t="s">
        <v>347</v>
      </c>
      <c r="C155">
        <v>0</v>
      </c>
      <c r="D155" t="s">
        <v>187</v>
      </c>
    </row>
    <row r="156" spans="1:4" x14ac:dyDescent="0.3">
      <c r="A156" t="s">
        <v>348</v>
      </c>
      <c r="B156" t="s">
        <v>349</v>
      </c>
      <c r="C156">
        <v>0</v>
      </c>
      <c r="D156" t="s">
        <v>187</v>
      </c>
    </row>
    <row r="157" spans="1:4" x14ac:dyDescent="0.3">
      <c r="A157" t="s">
        <v>350</v>
      </c>
      <c r="B157" t="s">
        <v>351</v>
      </c>
      <c r="C157">
        <v>0</v>
      </c>
      <c r="D157" t="s">
        <v>187</v>
      </c>
    </row>
    <row r="158" spans="1:4" x14ac:dyDescent="0.3">
      <c r="A158" t="s">
        <v>352</v>
      </c>
      <c r="B158" t="s">
        <v>353</v>
      </c>
      <c r="C158">
        <v>1192</v>
      </c>
      <c r="D158" t="s">
        <v>187</v>
      </c>
    </row>
    <row r="159" spans="1:4" x14ac:dyDescent="0.3">
      <c r="A159" t="s">
        <v>354</v>
      </c>
      <c r="B159" t="s">
        <v>355</v>
      </c>
      <c r="C159">
        <v>8</v>
      </c>
      <c r="D159" t="s">
        <v>172</v>
      </c>
    </row>
    <row r="160" spans="1:4" x14ac:dyDescent="0.3">
      <c r="A160" t="s">
        <v>356</v>
      </c>
      <c r="B160" t="s">
        <v>357</v>
      </c>
      <c r="C160">
        <v>0</v>
      </c>
      <c r="D160" t="s">
        <v>175</v>
      </c>
    </row>
    <row r="161" spans="1:4" x14ac:dyDescent="0.3">
      <c r="A161" t="s">
        <v>358</v>
      </c>
      <c r="B161" t="s">
        <v>359</v>
      </c>
      <c r="C161">
        <v>6</v>
      </c>
      <c r="D161" t="s">
        <v>172</v>
      </c>
    </row>
    <row r="162" spans="1:4" x14ac:dyDescent="0.3">
      <c r="A162" t="s">
        <v>360</v>
      </c>
      <c r="B162" t="s">
        <v>361</v>
      </c>
      <c r="C162">
        <v>0</v>
      </c>
      <c r="D162" t="s">
        <v>175</v>
      </c>
    </row>
    <row r="163" spans="1:4" x14ac:dyDescent="0.3">
      <c r="A163" t="s">
        <v>362</v>
      </c>
      <c r="B163" t="s">
        <v>363</v>
      </c>
      <c r="C163">
        <v>0</v>
      </c>
      <c r="D163" t="s">
        <v>172</v>
      </c>
    </row>
    <row r="164" spans="1:4" x14ac:dyDescent="0.3">
      <c r="A164" t="s">
        <v>364</v>
      </c>
      <c r="B164" t="s">
        <v>365</v>
      </c>
      <c r="C164">
        <v>176</v>
      </c>
      <c r="D164" t="s">
        <v>175</v>
      </c>
    </row>
    <row r="165" spans="1:4" x14ac:dyDescent="0.3">
      <c r="A165" t="s">
        <v>366</v>
      </c>
      <c r="B165" t="s">
        <v>367</v>
      </c>
      <c r="C165">
        <v>0</v>
      </c>
      <c r="D165" t="s">
        <v>172</v>
      </c>
    </row>
    <row r="166" spans="1:4" x14ac:dyDescent="0.3">
      <c r="A166" t="s">
        <v>368</v>
      </c>
      <c r="B166" t="s">
        <v>369</v>
      </c>
      <c r="C166">
        <v>0</v>
      </c>
      <c r="D166" t="s">
        <v>172</v>
      </c>
    </row>
    <row r="167" spans="1:4" x14ac:dyDescent="0.3">
      <c r="A167" t="s">
        <v>370</v>
      </c>
      <c r="B167" t="s">
        <v>371</v>
      </c>
      <c r="C167">
        <v>0</v>
      </c>
      <c r="D167" t="s">
        <v>175</v>
      </c>
    </row>
    <row r="168" spans="1:4" x14ac:dyDescent="0.3">
      <c r="A168" t="s">
        <v>372</v>
      </c>
      <c r="B168" t="s">
        <v>373</v>
      </c>
      <c r="C168">
        <v>0</v>
      </c>
      <c r="D168" t="s">
        <v>187</v>
      </c>
    </row>
    <row r="169" spans="1:4" x14ac:dyDescent="0.3">
      <c r="A169" t="s">
        <v>374</v>
      </c>
      <c r="B169" t="s">
        <v>375</v>
      </c>
      <c r="C169">
        <v>0</v>
      </c>
      <c r="D169" t="s">
        <v>187</v>
      </c>
    </row>
    <row r="170" spans="1:4" x14ac:dyDescent="0.3">
      <c r="A170" t="s">
        <v>376</v>
      </c>
      <c r="B170" t="s">
        <v>377</v>
      </c>
      <c r="C170">
        <v>0</v>
      </c>
      <c r="D170" t="s">
        <v>187</v>
      </c>
    </row>
    <row r="171" spans="1:4" x14ac:dyDescent="0.3">
      <c r="A171" t="s">
        <v>378</v>
      </c>
      <c r="B171" t="s">
        <v>379</v>
      </c>
      <c r="C171">
        <v>0</v>
      </c>
      <c r="D171" t="s">
        <v>187</v>
      </c>
    </row>
    <row r="172" spans="1:4" x14ac:dyDescent="0.3">
      <c r="A172" t="s">
        <v>380</v>
      </c>
      <c r="B172" t="s">
        <v>381</v>
      </c>
      <c r="C172">
        <v>0</v>
      </c>
      <c r="D172" t="s">
        <v>187</v>
      </c>
    </row>
    <row r="173" spans="1:4" x14ac:dyDescent="0.3">
      <c r="A173" t="s">
        <v>382</v>
      </c>
      <c r="B173" t="s">
        <v>383</v>
      </c>
      <c r="C173">
        <v>0</v>
      </c>
      <c r="D173" t="s">
        <v>187</v>
      </c>
    </row>
    <row r="174" spans="1:4" x14ac:dyDescent="0.3">
      <c r="A174" t="s">
        <v>384</v>
      </c>
      <c r="B174" t="s">
        <v>385</v>
      </c>
      <c r="C174">
        <v>0</v>
      </c>
      <c r="D174" t="s">
        <v>187</v>
      </c>
    </row>
    <row r="175" spans="1:4" x14ac:dyDescent="0.3">
      <c r="A175" t="s">
        <v>386</v>
      </c>
      <c r="B175" t="s">
        <v>387</v>
      </c>
      <c r="C175">
        <v>0</v>
      </c>
      <c r="D175" t="s">
        <v>187</v>
      </c>
    </row>
    <row r="176" spans="1:4" x14ac:dyDescent="0.3">
      <c r="A176" t="s">
        <v>388</v>
      </c>
      <c r="B176" t="s">
        <v>389</v>
      </c>
      <c r="C176">
        <v>0</v>
      </c>
      <c r="D176" t="s">
        <v>187</v>
      </c>
    </row>
    <row r="177" spans="1:4" x14ac:dyDescent="0.3">
      <c r="A177" t="s">
        <v>390</v>
      </c>
      <c r="B177" t="s">
        <v>391</v>
      </c>
      <c r="C177">
        <v>0</v>
      </c>
      <c r="D177" t="s">
        <v>187</v>
      </c>
    </row>
    <row r="178" spans="1:4" x14ac:dyDescent="0.3">
      <c r="A178" t="s">
        <v>392</v>
      </c>
      <c r="B178" t="s">
        <v>393</v>
      </c>
      <c r="C178">
        <v>0</v>
      </c>
      <c r="D178" t="s">
        <v>187</v>
      </c>
    </row>
    <row r="179" spans="1:4" x14ac:dyDescent="0.3">
      <c r="A179" t="s">
        <v>394</v>
      </c>
      <c r="B179" t="s">
        <v>395</v>
      </c>
      <c r="C179">
        <v>0</v>
      </c>
      <c r="D179" t="s">
        <v>187</v>
      </c>
    </row>
    <row r="180" spans="1:4" x14ac:dyDescent="0.3">
      <c r="A180" t="s">
        <v>396</v>
      </c>
      <c r="B180" t="s">
        <v>397</v>
      </c>
      <c r="C180">
        <v>0</v>
      </c>
      <c r="D180" t="s">
        <v>187</v>
      </c>
    </row>
    <row r="181" spans="1:4" x14ac:dyDescent="0.3">
      <c r="A181" t="s">
        <v>398</v>
      </c>
      <c r="B181" t="s">
        <v>399</v>
      </c>
      <c r="C181">
        <v>0</v>
      </c>
      <c r="D181" t="s">
        <v>187</v>
      </c>
    </row>
    <row r="182" spans="1:4" x14ac:dyDescent="0.3">
      <c r="A182" t="s">
        <v>400</v>
      </c>
      <c r="B182" t="s">
        <v>401</v>
      </c>
      <c r="C182">
        <v>0</v>
      </c>
      <c r="D182" t="s">
        <v>187</v>
      </c>
    </row>
    <row r="183" spans="1:4" x14ac:dyDescent="0.3">
      <c r="A183" t="s">
        <v>402</v>
      </c>
      <c r="B183" t="s">
        <v>403</v>
      </c>
      <c r="C183">
        <v>0</v>
      </c>
      <c r="D183" t="s">
        <v>187</v>
      </c>
    </row>
    <row r="184" spans="1:4" x14ac:dyDescent="0.3">
      <c r="A184" t="s">
        <v>404</v>
      </c>
      <c r="B184" t="s">
        <v>405</v>
      </c>
      <c r="C184">
        <v>0</v>
      </c>
      <c r="D184" t="s">
        <v>187</v>
      </c>
    </row>
    <row r="185" spans="1:4" x14ac:dyDescent="0.3">
      <c r="A185" t="s">
        <v>406</v>
      </c>
      <c r="B185" t="s">
        <v>407</v>
      </c>
      <c r="C185">
        <v>0</v>
      </c>
      <c r="D185" t="s">
        <v>187</v>
      </c>
    </row>
    <row r="186" spans="1:4" x14ac:dyDescent="0.3">
      <c r="A186" t="s">
        <v>408</v>
      </c>
      <c r="B186" t="s">
        <v>409</v>
      </c>
      <c r="C186">
        <v>0</v>
      </c>
      <c r="D186" t="s">
        <v>187</v>
      </c>
    </row>
    <row r="187" spans="1:4" x14ac:dyDescent="0.3">
      <c r="A187" t="s">
        <v>410</v>
      </c>
      <c r="B187" t="s">
        <v>411</v>
      </c>
      <c r="C187">
        <v>0</v>
      </c>
      <c r="D187" t="s">
        <v>187</v>
      </c>
    </row>
    <row r="188" spans="1:4" x14ac:dyDescent="0.3">
      <c r="A188" t="s">
        <v>412</v>
      </c>
      <c r="B188" t="s">
        <v>413</v>
      </c>
      <c r="C188">
        <v>0</v>
      </c>
      <c r="D188" t="s">
        <v>187</v>
      </c>
    </row>
    <row r="189" spans="1:4" x14ac:dyDescent="0.3">
      <c r="A189" t="s">
        <v>414</v>
      </c>
      <c r="B189" t="s">
        <v>415</v>
      </c>
      <c r="C189">
        <v>0</v>
      </c>
      <c r="D189" t="s">
        <v>187</v>
      </c>
    </row>
    <row r="190" spans="1:4" x14ac:dyDescent="0.3">
      <c r="A190" t="s">
        <v>416</v>
      </c>
      <c r="B190" t="s">
        <v>417</v>
      </c>
      <c r="C190">
        <v>0</v>
      </c>
      <c r="D190" t="s">
        <v>187</v>
      </c>
    </row>
    <row r="191" spans="1:4" x14ac:dyDescent="0.3">
      <c r="A191" t="s">
        <v>418</v>
      </c>
      <c r="B191" t="s">
        <v>419</v>
      </c>
      <c r="C191">
        <v>0</v>
      </c>
      <c r="D191" t="s">
        <v>187</v>
      </c>
    </row>
    <row r="192" spans="1:4" x14ac:dyDescent="0.3">
      <c r="A192" t="s">
        <v>420</v>
      </c>
      <c r="B192" t="s">
        <v>421</v>
      </c>
      <c r="C192">
        <v>0</v>
      </c>
      <c r="D192" t="s">
        <v>187</v>
      </c>
    </row>
    <row r="193" spans="1:4" x14ac:dyDescent="0.3">
      <c r="A193" t="s">
        <v>422</v>
      </c>
      <c r="B193" t="s">
        <v>423</v>
      </c>
      <c r="C193">
        <v>0</v>
      </c>
      <c r="D193" t="s">
        <v>187</v>
      </c>
    </row>
    <row r="194" spans="1:4" x14ac:dyDescent="0.3">
      <c r="A194" t="s">
        <v>424</v>
      </c>
      <c r="B194" t="s">
        <v>425</v>
      </c>
      <c r="C194">
        <v>0</v>
      </c>
      <c r="D194" t="s">
        <v>187</v>
      </c>
    </row>
    <row r="195" spans="1:4" x14ac:dyDescent="0.3">
      <c r="A195" t="s">
        <v>426</v>
      </c>
      <c r="B195" t="s">
        <v>427</v>
      </c>
      <c r="C195">
        <v>0</v>
      </c>
      <c r="D195" t="s">
        <v>187</v>
      </c>
    </row>
    <row r="196" spans="1:4" x14ac:dyDescent="0.3">
      <c r="A196" t="s">
        <v>428</v>
      </c>
      <c r="B196" t="s">
        <v>429</v>
      </c>
      <c r="C196">
        <v>0</v>
      </c>
      <c r="D196" t="s">
        <v>187</v>
      </c>
    </row>
    <row r="197" spans="1:4" x14ac:dyDescent="0.3">
      <c r="A197" t="s">
        <v>430</v>
      </c>
      <c r="B197" t="s">
        <v>431</v>
      </c>
      <c r="C197">
        <v>0</v>
      </c>
      <c r="D197" t="s">
        <v>187</v>
      </c>
    </row>
    <row r="198" spans="1:4" x14ac:dyDescent="0.3">
      <c r="A198" t="s">
        <v>432</v>
      </c>
      <c r="B198" t="s">
        <v>433</v>
      </c>
      <c r="C198">
        <v>0</v>
      </c>
      <c r="D198" t="s">
        <v>187</v>
      </c>
    </row>
    <row r="199" spans="1:4" x14ac:dyDescent="0.3">
      <c r="A199" t="s">
        <v>434</v>
      </c>
      <c r="B199" t="s">
        <v>435</v>
      </c>
      <c r="C199">
        <v>0</v>
      </c>
      <c r="D199" t="s">
        <v>187</v>
      </c>
    </row>
    <row r="200" spans="1:4" x14ac:dyDescent="0.3">
      <c r="A200" t="s">
        <v>436</v>
      </c>
      <c r="B200" t="s">
        <v>437</v>
      </c>
      <c r="C200">
        <v>0</v>
      </c>
      <c r="D200" t="s">
        <v>187</v>
      </c>
    </row>
    <row r="201" spans="1:4" x14ac:dyDescent="0.3">
      <c r="A201" t="s">
        <v>438</v>
      </c>
      <c r="B201" t="s">
        <v>439</v>
      </c>
      <c r="C201">
        <v>0</v>
      </c>
      <c r="D201" t="s">
        <v>187</v>
      </c>
    </row>
    <row r="202" spans="1:4" x14ac:dyDescent="0.3">
      <c r="A202" t="s">
        <v>440</v>
      </c>
      <c r="B202" t="s">
        <v>441</v>
      </c>
      <c r="C202">
        <v>0</v>
      </c>
      <c r="D202" t="s">
        <v>187</v>
      </c>
    </row>
    <row r="203" spans="1:4" x14ac:dyDescent="0.3">
      <c r="A203" t="s">
        <v>442</v>
      </c>
      <c r="B203" t="s">
        <v>443</v>
      </c>
      <c r="C203">
        <v>0</v>
      </c>
      <c r="D203" t="s">
        <v>187</v>
      </c>
    </row>
    <row r="204" spans="1:4" x14ac:dyDescent="0.3">
      <c r="A204" t="s">
        <v>444</v>
      </c>
      <c r="B204" t="s">
        <v>445</v>
      </c>
      <c r="C204">
        <v>0</v>
      </c>
      <c r="D204" t="s">
        <v>187</v>
      </c>
    </row>
    <row r="205" spans="1:4" x14ac:dyDescent="0.3">
      <c r="A205" t="s">
        <v>446</v>
      </c>
      <c r="B205" t="s">
        <v>447</v>
      </c>
      <c r="C205">
        <v>0</v>
      </c>
      <c r="D205" t="s">
        <v>187</v>
      </c>
    </row>
    <row r="206" spans="1:4" x14ac:dyDescent="0.3">
      <c r="A206" t="s">
        <v>448</v>
      </c>
      <c r="B206" t="s">
        <v>449</v>
      </c>
      <c r="C206">
        <v>0</v>
      </c>
      <c r="D206" t="s">
        <v>187</v>
      </c>
    </row>
    <row r="207" spans="1:4" x14ac:dyDescent="0.3">
      <c r="A207" t="s">
        <v>450</v>
      </c>
      <c r="B207" t="s">
        <v>451</v>
      </c>
      <c r="C207">
        <v>0</v>
      </c>
      <c r="D207" t="s">
        <v>187</v>
      </c>
    </row>
    <row r="208" spans="1:4" x14ac:dyDescent="0.3">
      <c r="A208" t="s">
        <v>452</v>
      </c>
      <c r="B208" t="s">
        <v>453</v>
      </c>
      <c r="C208">
        <v>0</v>
      </c>
      <c r="D208" t="s">
        <v>187</v>
      </c>
    </row>
    <row r="209" spans="1:4" x14ac:dyDescent="0.3">
      <c r="A209" t="s">
        <v>454</v>
      </c>
      <c r="B209" t="s">
        <v>455</v>
      </c>
      <c r="C209">
        <v>0</v>
      </c>
      <c r="D209" t="s">
        <v>187</v>
      </c>
    </row>
    <row r="210" spans="1:4" x14ac:dyDescent="0.3">
      <c r="A210" t="s">
        <v>456</v>
      </c>
      <c r="B210" t="s">
        <v>457</v>
      </c>
      <c r="C210">
        <v>0</v>
      </c>
      <c r="D210" t="s">
        <v>187</v>
      </c>
    </row>
    <row r="211" spans="1:4" x14ac:dyDescent="0.3">
      <c r="A211" t="s">
        <v>458</v>
      </c>
      <c r="B211" t="s">
        <v>459</v>
      </c>
      <c r="C211">
        <v>0</v>
      </c>
      <c r="D211" t="s">
        <v>187</v>
      </c>
    </row>
    <row r="212" spans="1:4" x14ac:dyDescent="0.3">
      <c r="A212" t="s">
        <v>460</v>
      </c>
      <c r="B212" t="s">
        <v>461</v>
      </c>
      <c r="C212">
        <v>0</v>
      </c>
      <c r="D212" t="s">
        <v>187</v>
      </c>
    </row>
    <row r="213" spans="1:4" x14ac:dyDescent="0.3">
      <c r="A213" t="s">
        <v>462</v>
      </c>
      <c r="B213" t="s">
        <v>463</v>
      </c>
      <c r="C213">
        <v>0</v>
      </c>
      <c r="D213" t="s">
        <v>187</v>
      </c>
    </row>
    <row r="214" spans="1:4" x14ac:dyDescent="0.3">
      <c r="A214" t="s">
        <v>464</v>
      </c>
      <c r="B214" t="s">
        <v>465</v>
      </c>
      <c r="C214">
        <v>0</v>
      </c>
      <c r="D214" t="s">
        <v>187</v>
      </c>
    </row>
    <row r="215" spans="1:4" x14ac:dyDescent="0.3">
      <c r="A215" t="s">
        <v>466</v>
      </c>
      <c r="B215" t="s">
        <v>467</v>
      </c>
      <c r="C215">
        <v>0</v>
      </c>
      <c r="D215" t="s">
        <v>187</v>
      </c>
    </row>
    <row r="216" spans="1:4" x14ac:dyDescent="0.3">
      <c r="A216" t="s">
        <v>468</v>
      </c>
      <c r="B216" t="s">
        <v>469</v>
      </c>
      <c r="C216">
        <v>0</v>
      </c>
      <c r="D216" t="s">
        <v>187</v>
      </c>
    </row>
    <row r="217" spans="1:4" x14ac:dyDescent="0.3">
      <c r="A217" t="s">
        <v>470</v>
      </c>
      <c r="B217" t="s">
        <v>471</v>
      </c>
      <c r="C217">
        <v>0</v>
      </c>
      <c r="D217" t="s">
        <v>187</v>
      </c>
    </row>
    <row r="218" spans="1:4" x14ac:dyDescent="0.3">
      <c r="A218" t="s">
        <v>472</v>
      </c>
      <c r="B218" t="s">
        <v>473</v>
      </c>
      <c r="C218">
        <v>0</v>
      </c>
      <c r="D218" t="s">
        <v>187</v>
      </c>
    </row>
    <row r="219" spans="1:4" x14ac:dyDescent="0.3">
      <c r="A219" t="s">
        <v>474</v>
      </c>
      <c r="B219" t="s">
        <v>475</v>
      </c>
      <c r="C219">
        <v>0</v>
      </c>
      <c r="D219" t="s">
        <v>187</v>
      </c>
    </row>
    <row r="220" spans="1:4" x14ac:dyDescent="0.3">
      <c r="A220" t="s">
        <v>476</v>
      </c>
      <c r="B220" t="s">
        <v>477</v>
      </c>
      <c r="C220">
        <v>0</v>
      </c>
      <c r="D220" t="s">
        <v>187</v>
      </c>
    </row>
    <row r="221" spans="1:4" x14ac:dyDescent="0.3">
      <c r="A221" t="s">
        <v>478</v>
      </c>
      <c r="B221" t="s">
        <v>479</v>
      </c>
      <c r="C221">
        <v>0</v>
      </c>
      <c r="D221" t="s">
        <v>187</v>
      </c>
    </row>
    <row r="222" spans="1:4" x14ac:dyDescent="0.3">
      <c r="A222" t="s">
        <v>480</v>
      </c>
      <c r="B222" t="s">
        <v>481</v>
      </c>
      <c r="C222">
        <v>0</v>
      </c>
      <c r="D222" t="s">
        <v>187</v>
      </c>
    </row>
    <row r="223" spans="1:4" x14ac:dyDescent="0.3">
      <c r="A223" t="s">
        <v>482</v>
      </c>
      <c r="B223" t="s">
        <v>483</v>
      </c>
      <c r="C223">
        <v>0</v>
      </c>
      <c r="D223" t="s">
        <v>187</v>
      </c>
    </row>
    <row r="224" spans="1:4" x14ac:dyDescent="0.3">
      <c r="A224" t="s">
        <v>484</v>
      </c>
      <c r="B224" t="s">
        <v>485</v>
      </c>
      <c r="C224">
        <v>0</v>
      </c>
      <c r="D224" t="s">
        <v>187</v>
      </c>
    </row>
    <row r="225" spans="1:4" x14ac:dyDescent="0.3">
      <c r="A225" t="s">
        <v>486</v>
      </c>
      <c r="B225" t="s">
        <v>487</v>
      </c>
      <c r="C225">
        <v>0</v>
      </c>
      <c r="D225" t="s">
        <v>187</v>
      </c>
    </row>
    <row r="226" spans="1:4" x14ac:dyDescent="0.3">
      <c r="A226" t="s">
        <v>488</v>
      </c>
      <c r="B226" t="s">
        <v>489</v>
      </c>
      <c r="C226">
        <v>0</v>
      </c>
      <c r="D226" t="s">
        <v>187</v>
      </c>
    </row>
    <row r="227" spans="1:4" x14ac:dyDescent="0.3">
      <c r="A227" t="s">
        <v>490</v>
      </c>
      <c r="B227" t="s">
        <v>491</v>
      </c>
      <c r="C227">
        <v>0</v>
      </c>
      <c r="D227" t="s">
        <v>187</v>
      </c>
    </row>
    <row r="228" spans="1:4" x14ac:dyDescent="0.3">
      <c r="A228" t="s">
        <v>492</v>
      </c>
      <c r="B228" t="s">
        <v>493</v>
      </c>
      <c r="C228">
        <v>0</v>
      </c>
      <c r="D228" t="s">
        <v>187</v>
      </c>
    </row>
    <row r="229" spans="1:4" x14ac:dyDescent="0.3">
      <c r="A229" t="s">
        <v>494</v>
      </c>
      <c r="B229" t="s">
        <v>495</v>
      </c>
      <c r="C229">
        <v>0</v>
      </c>
      <c r="D229" t="s">
        <v>187</v>
      </c>
    </row>
    <row r="230" spans="1:4" x14ac:dyDescent="0.3">
      <c r="A230" t="s">
        <v>496</v>
      </c>
      <c r="B230" t="s">
        <v>497</v>
      </c>
      <c r="C230">
        <v>0</v>
      </c>
      <c r="D230" t="s">
        <v>187</v>
      </c>
    </row>
    <row r="231" spans="1:4" x14ac:dyDescent="0.3">
      <c r="A231" t="s">
        <v>498</v>
      </c>
      <c r="B231" t="s">
        <v>499</v>
      </c>
      <c r="C231">
        <v>0</v>
      </c>
      <c r="D231" t="s">
        <v>187</v>
      </c>
    </row>
    <row r="232" spans="1:4" x14ac:dyDescent="0.3">
      <c r="A232" t="s">
        <v>500</v>
      </c>
      <c r="B232" t="s">
        <v>501</v>
      </c>
      <c r="C232">
        <v>0</v>
      </c>
      <c r="D232" t="s">
        <v>187</v>
      </c>
    </row>
    <row r="233" spans="1:4" x14ac:dyDescent="0.3">
      <c r="A233" t="s">
        <v>502</v>
      </c>
      <c r="B233" t="s">
        <v>503</v>
      </c>
      <c r="C233">
        <v>0</v>
      </c>
      <c r="D233" t="s">
        <v>187</v>
      </c>
    </row>
    <row r="234" spans="1:4" x14ac:dyDescent="0.3">
      <c r="A234" t="s">
        <v>504</v>
      </c>
      <c r="B234" t="s">
        <v>505</v>
      </c>
      <c r="C234">
        <v>0</v>
      </c>
      <c r="D234" t="s">
        <v>187</v>
      </c>
    </row>
    <row r="235" spans="1:4" x14ac:dyDescent="0.3">
      <c r="A235" t="s">
        <v>506</v>
      </c>
      <c r="B235" t="s">
        <v>507</v>
      </c>
      <c r="C235">
        <v>0</v>
      </c>
      <c r="D235" t="s">
        <v>187</v>
      </c>
    </row>
    <row r="236" spans="1:4" x14ac:dyDescent="0.3">
      <c r="A236" t="s">
        <v>508</v>
      </c>
      <c r="B236" t="s">
        <v>509</v>
      </c>
      <c r="C236">
        <v>0</v>
      </c>
      <c r="D236" t="s">
        <v>187</v>
      </c>
    </row>
    <row r="237" spans="1:4" x14ac:dyDescent="0.3">
      <c r="A237" t="s">
        <v>510</v>
      </c>
      <c r="B237" t="s">
        <v>511</v>
      </c>
      <c r="C237">
        <v>0</v>
      </c>
      <c r="D237" t="s">
        <v>187</v>
      </c>
    </row>
    <row r="238" spans="1:4" x14ac:dyDescent="0.3">
      <c r="A238" t="s">
        <v>512</v>
      </c>
      <c r="B238" t="s">
        <v>513</v>
      </c>
      <c r="C238">
        <v>0</v>
      </c>
      <c r="D238" t="s">
        <v>187</v>
      </c>
    </row>
    <row r="239" spans="1:4" x14ac:dyDescent="0.3">
      <c r="A239" t="s">
        <v>514</v>
      </c>
      <c r="B239" t="s">
        <v>515</v>
      </c>
      <c r="C239">
        <v>0</v>
      </c>
      <c r="D239" t="s">
        <v>187</v>
      </c>
    </row>
    <row r="240" spans="1:4" x14ac:dyDescent="0.3">
      <c r="A240" t="s">
        <v>516</v>
      </c>
      <c r="B240" t="s">
        <v>517</v>
      </c>
      <c r="C240">
        <v>0</v>
      </c>
      <c r="D240" t="s">
        <v>187</v>
      </c>
    </row>
    <row r="241" spans="1:4" x14ac:dyDescent="0.3">
      <c r="A241" t="s">
        <v>518</v>
      </c>
      <c r="B241" t="s">
        <v>519</v>
      </c>
      <c r="C241">
        <v>0</v>
      </c>
      <c r="D241" t="s">
        <v>187</v>
      </c>
    </row>
    <row r="242" spans="1:4" x14ac:dyDescent="0.3">
      <c r="A242" t="s">
        <v>520</v>
      </c>
      <c r="B242" t="s">
        <v>521</v>
      </c>
      <c r="C242">
        <v>0</v>
      </c>
      <c r="D242" t="s">
        <v>187</v>
      </c>
    </row>
    <row r="243" spans="1:4" x14ac:dyDescent="0.3">
      <c r="A243" t="s">
        <v>522</v>
      </c>
      <c r="B243" t="s">
        <v>523</v>
      </c>
      <c r="C243">
        <v>0</v>
      </c>
      <c r="D243" t="s">
        <v>187</v>
      </c>
    </row>
    <row r="244" spans="1:4" x14ac:dyDescent="0.3">
      <c r="A244" t="s">
        <v>524</v>
      </c>
      <c r="B244" t="s">
        <v>525</v>
      </c>
      <c r="C244">
        <v>0</v>
      </c>
      <c r="D244" t="s">
        <v>187</v>
      </c>
    </row>
    <row r="245" spans="1:4" x14ac:dyDescent="0.3">
      <c r="A245" t="s">
        <v>526</v>
      </c>
      <c r="B245" t="s">
        <v>527</v>
      </c>
      <c r="C245">
        <v>0</v>
      </c>
      <c r="D245" t="s">
        <v>187</v>
      </c>
    </row>
    <row r="246" spans="1:4" x14ac:dyDescent="0.3">
      <c r="A246" t="s">
        <v>528</v>
      </c>
      <c r="B246" t="s">
        <v>529</v>
      </c>
      <c r="C246">
        <v>0</v>
      </c>
      <c r="D246" t="s">
        <v>187</v>
      </c>
    </row>
    <row r="247" spans="1:4" x14ac:dyDescent="0.3">
      <c r="A247" t="s">
        <v>530</v>
      </c>
      <c r="B247" t="s">
        <v>531</v>
      </c>
      <c r="C247">
        <v>0</v>
      </c>
      <c r="D247" t="s">
        <v>187</v>
      </c>
    </row>
    <row r="248" spans="1:4" x14ac:dyDescent="0.3">
      <c r="A248" t="s">
        <v>532</v>
      </c>
      <c r="B248" t="s">
        <v>533</v>
      </c>
      <c r="C248">
        <v>0</v>
      </c>
      <c r="D248" t="s">
        <v>187</v>
      </c>
    </row>
    <row r="249" spans="1:4" x14ac:dyDescent="0.3">
      <c r="A249" t="s">
        <v>534</v>
      </c>
      <c r="B249" t="s">
        <v>535</v>
      </c>
      <c r="C249">
        <v>0</v>
      </c>
      <c r="D249" t="s">
        <v>187</v>
      </c>
    </row>
    <row r="250" spans="1:4" x14ac:dyDescent="0.3">
      <c r="A250" t="s">
        <v>536</v>
      </c>
      <c r="B250" t="s">
        <v>537</v>
      </c>
      <c r="C250">
        <v>0</v>
      </c>
      <c r="D250" t="s">
        <v>187</v>
      </c>
    </row>
    <row r="251" spans="1:4" x14ac:dyDescent="0.3">
      <c r="A251" t="s">
        <v>538</v>
      </c>
      <c r="B251" t="s">
        <v>539</v>
      </c>
      <c r="C251">
        <v>0</v>
      </c>
      <c r="D251" t="s">
        <v>187</v>
      </c>
    </row>
    <row r="252" spans="1:4" x14ac:dyDescent="0.3">
      <c r="A252" t="s">
        <v>540</v>
      </c>
      <c r="B252" t="s">
        <v>541</v>
      </c>
      <c r="C252">
        <v>0</v>
      </c>
      <c r="D252" t="s">
        <v>187</v>
      </c>
    </row>
    <row r="253" spans="1:4" x14ac:dyDescent="0.3">
      <c r="A253" t="s">
        <v>542</v>
      </c>
      <c r="B253" t="s">
        <v>543</v>
      </c>
      <c r="C253">
        <v>0</v>
      </c>
      <c r="D253" t="s">
        <v>187</v>
      </c>
    </row>
    <row r="254" spans="1:4" x14ac:dyDescent="0.3">
      <c r="A254" t="s">
        <v>544</v>
      </c>
      <c r="B254" t="s">
        <v>545</v>
      </c>
      <c r="C254">
        <v>0</v>
      </c>
      <c r="D254" t="s">
        <v>187</v>
      </c>
    </row>
    <row r="255" spans="1:4" x14ac:dyDescent="0.3">
      <c r="A255" t="s">
        <v>546</v>
      </c>
      <c r="B255" t="s">
        <v>547</v>
      </c>
      <c r="C255">
        <v>0</v>
      </c>
      <c r="D255" t="s">
        <v>187</v>
      </c>
    </row>
    <row r="256" spans="1:4" x14ac:dyDescent="0.3">
      <c r="A256" t="s">
        <v>548</v>
      </c>
      <c r="B256" t="s">
        <v>549</v>
      </c>
      <c r="C256">
        <v>0</v>
      </c>
      <c r="D256" t="s">
        <v>187</v>
      </c>
    </row>
    <row r="257" spans="1:4" x14ac:dyDescent="0.3">
      <c r="A257" t="s">
        <v>550</v>
      </c>
      <c r="B257" t="s">
        <v>551</v>
      </c>
      <c r="C257">
        <v>0</v>
      </c>
      <c r="D257" t="s">
        <v>187</v>
      </c>
    </row>
    <row r="258" spans="1:4" x14ac:dyDescent="0.3">
      <c r="A258" t="s">
        <v>552</v>
      </c>
      <c r="B258" t="s">
        <v>553</v>
      </c>
      <c r="C258">
        <v>0</v>
      </c>
      <c r="D258" t="s">
        <v>187</v>
      </c>
    </row>
    <row r="259" spans="1:4" x14ac:dyDescent="0.3">
      <c r="A259" t="s">
        <v>554</v>
      </c>
      <c r="B259" t="s">
        <v>555</v>
      </c>
      <c r="C259">
        <v>0</v>
      </c>
      <c r="D259" t="s">
        <v>187</v>
      </c>
    </row>
    <row r="260" spans="1:4" x14ac:dyDescent="0.3">
      <c r="A260" t="s">
        <v>556</v>
      </c>
      <c r="B260" t="s">
        <v>557</v>
      </c>
      <c r="C260">
        <v>0</v>
      </c>
      <c r="D260" t="s">
        <v>187</v>
      </c>
    </row>
    <row r="261" spans="1:4" x14ac:dyDescent="0.3">
      <c r="A261" t="s">
        <v>558</v>
      </c>
      <c r="B261" t="s">
        <v>559</v>
      </c>
      <c r="C261">
        <v>0</v>
      </c>
      <c r="D261" t="s">
        <v>187</v>
      </c>
    </row>
    <row r="262" spans="1:4" x14ac:dyDescent="0.3">
      <c r="A262" t="s">
        <v>560</v>
      </c>
      <c r="B262" t="s">
        <v>561</v>
      </c>
      <c r="C262">
        <v>0</v>
      </c>
      <c r="D262" t="s">
        <v>187</v>
      </c>
    </row>
    <row r="263" spans="1:4" x14ac:dyDescent="0.3">
      <c r="A263" t="s">
        <v>562</v>
      </c>
      <c r="B263" t="s">
        <v>563</v>
      </c>
      <c r="C263">
        <v>0</v>
      </c>
      <c r="D263" t="s">
        <v>187</v>
      </c>
    </row>
    <row r="264" spans="1:4" x14ac:dyDescent="0.3">
      <c r="A264" t="s">
        <v>564</v>
      </c>
      <c r="B264" t="s">
        <v>565</v>
      </c>
      <c r="C264">
        <v>0</v>
      </c>
      <c r="D264" t="s">
        <v>187</v>
      </c>
    </row>
    <row r="265" spans="1:4" x14ac:dyDescent="0.3">
      <c r="A265" t="s">
        <v>566</v>
      </c>
      <c r="B265" t="s">
        <v>567</v>
      </c>
      <c r="C265">
        <v>0</v>
      </c>
      <c r="D265" t="s">
        <v>187</v>
      </c>
    </row>
    <row r="266" spans="1:4" x14ac:dyDescent="0.3">
      <c r="A266" t="s">
        <v>568</v>
      </c>
      <c r="B266" t="s">
        <v>569</v>
      </c>
      <c r="C266">
        <v>0</v>
      </c>
      <c r="D266" t="s">
        <v>187</v>
      </c>
    </row>
    <row r="267" spans="1:4" x14ac:dyDescent="0.3">
      <c r="A267" t="s">
        <v>570</v>
      </c>
      <c r="B267" t="s">
        <v>571</v>
      </c>
      <c r="C267">
        <v>0</v>
      </c>
      <c r="D267" t="s">
        <v>187</v>
      </c>
    </row>
    <row r="268" spans="1:4" x14ac:dyDescent="0.3">
      <c r="A268" t="s">
        <v>572</v>
      </c>
      <c r="B268" t="s">
        <v>573</v>
      </c>
      <c r="C268">
        <v>0</v>
      </c>
      <c r="D268" t="s">
        <v>187</v>
      </c>
    </row>
    <row r="269" spans="1:4" x14ac:dyDescent="0.3">
      <c r="A269" t="s">
        <v>574</v>
      </c>
      <c r="B269" t="s">
        <v>575</v>
      </c>
      <c r="C269">
        <v>0</v>
      </c>
      <c r="D269" t="s">
        <v>187</v>
      </c>
    </row>
    <row r="270" spans="1:4" x14ac:dyDescent="0.3">
      <c r="A270" t="s">
        <v>576</v>
      </c>
      <c r="B270" t="s">
        <v>577</v>
      </c>
      <c r="C270">
        <v>0</v>
      </c>
      <c r="D270" t="s">
        <v>187</v>
      </c>
    </row>
    <row r="271" spans="1:4" x14ac:dyDescent="0.3">
      <c r="A271" t="s">
        <v>578</v>
      </c>
      <c r="B271" t="s">
        <v>579</v>
      </c>
      <c r="C271">
        <v>0</v>
      </c>
      <c r="D271" t="s">
        <v>187</v>
      </c>
    </row>
    <row r="272" spans="1:4" x14ac:dyDescent="0.3">
      <c r="A272" t="s">
        <v>580</v>
      </c>
      <c r="B272" t="s">
        <v>581</v>
      </c>
      <c r="C272">
        <v>0</v>
      </c>
      <c r="D272" t="s">
        <v>187</v>
      </c>
    </row>
    <row r="273" spans="1:4" x14ac:dyDescent="0.3">
      <c r="A273" t="s">
        <v>582</v>
      </c>
      <c r="B273" t="s">
        <v>583</v>
      </c>
      <c r="C273">
        <v>0</v>
      </c>
      <c r="D273" t="s">
        <v>187</v>
      </c>
    </row>
    <row r="274" spans="1:4" x14ac:dyDescent="0.3">
      <c r="A274" t="s">
        <v>584</v>
      </c>
      <c r="B274" t="s">
        <v>585</v>
      </c>
      <c r="C274">
        <v>0</v>
      </c>
      <c r="D274" t="s">
        <v>187</v>
      </c>
    </row>
    <row r="275" spans="1:4" x14ac:dyDescent="0.3">
      <c r="A275" t="s">
        <v>586</v>
      </c>
      <c r="B275" t="s">
        <v>587</v>
      </c>
      <c r="C275">
        <v>0</v>
      </c>
      <c r="D275" t="s">
        <v>187</v>
      </c>
    </row>
    <row r="276" spans="1:4" x14ac:dyDescent="0.3">
      <c r="A276" t="s">
        <v>588</v>
      </c>
      <c r="B276" t="s">
        <v>589</v>
      </c>
      <c r="C276">
        <v>0</v>
      </c>
      <c r="D276" t="s">
        <v>187</v>
      </c>
    </row>
    <row r="277" spans="1:4" x14ac:dyDescent="0.3">
      <c r="A277" t="s">
        <v>590</v>
      </c>
      <c r="B277" t="s">
        <v>591</v>
      </c>
      <c r="C277">
        <v>0</v>
      </c>
      <c r="D277" t="s">
        <v>187</v>
      </c>
    </row>
    <row r="278" spans="1:4" x14ac:dyDescent="0.3">
      <c r="A278" t="s">
        <v>592</v>
      </c>
      <c r="B278" t="s">
        <v>593</v>
      </c>
      <c r="C278">
        <v>0</v>
      </c>
      <c r="D278" t="s">
        <v>187</v>
      </c>
    </row>
    <row r="279" spans="1:4" x14ac:dyDescent="0.3">
      <c r="A279" t="s">
        <v>594</v>
      </c>
      <c r="B279" t="s">
        <v>595</v>
      </c>
      <c r="C279">
        <v>0</v>
      </c>
      <c r="D279" t="s">
        <v>187</v>
      </c>
    </row>
    <row r="280" spans="1:4" x14ac:dyDescent="0.3">
      <c r="A280" t="s">
        <v>596</v>
      </c>
      <c r="B280" t="s">
        <v>597</v>
      </c>
      <c r="C280">
        <v>0</v>
      </c>
      <c r="D280" t="s">
        <v>187</v>
      </c>
    </row>
    <row r="281" spans="1:4" x14ac:dyDescent="0.3">
      <c r="A281" t="s">
        <v>598</v>
      </c>
      <c r="B281" t="s">
        <v>599</v>
      </c>
      <c r="C281">
        <v>0</v>
      </c>
      <c r="D281" t="s">
        <v>187</v>
      </c>
    </row>
    <row r="282" spans="1:4" x14ac:dyDescent="0.3">
      <c r="A282" t="s">
        <v>600</v>
      </c>
      <c r="B282" t="s">
        <v>601</v>
      </c>
      <c r="C282">
        <v>0</v>
      </c>
      <c r="D282" t="s">
        <v>187</v>
      </c>
    </row>
    <row r="283" spans="1:4" x14ac:dyDescent="0.3">
      <c r="A283" t="s">
        <v>602</v>
      </c>
      <c r="B283" t="s">
        <v>603</v>
      </c>
      <c r="C283">
        <v>0</v>
      </c>
      <c r="D283" t="s">
        <v>187</v>
      </c>
    </row>
    <row r="285" spans="1:4" x14ac:dyDescent="0.3">
      <c r="C285">
        <v>2705</v>
      </c>
    </row>
    <row r="289" spans="3:3" x14ac:dyDescent="0.3">
      <c r="C289">
        <v>0</v>
      </c>
    </row>
    <row r="293" spans="3:3" x14ac:dyDescent="0.3">
      <c r="C293">
        <v>0</v>
      </c>
    </row>
    <row r="297" spans="3:3" x14ac:dyDescent="0.3">
      <c r="C297">
        <v>325</v>
      </c>
    </row>
    <row r="301" spans="3:3" x14ac:dyDescent="0.3">
      <c r="C301">
        <v>0</v>
      </c>
    </row>
    <row r="305" spans="3:3" x14ac:dyDescent="0.3">
      <c r="C305">
        <v>8835</v>
      </c>
    </row>
    <row r="309" spans="3:3" x14ac:dyDescent="0.3">
      <c r="C309">
        <v>928</v>
      </c>
    </row>
    <row r="313" spans="3:3" x14ac:dyDescent="0.3">
      <c r="C313">
        <v>588</v>
      </c>
    </row>
    <row r="317" spans="3:3" x14ac:dyDescent="0.3">
      <c r="C317">
        <v>821</v>
      </c>
    </row>
    <row r="321" spans="3:3" x14ac:dyDescent="0.3">
      <c r="C321">
        <v>377</v>
      </c>
    </row>
    <row r="325" spans="3:3" x14ac:dyDescent="0.3">
      <c r="C325">
        <v>10805</v>
      </c>
    </row>
    <row r="329" spans="3:3" x14ac:dyDescent="0.3">
      <c r="C329">
        <v>0</v>
      </c>
    </row>
    <row r="333" spans="3:3" x14ac:dyDescent="0.3">
      <c r="C333">
        <v>0</v>
      </c>
    </row>
    <row r="337" spans="3:3" x14ac:dyDescent="0.3">
      <c r="C337">
        <v>24103</v>
      </c>
    </row>
    <row r="341" spans="3:3" x14ac:dyDescent="0.3">
      <c r="C341">
        <v>0</v>
      </c>
    </row>
    <row r="345" spans="3:3" x14ac:dyDescent="0.3">
      <c r="C345">
        <v>575</v>
      </c>
    </row>
    <row r="349" spans="3:3" x14ac:dyDescent="0.3">
      <c r="C349">
        <v>44</v>
      </c>
    </row>
    <row r="353" spans="3:3" x14ac:dyDescent="0.3">
      <c r="C353">
        <v>89</v>
      </c>
    </row>
    <row r="357" spans="3:3" x14ac:dyDescent="0.3">
      <c r="C357">
        <v>199</v>
      </c>
    </row>
    <row r="361" spans="3:3" x14ac:dyDescent="0.3">
      <c r="C361">
        <v>408</v>
      </c>
    </row>
    <row r="365" spans="3:3" x14ac:dyDescent="0.3">
      <c r="C365">
        <v>365</v>
      </c>
    </row>
    <row r="369" spans="3:3" x14ac:dyDescent="0.3">
      <c r="C369">
        <v>14</v>
      </c>
    </row>
    <row r="373" spans="3:3" x14ac:dyDescent="0.3">
      <c r="C373">
        <v>48</v>
      </c>
    </row>
    <row r="377" spans="3:3" x14ac:dyDescent="0.3">
      <c r="C377">
        <v>40</v>
      </c>
    </row>
    <row r="381" spans="3:3" x14ac:dyDescent="0.3">
      <c r="C381">
        <v>0</v>
      </c>
    </row>
    <row r="385" spans="3:3" x14ac:dyDescent="0.3">
      <c r="C385">
        <v>0</v>
      </c>
    </row>
    <row r="389" spans="3:3" x14ac:dyDescent="0.3">
      <c r="C389">
        <v>48</v>
      </c>
    </row>
    <row r="393" spans="3:3" x14ac:dyDescent="0.3">
      <c r="C393">
        <v>1563</v>
      </c>
    </row>
    <row r="397" spans="3:3" x14ac:dyDescent="0.3">
      <c r="C397">
        <v>963</v>
      </c>
    </row>
    <row r="401" spans="3:3" x14ac:dyDescent="0.3">
      <c r="C401">
        <v>90</v>
      </c>
    </row>
    <row r="405" spans="3:3" x14ac:dyDescent="0.3">
      <c r="C405">
        <v>1047</v>
      </c>
    </row>
    <row r="409" spans="3:3" x14ac:dyDescent="0.3">
      <c r="C409">
        <v>5</v>
      </c>
    </row>
    <row r="413" spans="3:3" x14ac:dyDescent="0.3">
      <c r="C413">
        <v>0</v>
      </c>
    </row>
    <row r="417" spans="3:3" x14ac:dyDescent="0.3">
      <c r="C417">
        <v>152</v>
      </c>
    </row>
    <row r="421" spans="3:3" x14ac:dyDescent="0.3">
      <c r="C421">
        <v>14</v>
      </c>
    </row>
    <row r="425" spans="3:3" x14ac:dyDescent="0.3">
      <c r="C425">
        <v>94</v>
      </c>
    </row>
    <row r="429" spans="3:3" x14ac:dyDescent="0.3">
      <c r="C429">
        <v>588</v>
      </c>
    </row>
    <row r="433" spans="3:3" x14ac:dyDescent="0.3">
      <c r="C433">
        <v>0</v>
      </c>
    </row>
    <row r="437" spans="3:3" x14ac:dyDescent="0.3">
      <c r="C437">
        <v>5</v>
      </c>
    </row>
    <row r="441" spans="3:3" x14ac:dyDescent="0.3">
      <c r="C441">
        <v>417</v>
      </c>
    </row>
    <row r="445" spans="3:3" x14ac:dyDescent="0.3">
      <c r="C445">
        <v>6208</v>
      </c>
    </row>
    <row r="449" spans="3:3" x14ac:dyDescent="0.3">
      <c r="C449">
        <v>44</v>
      </c>
    </row>
    <row r="453" spans="3:3" x14ac:dyDescent="0.3">
      <c r="C453">
        <v>40</v>
      </c>
    </row>
    <row r="457" spans="3:3" x14ac:dyDescent="0.3">
      <c r="C457">
        <v>60</v>
      </c>
    </row>
    <row r="461" spans="3:3" x14ac:dyDescent="0.3">
      <c r="C461">
        <v>84</v>
      </c>
    </row>
    <row r="465" spans="3:3" x14ac:dyDescent="0.3">
      <c r="C465">
        <v>102</v>
      </c>
    </row>
    <row r="469" spans="3:3" x14ac:dyDescent="0.3">
      <c r="C469">
        <v>397</v>
      </c>
    </row>
    <row r="473" spans="3:3" x14ac:dyDescent="0.3">
      <c r="C473">
        <v>1147</v>
      </c>
    </row>
    <row r="477" spans="3:3" x14ac:dyDescent="0.3">
      <c r="C477">
        <v>1567</v>
      </c>
    </row>
    <row r="481" spans="3:3" x14ac:dyDescent="0.3">
      <c r="C481">
        <v>23</v>
      </c>
    </row>
    <row r="485" spans="3:3" x14ac:dyDescent="0.3">
      <c r="C485">
        <v>55432</v>
      </c>
    </row>
    <row r="489" spans="3:3" x14ac:dyDescent="0.3">
      <c r="C489">
        <v>0</v>
      </c>
    </row>
    <row r="493" spans="3:3" x14ac:dyDescent="0.3">
      <c r="C493">
        <v>290</v>
      </c>
    </row>
    <row r="497" spans="3:3" x14ac:dyDescent="0.3">
      <c r="C497">
        <v>48</v>
      </c>
    </row>
    <row r="501" spans="3:3" x14ac:dyDescent="0.3">
      <c r="C501">
        <v>2933</v>
      </c>
    </row>
    <row r="505" spans="3:3" x14ac:dyDescent="0.3">
      <c r="C505">
        <v>6956</v>
      </c>
    </row>
    <row r="509" spans="3:3" x14ac:dyDescent="0.3">
      <c r="C509">
        <v>545</v>
      </c>
    </row>
    <row r="513" spans="3:3" x14ac:dyDescent="0.3">
      <c r="C513">
        <v>8</v>
      </c>
    </row>
    <row r="517" spans="3:3" x14ac:dyDescent="0.3">
      <c r="C517">
        <v>0</v>
      </c>
    </row>
    <row r="521" spans="3:3" x14ac:dyDescent="0.3">
      <c r="C521">
        <v>550</v>
      </c>
    </row>
    <row r="525" spans="3:3" x14ac:dyDescent="0.3">
      <c r="C525">
        <v>552</v>
      </c>
    </row>
    <row r="529" spans="3:3" x14ac:dyDescent="0.3">
      <c r="C529">
        <v>0</v>
      </c>
    </row>
    <row r="533" spans="3:3" x14ac:dyDescent="0.3">
      <c r="C533">
        <v>-18</v>
      </c>
    </row>
    <row r="537" spans="3:3" x14ac:dyDescent="0.3">
      <c r="C537">
        <v>52</v>
      </c>
    </row>
    <row r="541" spans="3:3" x14ac:dyDescent="0.3">
      <c r="C541">
        <v>60</v>
      </c>
    </row>
    <row r="545" spans="3:3" x14ac:dyDescent="0.3">
      <c r="C545">
        <v>25</v>
      </c>
    </row>
    <row r="549" spans="3:3" x14ac:dyDescent="0.3">
      <c r="C549">
        <v>960</v>
      </c>
    </row>
    <row r="553" spans="3:3" x14ac:dyDescent="0.3">
      <c r="C553">
        <v>156</v>
      </c>
    </row>
    <row r="557" spans="3:3" x14ac:dyDescent="0.3">
      <c r="C557">
        <v>324</v>
      </c>
    </row>
    <row r="561" spans="3:3" x14ac:dyDescent="0.3">
      <c r="C561">
        <v>0</v>
      </c>
    </row>
    <row r="565" spans="3:3" x14ac:dyDescent="0.3">
      <c r="C565">
        <v>36037</v>
      </c>
    </row>
    <row r="569" spans="3:3" x14ac:dyDescent="0.3">
      <c r="C569">
        <v>42</v>
      </c>
    </row>
    <row r="573" spans="3:3" x14ac:dyDescent="0.3">
      <c r="C573">
        <v>0</v>
      </c>
    </row>
    <row r="577" spans="3:3" x14ac:dyDescent="0.3">
      <c r="C577">
        <v>0</v>
      </c>
    </row>
    <row r="581" spans="3:3" x14ac:dyDescent="0.3">
      <c r="C581">
        <v>0</v>
      </c>
    </row>
    <row r="585" spans="3:3" x14ac:dyDescent="0.3">
      <c r="C585">
        <v>120</v>
      </c>
    </row>
    <row r="589" spans="3:3" x14ac:dyDescent="0.3">
      <c r="C589">
        <v>0</v>
      </c>
    </row>
    <row r="593" spans="3:3" x14ac:dyDescent="0.3">
      <c r="C593">
        <v>0</v>
      </c>
    </row>
    <row r="597" spans="3:3" x14ac:dyDescent="0.3">
      <c r="C597">
        <v>48</v>
      </c>
    </row>
    <row r="601" spans="3:3" x14ac:dyDescent="0.3">
      <c r="C601">
        <v>0</v>
      </c>
    </row>
    <row r="605" spans="3:3" x14ac:dyDescent="0.3">
      <c r="C605">
        <v>0</v>
      </c>
    </row>
    <row r="609" spans="3:3" x14ac:dyDescent="0.3">
      <c r="C609">
        <v>1704</v>
      </c>
    </row>
    <row r="613" spans="3:3" x14ac:dyDescent="0.3">
      <c r="C613">
        <v>480</v>
      </c>
    </row>
    <row r="617" spans="3:3" x14ac:dyDescent="0.3">
      <c r="C617">
        <v>576</v>
      </c>
    </row>
    <row r="621" spans="3:3" x14ac:dyDescent="0.3">
      <c r="C621">
        <v>624</v>
      </c>
    </row>
    <row r="625" spans="3:3" x14ac:dyDescent="0.3">
      <c r="C625">
        <v>0</v>
      </c>
    </row>
    <row r="629" spans="3:3" x14ac:dyDescent="0.3">
      <c r="C629">
        <v>600</v>
      </c>
    </row>
    <row r="633" spans="3:3" x14ac:dyDescent="0.3">
      <c r="C633">
        <v>0</v>
      </c>
    </row>
    <row r="637" spans="3:3" x14ac:dyDescent="0.3">
      <c r="C637">
        <v>0</v>
      </c>
    </row>
    <row r="641" spans="3:3" x14ac:dyDescent="0.3">
      <c r="C641">
        <v>0</v>
      </c>
    </row>
    <row r="645" spans="3:3" x14ac:dyDescent="0.3">
      <c r="C645">
        <v>0</v>
      </c>
    </row>
    <row r="649" spans="3:3" x14ac:dyDescent="0.3">
      <c r="C649">
        <v>0</v>
      </c>
    </row>
    <row r="653" spans="3:3" x14ac:dyDescent="0.3">
      <c r="C653">
        <v>1872</v>
      </c>
    </row>
    <row r="657" spans="3:3" x14ac:dyDescent="0.3">
      <c r="C657">
        <v>0</v>
      </c>
    </row>
    <row r="661" spans="3:3" x14ac:dyDescent="0.3">
      <c r="C661">
        <v>1050</v>
      </c>
    </row>
    <row r="665" spans="3:3" x14ac:dyDescent="0.3">
      <c r="C665">
        <v>250</v>
      </c>
    </row>
    <row r="669" spans="3:3" x14ac:dyDescent="0.3">
      <c r="C669">
        <v>3150</v>
      </c>
    </row>
    <row r="673" spans="3:3" x14ac:dyDescent="0.3">
      <c r="C673">
        <v>0</v>
      </c>
    </row>
    <row r="677" spans="3:3" x14ac:dyDescent="0.3">
      <c r="C677">
        <v>850</v>
      </c>
    </row>
    <row r="681" spans="3:3" x14ac:dyDescent="0.3">
      <c r="C681">
        <v>1300</v>
      </c>
    </row>
    <row r="685" spans="3:3" x14ac:dyDescent="0.3">
      <c r="C685">
        <v>1850</v>
      </c>
    </row>
    <row r="689" spans="3:3" x14ac:dyDescent="0.3">
      <c r="C689">
        <v>0</v>
      </c>
    </row>
    <row r="693" spans="3:3" x14ac:dyDescent="0.3">
      <c r="C693">
        <v>450</v>
      </c>
    </row>
    <row r="697" spans="3:3" x14ac:dyDescent="0.3">
      <c r="C697">
        <v>850</v>
      </c>
    </row>
    <row r="701" spans="3:3" x14ac:dyDescent="0.3">
      <c r="C701">
        <v>950</v>
      </c>
    </row>
    <row r="705" spans="3:3" x14ac:dyDescent="0.3">
      <c r="C705">
        <v>600</v>
      </c>
    </row>
    <row r="709" spans="3:3" x14ac:dyDescent="0.3">
      <c r="C709">
        <v>500</v>
      </c>
    </row>
    <row r="713" spans="3:3" x14ac:dyDescent="0.3">
      <c r="C713">
        <v>0</v>
      </c>
    </row>
    <row r="717" spans="3:3" x14ac:dyDescent="0.3">
      <c r="C717">
        <v>400</v>
      </c>
    </row>
    <row r="721" spans="3:3" x14ac:dyDescent="0.3">
      <c r="C721">
        <v>8050</v>
      </c>
    </row>
    <row r="725" spans="3:3" x14ac:dyDescent="0.3">
      <c r="C725">
        <v>6550</v>
      </c>
    </row>
    <row r="729" spans="3:3" x14ac:dyDescent="0.3">
      <c r="C729">
        <v>450</v>
      </c>
    </row>
    <row r="733" spans="3:3" x14ac:dyDescent="0.3">
      <c r="C733">
        <v>300</v>
      </c>
    </row>
    <row r="737" spans="3:3" x14ac:dyDescent="0.3">
      <c r="C737">
        <v>3200</v>
      </c>
    </row>
    <row r="741" spans="3:3" x14ac:dyDescent="0.3">
      <c r="C741">
        <v>0</v>
      </c>
    </row>
    <row r="745" spans="3:3" x14ac:dyDescent="0.3">
      <c r="C745">
        <v>1000</v>
      </c>
    </row>
    <row r="749" spans="3:3" x14ac:dyDescent="0.3">
      <c r="C749">
        <v>0</v>
      </c>
    </row>
    <row r="753" spans="3:3" x14ac:dyDescent="0.3">
      <c r="C753">
        <v>2100</v>
      </c>
    </row>
    <row r="757" spans="3:3" x14ac:dyDescent="0.3">
      <c r="C757">
        <v>0</v>
      </c>
    </row>
    <row r="761" spans="3:3" x14ac:dyDescent="0.3">
      <c r="C761">
        <v>0</v>
      </c>
    </row>
    <row r="765" spans="3:3" x14ac:dyDescent="0.3">
      <c r="C765">
        <v>3816</v>
      </c>
    </row>
    <row r="769" spans="3:3" x14ac:dyDescent="0.3">
      <c r="C769">
        <v>3816</v>
      </c>
    </row>
    <row r="773" spans="3:3" x14ac:dyDescent="0.3">
      <c r="C773">
        <v>0</v>
      </c>
    </row>
    <row r="777" spans="3:3" x14ac:dyDescent="0.3">
      <c r="C777">
        <v>0</v>
      </c>
    </row>
    <row r="781" spans="3:3" x14ac:dyDescent="0.3">
      <c r="C781">
        <v>0</v>
      </c>
    </row>
    <row r="785" spans="3:3" x14ac:dyDescent="0.3">
      <c r="C785">
        <v>0</v>
      </c>
    </row>
    <row r="789" spans="3:3" x14ac:dyDescent="0.3">
      <c r="C789">
        <v>0</v>
      </c>
    </row>
    <row r="793" spans="3:3" x14ac:dyDescent="0.3">
      <c r="C793">
        <v>0</v>
      </c>
    </row>
    <row r="797" spans="3:3" x14ac:dyDescent="0.3">
      <c r="C797">
        <v>0</v>
      </c>
    </row>
    <row r="801" spans="3:3" x14ac:dyDescent="0.3">
      <c r="C801">
        <v>0</v>
      </c>
    </row>
    <row r="805" spans="3:3" x14ac:dyDescent="0.3">
      <c r="C805">
        <v>0</v>
      </c>
    </row>
    <row r="809" spans="3:3" x14ac:dyDescent="0.3">
      <c r="C809">
        <v>0</v>
      </c>
    </row>
    <row r="813" spans="3:3" x14ac:dyDescent="0.3">
      <c r="C813">
        <v>0</v>
      </c>
    </row>
    <row r="817" spans="3:3" x14ac:dyDescent="0.3">
      <c r="C817">
        <v>3120</v>
      </c>
    </row>
    <row r="821" spans="3:3" x14ac:dyDescent="0.3">
      <c r="C821">
        <v>2268</v>
      </c>
    </row>
    <row r="825" spans="3:3" x14ac:dyDescent="0.3">
      <c r="C825">
        <v>1260</v>
      </c>
    </row>
    <row r="829" spans="3:3" x14ac:dyDescent="0.3">
      <c r="C829">
        <v>2460</v>
      </c>
    </row>
    <row r="833" spans="3:3" x14ac:dyDescent="0.3">
      <c r="C833">
        <v>0</v>
      </c>
    </row>
    <row r="837" spans="3:3" x14ac:dyDescent="0.3">
      <c r="C837">
        <v>2616</v>
      </c>
    </row>
    <row r="841" spans="3:3" x14ac:dyDescent="0.3">
      <c r="C841">
        <v>2328</v>
      </c>
    </row>
    <row r="845" spans="3:3" x14ac:dyDescent="0.3">
      <c r="C845">
        <v>4296</v>
      </c>
    </row>
    <row r="849" spans="3:3" x14ac:dyDescent="0.3">
      <c r="C849">
        <v>6192</v>
      </c>
    </row>
    <row r="853" spans="3:3" x14ac:dyDescent="0.3">
      <c r="C853">
        <v>0</v>
      </c>
    </row>
    <row r="857" spans="3:3" x14ac:dyDescent="0.3">
      <c r="C857">
        <v>1920</v>
      </c>
    </row>
    <row r="861" spans="3:3" x14ac:dyDescent="0.3">
      <c r="C861">
        <v>1128</v>
      </c>
    </row>
    <row r="865" spans="3:3" x14ac:dyDescent="0.3">
      <c r="C865">
        <v>2568</v>
      </c>
    </row>
    <row r="869" spans="3:3" x14ac:dyDescent="0.3">
      <c r="C869">
        <v>0</v>
      </c>
    </row>
    <row r="873" spans="3:3" x14ac:dyDescent="0.3">
      <c r="C873">
        <v>1512</v>
      </c>
    </row>
    <row r="877" spans="3:3" x14ac:dyDescent="0.3">
      <c r="C877">
        <v>1176</v>
      </c>
    </row>
    <row r="881" spans="3:3" x14ac:dyDescent="0.3">
      <c r="C881">
        <v>288</v>
      </c>
    </row>
    <row r="885" spans="3:3" x14ac:dyDescent="0.3">
      <c r="C885">
        <v>0</v>
      </c>
    </row>
    <row r="889" spans="3:3" x14ac:dyDescent="0.3">
      <c r="C889">
        <v>0</v>
      </c>
    </row>
    <row r="893" spans="3:3" x14ac:dyDescent="0.3">
      <c r="C893">
        <v>0</v>
      </c>
    </row>
    <row r="897" spans="3:3" x14ac:dyDescent="0.3">
      <c r="C897">
        <v>0</v>
      </c>
    </row>
    <row r="901" spans="3:3" x14ac:dyDescent="0.3">
      <c r="C901">
        <v>0</v>
      </c>
    </row>
    <row r="905" spans="3:3" x14ac:dyDescent="0.3">
      <c r="C905">
        <v>0</v>
      </c>
    </row>
    <row r="909" spans="3:3" x14ac:dyDescent="0.3">
      <c r="C909">
        <v>1192</v>
      </c>
    </row>
    <row r="913" spans="3:3" x14ac:dyDescent="0.3">
      <c r="C913">
        <v>8</v>
      </c>
    </row>
    <row r="917" spans="3:3" x14ac:dyDescent="0.3">
      <c r="C917">
        <v>0</v>
      </c>
    </row>
    <row r="921" spans="3:3" x14ac:dyDescent="0.3">
      <c r="C921">
        <v>6</v>
      </c>
    </row>
    <row r="925" spans="3:3" x14ac:dyDescent="0.3">
      <c r="C925">
        <v>0</v>
      </c>
    </row>
    <row r="929" spans="3:3" x14ac:dyDescent="0.3">
      <c r="C929">
        <v>0</v>
      </c>
    </row>
    <row r="933" spans="3:3" x14ac:dyDescent="0.3">
      <c r="C933">
        <v>176</v>
      </c>
    </row>
    <row r="937" spans="3:3" x14ac:dyDescent="0.3">
      <c r="C937">
        <v>0</v>
      </c>
    </row>
    <row r="941" spans="3:3" x14ac:dyDescent="0.3">
      <c r="C941">
        <v>0</v>
      </c>
    </row>
    <row r="945" spans="3:3" x14ac:dyDescent="0.3">
      <c r="C945">
        <v>0</v>
      </c>
    </row>
    <row r="949" spans="3:3" x14ac:dyDescent="0.3">
      <c r="C949">
        <v>0</v>
      </c>
    </row>
    <row r="953" spans="3:3" x14ac:dyDescent="0.3">
      <c r="C953">
        <v>0</v>
      </c>
    </row>
    <row r="957" spans="3:3" x14ac:dyDescent="0.3">
      <c r="C957">
        <v>0</v>
      </c>
    </row>
    <row r="961" spans="3:3" x14ac:dyDescent="0.3">
      <c r="C961">
        <v>0</v>
      </c>
    </row>
    <row r="965" spans="3:3" x14ac:dyDescent="0.3">
      <c r="C965">
        <v>0</v>
      </c>
    </row>
    <row r="969" spans="3:3" x14ac:dyDescent="0.3">
      <c r="C969">
        <v>0</v>
      </c>
    </row>
    <row r="973" spans="3:3" x14ac:dyDescent="0.3">
      <c r="C973">
        <v>0</v>
      </c>
    </row>
    <row r="977" spans="3:3" x14ac:dyDescent="0.3">
      <c r="C977">
        <v>0</v>
      </c>
    </row>
    <row r="981" spans="3:3" x14ac:dyDescent="0.3">
      <c r="C981">
        <v>0</v>
      </c>
    </row>
    <row r="985" spans="3:3" x14ac:dyDescent="0.3">
      <c r="C985">
        <v>0</v>
      </c>
    </row>
    <row r="989" spans="3:3" x14ac:dyDescent="0.3">
      <c r="C989">
        <v>0</v>
      </c>
    </row>
    <row r="993" spans="3:3" x14ac:dyDescent="0.3">
      <c r="C993">
        <v>0</v>
      </c>
    </row>
    <row r="997" spans="3:3" x14ac:dyDescent="0.3">
      <c r="C997">
        <v>0</v>
      </c>
    </row>
    <row r="1001" spans="3:3" x14ac:dyDescent="0.3">
      <c r="C1001">
        <v>0</v>
      </c>
    </row>
    <row r="1005" spans="3:3" x14ac:dyDescent="0.3">
      <c r="C1005">
        <v>0</v>
      </c>
    </row>
    <row r="1009" spans="3:3" x14ac:dyDescent="0.3">
      <c r="C1009">
        <v>0</v>
      </c>
    </row>
    <row r="1013" spans="3:3" x14ac:dyDescent="0.3">
      <c r="C1013">
        <v>0</v>
      </c>
    </row>
    <row r="1017" spans="3:3" x14ac:dyDescent="0.3">
      <c r="C1017">
        <v>0</v>
      </c>
    </row>
    <row r="1021" spans="3:3" x14ac:dyDescent="0.3">
      <c r="C1021">
        <v>0</v>
      </c>
    </row>
    <row r="1025" spans="3:3" x14ac:dyDescent="0.3">
      <c r="C1025">
        <v>0</v>
      </c>
    </row>
    <row r="1029" spans="3:3" x14ac:dyDescent="0.3">
      <c r="C1029">
        <v>0</v>
      </c>
    </row>
    <row r="1033" spans="3:3" x14ac:dyDescent="0.3">
      <c r="C1033">
        <v>0</v>
      </c>
    </row>
    <row r="1037" spans="3:3" x14ac:dyDescent="0.3">
      <c r="C1037">
        <v>0</v>
      </c>
    </row>
    <row r="1041" spans="3:3" x14ac:dyDescent="0.3">
      <c r="C1041">
        <v>0</v>
      </c>
    </row>
    <row r="1045" spans="3:3" x14ac:dyDescent="0.3">
      <c r="C1045">
        <v>0</v>
      </c>
    </row>
    <row r="1049" spans="3:3" x14ac:dyDescent="0.3">
      <c r="C1049">
        <v>0</v>
      </c>
    </row>
    <row r="1053" spans="3:3" x14ac:dyDescent="0.3">
      <c r="C1053">
        <v>0</v>
      </c>
    </row>
    <row r="1057" spans="3:3" x14ac:dyDescent="0.3">
      <c r="C1057">
        <v>0</v>
      </c>
    </row>
    <row r="1061" spans="3:3" x14ac:dyDescent="0.3">
      <c r="C1061">
        <v>0</v>
      </c>
    </row>
    <row r="1065" spans="3:3" x14ac:dyDescent="0.3">
      <c r="C1065">
        <v>0</v>
      </c>
    </row>
    <row r="1069" spans="3:3" x14ac:dyDescent="0.3">
      <c r="C1069">
        <v>0</v>
      </c>
    </row>
    <row r="1073" spans="3:3" x14ac:dyDescent="0.3">
      <c r="C1073">
        <v>0</v>
      </c>
    </row>
    <row r="1077" spans="3:3" x14ac:dyDescent="0.3">
      <c r="C1077">
        <v>0</v>
      </c>
    </row>
    <row r="1081" spans="3:3" x14ac:dyDescent="0.3">
      <c r="C1081">
        <v>0</v>
      </c>
    </row>
    <row r="1085" spans="3:3" x14ac:dyDescent="0.3">
      <c r="C1085">
        <v>0</v>
      </c>
    </row>
    <row r="1089" spans="3:3" x14ac:dyDescent="0.3">
      <c r="C1089">
        <v>0</v>
      </c>
    </row>
    <row r="1093" spans="3:3" x14ac:dyDescent="0.3">
      <c r="C1093">
        <v>0</v>
      </c>
    </row>
    <row r="1097" spans="3:3" x14ac:dyDescent="0.3">
      <c r="C1097">
        <v>0</v>
      </c>
    </row>
    <row r="1101" spans="3:3" x14ac:dyDescent="0.3">
      <c r="C1101">
        <v>0</v>
      </c>
    </row>
    <row r="1105" spans="3:3" x14ac:dyDescent="0.3">
      <c r="C1105">
        <v>0</v>
      </c>
    </row>
    <row r="1109" spans="3:3" x14ac:dyDescent="0.3">
      <c r="C1109">
        <v>0</v>
      </c>
    </row>
    <row r="1113" spans="3:3" x14ac:dyDescent="0.3">
      <c r="C1113">
        <v>0</v>
      </c>
    </row>
    <row r="1117" spans="3:3" x14ac:dyDescent="0.3">
      <c r="C1117">
        <v>0</v>
      </c>
    </row>
    <row r="1121" spans="3:3" x14ac:dyDescent="0.3">
      <c r="C1121">
        <v>0</v>
      </c>
    </row>
    <row r="1125" spans="3:3" x14ac:dyDescent="0.3">
      <c r="C1125">
        <v>0</v>
      </c>
    </row>
    <row r="1129" spans="3:3" x14ac:dyDescent="0.3">
      <c r="C1129">
        <v>0</v>
      </c>
    </row>
    <row r="1133" spans="3:3" x14ac:dyDescent="0.3">
      <c r="C1133">
        <v>0</v>
      </c>
    </row>
    <row r="1137" spans="3:3" x14ac:dyDescent="0.3">
      <c r="C1137">
        <v>0</v>
      </c>
    </row>
    <row r="1141" spans="3:3" x14ac:dyDescent="0.3">
      <c r="C1141">
        <v>0</v>
      </c>
    </row>
    <row r="1145" spans="3:3" x14ac:dyDescent="0.3">
      <c r="C1145">
        <v>0</v>
      </c>
    </row>
    <row r="1149" spans="3:3" x14ac:dyDescent="0.3">
      <c r="C1149">
        <v>0</v>
      </c>
    </row>
    <row r="1153" spans="3:3" x14ac:dyDescent="0.3">
      <c r="C1153">
        <v>0</v>
      </c>
    </row>
    <row r="1157" spans="3:3" x14ac:dyDescent="0.3">
      <c r="C1157">
        <v>0</v>
      </c>
    </row>
    <row r="1161" spans="3:3" x14ac:dyDescent="0.3">
      <c r="C1161">
        <v>0</v>
      </c>
    </row>
    <row r="1165" spans="3:3" x14ac:dyDescent="0.3">
      <c r="C1165">
        <v>0</v>
      </c>
    </row>
    <row r="1169" spans="3:3" x14ac:dyDescent="0.3">
      <c r="C1169">
        <v>0</v>
      </c>
    </row>
    <row r="1173" spans="3:3" x14ac:dyDescent="0.3">
      <c r="C1173">
        <v>0</v>
      </c>
    </row>
    <row r="1177" spans="3:3" x14ac:dyDescent="0.3">
      <c r="C1177">
        <v>0</v>
      </c>
    </row>
    <row r="1181" spans="3:3" x14ac:dyDescent="0.3">
      <c r="C1181">
        <v>0</v>
      </c>
    </row>
    <row r="1185" spans="3:3" x14ac:dyDescent="0.3">
      <c r="C1185">
        <v>0</v>
      </c>
    </row>
    <row r="1189" spans="3:3" x14ac:dyDescent="0.3">
      <c r="C1189">
        <v>0</v>
      </c>
    </row>
    <row r="1193" spans="3:3" x14ac:dyDescent="0.3">
      <c r="C1193">
        <v>0</v>
      </c>
    </row>
    <row r="1197" spans="3:3" x14ac:dyDescent="0.3">
      <c r="C1197">
        <v>0</v>
      </c>
    </row>
    <row r="1201" spans="3:3" x14ac:dyDescent="0.3">
      <c r="C1201">
        <v>0</v>
      </c>
    </row>
    <row r="1205" spans="3:3" x14ac:dyDescent="0.3">
      <c r="C1205">
        <v>0</v>
      </c>
    </row>
    <row r="1209" spans="3:3" x14ac:dyDescent="0.3">
      <c r="C1209">
        <v>0</v>
      </c>
    </row>
    <row r="1213" spans="3:3" x14ac:dyDescent="0.3">
      <c r="C1213">
        <v>0</v>
      </c>
    </row>
    <row r="1217" spans="3:3" x14ac:dyDescent="0.3">
      <c r="C1217">
        <v>0</v>
      </c>
    </row>
    <row r="1221" spans="3:3" x14ac:dyDescent="0.3">
      <c r="C1221">
        <v>0</v>
      </c>
    </row>
    <row r="1225" spans="3:3" x14ac:dyDescent="0.3">
      <c r="C1225">
        <v>0</v>
      </c>
    </row>
    <row r="1229" spans="3:3" x14ac:dyDescent="0.3">
      <c r="C1229">
        <v>0</v>
      </c>
    </row>
    <row r="1233" spans="3:3" x14ac:dyDescent="0.3">
      <c r="C1233">
        <v>0</v>
      </c>
    </row>
    <row r="1237" spans="3:3" x14ac:dyDescent="0.3">
      <c r="C1237">
        <v>0</v>
      </c>
    </row>
    <row r="1241" spans="3:3" x14ac:dyDescent="0.3">
      <c r="C1241">
        <v>0</v>
      </c>
    </row>
    <row r="1245" spans="3:3" x14ac:dyDescent="0.3">
      <c r="C1245">
        <v>0</v>
      </c>
    </row>
    <row r="1249" spans="3:3" x14ac:dyDescent="0.3">
      <c r="C1249">
        <v>0</v>
      </c>
    </row>
    <row r="1253" spans="3:3" x14ac:dyDescent="0.3">
      <c r="C1253">
        <v>0</v>
      </c>
    </row>
    <row r="1257" spans="3:3" x14ac:dyDescent="0.3">
      <c r="C1257">
        <v>0</v>
      </c>
    </row>
    <row r="1261" spans="3:3" x14ac:dyDescent="0.3">
      <c r="C1261">
        <v>0</v>
      </c>
    </row>
    <row r="1265" spans="3:3" x14ac:dyDescent="0.3">
      <c r="C1265">
        <v>0</v>
      </c>
    </row>
    <row r="1269" spans="3:3" x14ac:dyDescent="0.3">
      <c r="C1269">
        <v>0</v>
      </c>
    </row>
    <row r="1273" spans="3:3" x14ac:dyDescent="0.3">
      <c r="C1273">
        <v>0</v>
      </c>
    </row>
    <row r="1277" spans="3:3" x14ac:dyDescent="0.3">
      <c r="C1277">
        <v>0</v>
      </c>
    </row>
    <row r="1281" spans="3:3" x14ac:dyDescent="0.3">
      <c r="C1281">
        <v>0</v>
      </c>
    </row>
    <row r="1285" spans="3:3" x14ac:dyDescent="0.3">
      <c r="C1285">
        <v>0</v>
      </c>
    </row>
    <row r="1289" spans="3:3" x14ac:dyDescent="0.3">
      <c r="C1289">
        <v>0</v>
      </c>
    </row>
    <row r="1293" spans="3:3" x14ac:dyDescent="0.3">
      <c r="C1293">
        <v>0</v>
      </c>
    </row>
    <row r="1297" spans="3:3" x14ac:dyDescent="0.3">
      <c r="C1297">
        <v>0</v>
      </c>
    </row>
    <row r="1301" spans="3:3" x14ac:dyDescent="0.3">
      <c r="C1301">
        <v>0</v>
      </c>
    </row>
    <row r="1305" spans="3:3" x14ac:dyDescent="0.3">
      <c r="C1305">
        <v>0</v>
      </c>
    </row>
    <row r="1309" spans="3:3" x14ac:dyDescent="0.3">
      <c r="C1309">
        <v>0</v>
      </c>
    </row>
    <row r="1313" spans="3:3" x14ac:dyDescent="0.3">
      <c r="C1313">
        <v>0</v>
      </c>
    </row>
    <row r="1317" spans="3:3" x14ac:dyDescent="0.3">
      <c r="C1317">
        <v>0</v>
      </c>
    </row>
    <row r="1321" spans="3:3" x14ac:dyDescent="0.3">
      <c r="C1321">
        <v>0</v>
      </c>
    </row>
    <row r="1325" spans="3:3" x14ac:dyDescent="0.3">
      <c r="C1325">
        <v>0</v>
      </c>
    </row>
    <row r="1329" spans="3:3" x14ac:dyDescent="0.3">
      <c r="C1329">
        <v>0</v>
      </c>
    </row>
    <row r="1333" spans="3:3" x14ac:dyDescent="0.3">
      <c r="C1333">
        <v>0</v>
      </c>
    </row>
    <row r="1337" spans="3:3" x14ac:dyDescent="0.3">
      <c r="C1337">
        <v>0</v>
      </c>
    </row>
    <row r="1341" spans="3:3" x14ac:dyDescent="0.3">
      <c r="C1341">
        <v>0</v>
      </c>
    </row>
    <row r="1345" spans="3:3" x14ac:dyDescent="0.3">
      <c r="C1345">
        <v>0</v>
      </c>
    </row>
    <row r="1349" spans="3:3" x14ac:dyDescent="0.3">
      <c r="C1349">
        <v>0</v>
      </c>
    </row>
    <row r="1353" spans="3:3" x14ac:dyDescent="0.3">
      <c r="C1353">
        <v>0</v>
      </c>
    </row>
    <row r="1357" spans="3:3" x14ac:dyDescent="0.3">
      <c r="C1357">
        <v>0</v>
      </c>
    </row>
    <row r="1361" spans="3:3" x14ac:dyDescent="0.3">
      <c r="C1361">
        <v>0</v>
      </c>
    </row>
    <row r="1365" spans="3:3" x14ac:dyDescent="0.3">
      <c r="C1365">
        <v>0</v>
      </c>
    </row>
    <row r="1369" spans="3:3" x14ac:dyDescent="0.3">
      <c r="C1369">
        <v>0</v>
      </c>
    </row>
    <row r="1373" spans="3:3" x14ac:dyDescent="0.3">
      <c r="C1373">
        <v>0</v>
      </c>
    </row>
    <row r="1377" spans="3:3" x14ac:dyDescent="0.3">
      <c r="C1377">
        <v>0</v>
      </c>
    </row>
    <row r="1381" spans="3:3" x14ac:dyDescent="0.3">
      <c r="C1381">
        <v>0</v>
      </c>
    </row>
    <row r="1385" spans="3:3" x14ac:dyDescent="0.3">
      <c r="C1385">
        <v>0</v>
      </c>
    </row>
    <row r="1389" spans="3:3" x14ac:dyDescent="0.3">
      <c r="C1389">
        <v>0</v>
      </c>
    </row>
    <row r="1393" spans="3:3" x14ac:dyDescent="0.3">
      <c r="C1393">
        <v>0</v>
      </c>
    </row>
    <row r="1397" spans="3:3" x14ac:dyDescent="0.3">
      <c r="C1397">
        <v>0</v>
      </c>
    </row>
    <row r="1401" spans="3:3" x14ac:dyDescent="0.3">
      <c r="C1401">
        <v>0</v>
      </c>
    </row>
    <row r="1405" spans="3:3" x14ac:dyDescent="0.3">
      <c r="C1405">
        <v>0</v>
      </c>
    </row>
    <row r="1409" spans="3:3" x14ac:dyDescent="0.3">
      <c r="C1409">
        <v>0</v>
      </c>
    </row>
    <row r="1413" spans="3:3" x14ac:dyDescent="0.3">
      <c r="C1413">
        <v>0</v>
      </c>
    </row>
    <row r="1417" spans="3:3" x14ac:dyDescent="0.3">
      <c r="C1417">
        <v>0</v>
      </c>
    </row>
    <row r="1421" spans="3:3" x14ac:dyDescent="0.3">
      <c r="C1421">
        <v>0</v>
      </c>
    </row>
    <row r="1423" spans="3:3" x14ac:dyDescent="0.3">
      <c r="C1423">
        <v>252899</v>
      </c>
    </row>
  </sheetData>
  <autoFilter ref="A1:D1439" xr:uid="{839BD03B-F444-4862-B1C4-F6722EF2E0A5}"/>
  <sortState ref="A2:D1424">
    <sortCondition ref="A2:A1424"/>
  </sortState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OrgDatos">
                <anchor>
                  <from>
                    <xdr:col>6</xdr:col>
                    <xdr:colOff>7620</xdr:colOff>
                    <xdr:row>2</xdr:row>
                    <xdr:rowOff>0</xdr:rowOff>
                  </from>
                  <to>
                    <xdr:col>7</xdr:col>
                    <xdr:colOff>754380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9D58F7-3E54-4112-A074-7C74B852026C}">
  <sheetPr codeName="Hoja6"/>
  <dimension ref="A1:D1423"/>
  <sheetViews>
    <sheetView showGridLines="0" workbookViewId="0">
      <selection activeCell="K14" sqref="K14"/>
    </sheetView>
  </sheetViews>
  <sheetFormatPr baseColWidth="10" defaultRowHeight="12.75" customHeight="1" x14ac:dyDescent="0.3"/>
  <cols>
    <col min="1" max="1" width="11" style="58" bestFit="1" customWidth="1"/>
    <col min="2" max="2" width="66.88671875" style="58" bestFit="1" customWidth="1"/>
    <col min="3" max="3" width="8.88671875" style="58" bestFit="1" customWidth="1"/>
    <col min="4" max="4" width="9.5546875" style="58" bestFit="1" customWidth="1"/>
    <col min="5" max="220" width="6.88671875" style="58" customWidth="1"/>
    <col min="221" max="221" width="18" style="58" bestFit="1" customWidth="1"/>
    <col min="222" max="222" width="19.88671875" style="58" bestFit="1" customWidth="1"/>
    <col min="223" max="223" width="69.6640625" style="58" bestFit="1" customWidth="1"/>
    <col min="224" max="224" width="11.6640625" style="58" bestFit="1" customWidth="1"/>
    <col min="225" max="476" width="6.88671875" style="58" customWidth="1"/>
    <col min="477" max="477" width="18" style="58" bestFit="1" customWidth="1"/>
    <col min="478" max="478" width="19.88671875" style="58" bestFit="1" customWidth="1"/>
    <col min="479" max="479" width="69.6640625" style="58" bestFit="1" customWidth="1"/>
    <col min="480" max="480" width="11.6640625" style="58" bestFit="1" customWidth="1"/>
    <col min="481" max="732" width="6.88671875" style="58" customWidth="1"/>
    <col min="733" max="733" width="18" style="58" bestFit="1" customWidth="1"/>
    <col min="734" max="734" width="19.88671875" style="58" bestFit="1" customWidth="1"/>
    <col min="735" max="735" width="69.6640625" style="58" bestFit="1" customWidth="1"/>
    <col min="736" max="736" width="11.6640625" style="58" bestFit="1" customWidth="1"/>
    <col min="737" max="988" width="6.88671875" style="58" customWidth="1"/>
    <col min="989" max="989" width="18" style="58" bestFit="1" customWidth="1"/>
    <col min="990" max="990" width="19.88671875" style="58" bestFit="1" customWidth="1"/>
    <col min="991" max="991" width="69.6640625" style="58" bestFit="1" customWidth="1"/>
    <col min="992" max="992" width="11.6640625" style="58" bestFit="1" customWidth="1"/>
    <col min="993" max="1244" width="6.88671875" style="58" customWidth="1"/>
    <col min="1245" max="1245" width="18" style="58" bestFit="1" customWidth="1"/>
    <col min="1246" max="1246" width="19.88671875" style="58" bestFit="1" customWidth="1"/>
    <col min="1247" max="1247" width="69.6640625" style="58" bestFit="1" customWidth="1"/>
    <col min="1248" max="1248" width="11.6640625" style="58" bestFit="1" customWidth="1"/>
    <col min="1249" max="1500" width="6.88671875" style="58" customWidth="1"/>
    <col min="1501" max="1501" width="18" style="58" bestFit="1" customWidth="1"/>
    <col min="1502" max="1502" width="19.88671875" style="58" bestFit="1" customWidth="1"/>
    <col min="1503" max="1503" width="69.6640625" style="58" bestFit="1" customWidth="1"/>
    <col min="1504" max="1504" width="11.6640625" style="58" bestFit="1" customWidth="1"/>
    <col min="1505" max="1756" width="6.88671875" style="58" customWidth="1"/>
    <col min="1757" max="1757" width="18" style="58" bestFit="1" customWidth="1"/>
    <col min="1758" max="1758" width="19.88671875" style="58" bestFit="1" customWidth="1"/>
    <col min="1759" max="1759" width="69.6640625" style="58" bestFit="1" customWidth="1"/>
    <col min="1760" max="1760" width="11.6640625" style="58" bestFit="1" customWidth="1"/>
    <col min="1761" max="2012" width="6.88671875" style="58" customWidth="1"/>
    <col min="2013" max="2013" width="18" style="58" bestFit="1" customWidth="1"/>
    <col min="2014" max="2014" width="19.88671875" style="58" bestFit="1" customWidth="1"/>
    <col min="2015" max="2015" width="69.6640625" style="58" bestFit="1" customWidth="1"/>
    <col min="2016" max="2016" width="11.6640625" style="58" bestFit="1" customWidth="1"/>
    <col min="2017" max="2268" width="6.88671875" style="58" customWidth="1"/>
    <col min="2269" max="2269" width="18" style="58" bestFit="1" customWidth="1"/>
    <col min="2270" max="2270" width="19.88671875" style="58" bestFit="1" customWidth="1"/>
    <col min="2271" max="2271" width="69.6640625" style="58" bestFit="1" customWidth="1"/>
    <col min="2272" max="2272" width="11.6640625" style="58" bestFit="1" customWidth="1"/>
    <col min="2273" max="2524" width="6.88671875" style="58" customWidth="1"/>
    <col min="2525" max="2525" width="18" style="58" bestFit="1" customWidth="1"/>
    <col min="2526" max="2526" width="19.88671875" style="58" bestFit="1" customWidth="1"/>
    <col min="2527" max="2527" width="69.6640625" style="58" bestFit="1" customWidth="1"/>
    <col min="2528" max="2528" width="11.6640625" style="58" bestFit="1" customWidth="1"/>
    <col min="2529" max="2780" width="6.88671875" style="58" customWidth="1"/>
    <col min="2781" max="2781" width="18" style="58" bestFit="1" customWidth="1"/>
    <col min="2782" max="2782" width="19.88671875" style="58" bestFit="1" customWidth="1"/>
    <col min="2783" max="2783" width="69.6640625" style="58" bestFit="1" customWidth="1"/>
    <col min="2784" max="2784" width="11.6640625" style="58" bestFit="1" customWidth="1"/>
    <col min="2785" max="3036" width="6.88671875" style="58" customWidth="1"/>
    <col min="3037" max="3037" width="18" style="58" bestFit="1" customWidth="1"/>
    <col min="3038" max="3038" width="19.88671875" style="58" bestFit="1" customWidth="1"/>
    <col min="3039" max="3039" width="69.6640625" style="58" bestFit="1" customWidth="1"/>
    <col min="3040" max="3040" width="11.6640625" style="58" bestFit="1" customWidth="1"/>
    <col min="3041" max="3292" width="6.88671875" style="58" customWidth="1"/>
    <col min="3293" max="3293" width="18" style="58" bestFit="1" customWidth="1"/>
    <col min="3294" max="3294" width="19.88671875" style="58" bestFit="1" customWidth="1"/>
    <col min="3295" max="3295" width="69.6640625" style="58" bestFit="1" customWidth="1"/>
    <col min="3296" max="3296" width="11.6640625" style="58" bestFit="1" customWidth="1"/>
    <col min="3297" max="3548" width="6.88671875" style="58" customWidth="1"/>
    <col min="3549" max="3549" width="18" style="58" bestFit="1" customWidth="1"/>
    <col min="3550" max="3550" width="19.88671875" style="58" bestFit="1" customWidth="1"/>
    <col min="3551" max="3551" width="69.6640625" style="58" bestFit="1" customWidth="1"/>
    <col min="3552" max="3552" width="11.6640625" style="58" bestFit="1" customWidth="1"/>
    <col min="3553" max="3804" width="6.88671875" style="58" customWidth="1"/>
    <col min="3805" max="3805" width="18" style="58" bestFit="1" customWidth="1"/>
    <col min="3806" max="3806" width="19.88671875" style="58" bestFit="1" customWidth="1"/>
    <col min="3807" max="3807" width="69.6640625" style="58" bestFit="1" customWidth="1"/>
    <col min="3808" max="3808" width="11.6640625" style="58" bestFit="1" customWidth="1"/>
    <col min="3809" max="4060" width="6.88671875" style="58" customWidth="1"/>
    <col min="4061" max="4061" width="18" style="58" bestFit="1" customWidth="1"/>
    <col min="4062" max="4062" width="19.88671875" style="58" bestFit="1" customWidth="1"/>
    <col min="4063" max="4063" width="69.6640625" style="58" bestFit="1" customWidth="1"/>
    <col min="4064" max="4064" width="11.6640625" style="58" bestFit="1" customWidth="1"/>
    <col min="4065" max="4316" width="6.88671875" style="58" customWidth="1"/>
    <col min="4317" max="4317" width="18" style="58" bestFit="1" customWidth="1"/>
    <col min="4318" max="4318" width="19.88671875" style="58" bestFit="1" customWidth="1"/>
    <col min="4319" max="4319" width="69.6640625" style="58" bestFit="1" customWidth="1"/>
    <col min="4320" max="4320" width="11.6640625" style="58" bestFit="1" customWidth="1"/>
    <col min="4321" max="4572" width="6.88671875" style="58" customWidth="1"/>
    <col min="4573" max="4573" width="18" style="58" bestFit="1" customWidth="1"/>
    <col min="4574" max="4574" width="19.88671875" style="58" bestFit="1" customWidth="1"/>
    <col min="4575" max="4575" width="69.6640625" style="58" bestFit="1" customWidth="1"/>
    <col min="4576" max="4576" width="11.6640625" style="58" bestFit="1" customWidth="1"/>
    <col min="4577" max="4828" width="6.88671875" style="58" customWidth="1"/>
    <col min="4829" max="4829" width="18" style="58" bestFit="1" customWidth="1"/>
    <col min="4830" max="4830" width="19.88671875" style="58" bestFit="1" customWidth="1"/>
    <col min="4831" max="4831" width="69.6640625" style="58" bestFit="1" customWidth="1"/>
    <col min="4832" max="4832" width="11.6640625" style="58" bestFit="1" customWidth="1"/>
    <col min="4833" max="5084" width="6.88671875" style="58" customWidth="1"/>
    <col min="5085" max="5085" width="18" style="58" bestFit="1" customWidth="1"/>
    <col min="5086" max="5086" width="19.88671875" style="58" bestFit="1" customWidth="1"/>
    <col min="5087" max="5087" width="69.6640625" style="58" bestFit="1" customWidth="1"/>
    <col min="5088" max="5088" width="11.6640625" style="58" bestFit="1" customWidth="1"/>
    <col min="5089" max="5340" width="6.88671875" style="58" customWidth="1"/>
    <col min="5341" max="5341" width="18" style="58" bestFit="1" customWidth="1"/>
    <col min="5342" max="5342" width="19.88671875" style="58" bestFit="1" customWidth="1"/>
    <col min="5343" max="5343" width="69.6640625" style="58" bestFit="1" customWidth="1"/>
    <col min="5344" max="5344" width="11.6640625" style="58" bestFit="1" customWidth="1"/>
    <col min="5345" max="5596" width="6.88671875" style="58" customWidth="1"/>
    <col min="5597" max="5597" width="18" style="58" bestFit="1" customWidth="1"/>
    <col min="5598" max="5598" width="19.88671875" style="58" bestFit="1" customWidth="1"/>
    <col min="5599" max="5599" width="69.6640625" style="58" bestFit="1" customWidth="1"/>
    <col min="5600" max="5600" width="11.6640625" style="58" bestFit="1" customWidth="1"/>
    <col min="5601" max="5852" width="6.88671875" style="58" customWidth="1"/>
    <col min="5853" max="5853" width="18" style="58" bestFit="1" customWidth="1"/>
    <col min="5854" max="5854" width="19.88671875" style="58" bestFit="1" customWidth="1"/>
    <col min="5855" max="5855" width="69.6640625" style="58" bestFit="1" customWidth="1"/>
    <col min="5856" max="5856" width="11.6640625" style="58" bestFit="1" customWidth="1"/>
    <col min="5857" max="6108" width="6.88671875" style="58" customWidth="1"/>
    <col min="6109" max="6109" width="18" style="58" bestFit="1" customWidth="1"/>
    <col min="6110" max="6110" width="19.88671875" style="58" bestFit="1" customWidth="1"/>
    <col min="6111" max="6111" width="69.6640625" style="58" bestFit="1" customWidth="1"/>
    <col min="6112" max="6112" width="11.6640625" style="58" bestFit="1" customWidth="1"/>
    <col min="6113" max="6364" width="6.88671875" style="58" customWidth="1"/>
    <col min="6365" max="6365" width="18" style="58" bestFit="1" customWidth="1"/>
    <col min="6366" max="6366" width="19.88671875" style="58" bestFit="1" customWidth="1"/>
    <col min="6367" max="6367" width="69.6640625" style="58" bestFit="1" customWidth="1"/>
    <col min="6368" max="6368" width="11.6640625" style="58" bestFit="1" customWidth="1"/>
    <col min="6369" max="6620" width="6.88671875" style="58" customWidth="1"/>
    <col min="6621" max="6621" width="18" style="58" bestFit="1" customWidth="1"/>
    <col min="6622" max="6622" width="19.88671875" style="58" bestFit="1" customWidth="1"/>
    <col min="6623" max="6623" width="69.6640625" style="58" bestFit="1" customWidth="1"/>
    <col min="6624" max="6624" width="11.6640625" style="58" bestFit="1" customWidth="1"/>
    <col min="6625" max="6876" width="6.88671875" style="58" customWidth="1"/>
    <col min="6877" max="6877" width="18" style="58" bestFit="1" customWidth="1"/>
    <col min="6878" max="6878" width="19.88671875" style="58" bestFit="1" customWidth="1"/>
    <col min="6879" max="6879" width="69.6640625" style="58" bestFit="1" customWidth="1"/>
    <col min="6880" max="6880" width="11.6640625" style="58" bestFit="1" customWidth="1"/>
    <col min="6881" max="7132" width="6.88671875" style="58" customWidth="1"/>
    <col min="7133" max="7133" width="18" style="58" bestFit="1" customWidth="1"/>
    <col min="7134" max="7134" width="19.88671875" style="58" bestFit="1" customWidth="1"/>
    <col min="7135" max="7135" width="69.6640625" style="58" bestFit="1" customWidth="1"/>
    <col min="7136" max="7136" width="11.6640625" style="58" bestFit="1" customWidth="1"/>
    <col min="7137" max="7388" width="6.88671875" style="58" customWidth="1"/>
    <col min="7389" max="7389" width="18" style="58" bestFit="1" customWidth="1"/>
    <col min="7390" max="7390" width="19.88671875" style="58" bestFit="1" customWidth="1"/>
    <col min="7391" max="7391" width="69.6640625" style="58" bestFit="1" customWidth="1"/>
    <col min="7392" max="7392" width="11.6640625" style="58" bestFit="1" customWidth="1"/>
    <col min="7393" max="7644" width="6.88671875" style="58" customWidth="1"/>
    <col min="7645" max="7645" width="18" style="58" bestFit="1" customWidth="1"/>
    <col min="7646" max="7646" width="19.88671875" style="58" bestFit="1" customWidth="1"/>
    <col min="7647" max="7647" width="69.6640625" style="58" bestFit="1" customWidth="1"/>
    <col min="7648" max="7648" width="11.6640625" style="58" bestFit="1" customWidth="1"/>
    <col min="7649" max="7900" width="6.88671875" style="58" customWidth="1"/>
    <col min="7901" max="7901" width="18" style="58" bestFit="1" customWidth="1"/>
    <col min="7902" max="7902" width="19.88671875" style="58" bestFit="1" customWidth="1"/>
    <col min="7903" max="7903" width="69.6640625" style="58" bestFit="1" customWidth="1"/>
    <col min="7904" max="7904" width="11.6640625" style="58" bestFit="1" customWidth="1"/>
    <col min="7905" max="8156" width="6.88671875" style="58" customWidth="1"/>
    <col min="8157" max="8157" width="18" style="58" bestFit="1" customWidth="1"/>
    <col min="8158" max="8158" width="19.88671875" style="58" bestFit="1" customWidth="1"/>
    <col min="8159" max="8159" width="69.6640625" style="58" bestFit="1" customWidth="1"/>
    <col min="8160" max="8160" width="11.6640625" style="58" bestFit="1" customWidth="1"/>
    <col min="8161" max="8412" width="6.88671875" style="58" customWidth="1"/>
    <col min="8413" max="8413" width="18" style="58" bestFit="1" customWidth="1"/>
    <col min="8414" max="8414" width="19.88671875" style="58" bestFit="1" customWidth="1"/>
    <col min="8415" max="8415" width="69.6640625" style="58" bestFit="1" customWidth="1"/>
    <col min="8416" max="8416" width="11.6640625" style="58" bestFit="1" customWidth="1"/>
    <col min="8417" max="8668" width="6.88671875" style="58" customWidth="1"/>
    <col min="8669" max="8669" width="18" style="58" bestFit="1" customWidth="1"/>
    <col min="8670" max="8670" width="19.88671875" style="58" bestFit="1" customWidth="1"/>
    <col min="8671" max="8671" width="69.6640625" style="58" bestFit="1" customWidth="1"/>
    <col min="8672" max="8672" width="11.6640625" style="58" bestFit="1" customWidth="1"/>
    <col min="8673" max="8924" width="6.88671875" style="58" customWidth="1"/>
    <col min="8925" max="8925" width="18" style="58" bestFit="1" customWidth="1"/>
    <col min="8926" max="8926" width="19.88671875" style="58" bestFit="1" customWidth="1"/>
    <col min="8927" max="8927" width="69.6640625" style="58" bestFit="1" customWidth="1"/>
    <col min="8928" max="8928" width="11.6640625" style="58" bestFit="1" customWidth="1"/>
    <col min="8929" max="9180" width="6.88671875" style="58" customWidth="1"/>
    <col min="9181" max="9181" width="18" style="58" bestFit="1" customWidth="1"/>
    <col min="9182" max="9182" width="19.88671875" style="58" bestFit="1" customWidth="1"/>
    <col min="9183" max="9183" width="69.6640625" style="58" bestFit="1" customWidth="1"/>
    <col min="9184" max="9184" width="11.6640625" style="58" bestFit="1" customWidth="1"/>
    <col min="9185" max="9436" width="6.88671875" style="58" customWidth="1"/>
    <col min="9437" max="9437" width="18" style="58" bestFit="1" customWidth="1"/>
    <col min="9438" max="9438" width="19.88671875" style="58" bestFit="1" customWidth="1"/>
    <col min="9439" max="9439" width="69.6640625" style="58" bestFit="1" customWidth="1"/>
    <col min="9440" max="9440" width="11.6640625" style="58" bestFit="1" customWidth="1"/>
    <col min="9441" max="9692" width="6.88671875" style="58" customWidth="1"/>
    <col min="9693" max="9693" width="18" style="58" bestFit="1" customWidth="1"/>
    <col min="9694" max="9694" width="19.88671875" style="58" bestFit="1" customWidth="1"/>
    <col min="9695" max="9695" width="69.6640625" style="58" bestFit="1" customWidth="1"/>
    <col min="9696" max="9696" width="11.6640625" style="58" bestFit="1" customWidth="1"/>
    <col min="9697" max="9948" width="6.88671875" style="58" customWidth="1"/>
    <col min="9949" max="9949" width="18" style="58" bestFit="1" customWidth="1"/>
    <col min="9950" max="9950" width="19.88671875" style="58" bestFit="1" customWidth="1"/>
    <col min="9951" max="9951" width="69.6640625" style="58" bestFit="1" customWidth="1"/>
    <col min="9952" max="9952" width="11.6640625" style="58" bestFit="1" customWidth="1"/>
    <col min="9953" max="10204" width="6.88671875" style="58" customWidth="1"/>
    <col min="10205" max="10205" width="18" style="58" bestFit="1" customWidth="1"/>
    <col min="10206" max="10206" width="19.88671875" style="58" bestFit="1" customWidth="1"/>
    <col min="10207" max="10207" width="69.6640625" style="58" bestFit="1" customWidth="1"/>
    <col min="10208" max="10208" width="11.6640625" style="58" bestFit="1" customWidth="1"/>
    <col min="10209" max="10460" width="6.88671875" style="58" customWidth="1"/>
    <col min="10461" max="10461" width="18" style="58" bestFit="1" customWidth="1"/>
    <col min="10462" max="10462" width="19.88671875" style="58" bestFit="1" customWidth="1"/>
    <col min="10463" max="10463" width="69.6640625" style="58" bestFit="1" customWidth="1"/>
    <col min="10464" max="10464" width="11.6640625" style="58" bestFit="1" customWidth="1"/>
    <col min="10465" max="10716" width="6.88671875" style="58" customWidth="1"/>
    <col min="10717" max="10717" width="18" style="58" bestFit="1" customWidth="1"/>
    <col min="10718" max="10718" width="19.88671875" style="58" bestFit="1" customWidth="1"/>
    <col min="10719" max="10719" width="69.6640625" style="58" bestFit="1" customWidth="1"/>
    <col min="10720" max="10720" width="11.6640625" style="58" bestFit="1" customWidth="1"/>
    <col min="10721" max="10972" width="6.88671875" style="58" customWidth="1"/>
    <col min="10973" max="10973" width="18" style="58" bestFit="1" customWidth="1"/>
    <col min="10974" max="10974" width="19.88671875" style="58" bestFit="1" customWidth="1"/>
    <col min="10975" max="10975" width="69.6640625" style="58" bestFit="1" customWidth="1"/>
    <col min="10976" max="10976" width="11.6640625" style="58" bestFit="1" customWidth="1"/>
    <col min="10977" max="11228" width="6.88671875" style="58" customWidth="1"/>
    <col min="11229" max="11229" width="18" style="58" bestFit="1" customWidth="1"/>
    <col min="11230" max="11230" width="19.88671875" style="58" bestFit="1" customWidth="1"/>
    <col min="11231" max="11231" width="69.6640625" style="58" bestFit="1" customWidth="1"/>
    <col min="11232" max="11232" width="11.6640625" style="58" bestFit="1" customWidth="1"/>
    <col min="11233" max="11484" width="6.88671875" style="58" customWidth="1"/>
    <col min="11485" max="11485" width="18" style="58" bestFit="1" customWidth="1"/>
    <col min="11486" max="11486" width="19.88671875" style="58" bestFit="1" customWidth="1"/>
    <col min="11487" max="11487" width="69.6640625" style="58" bestFit="1" customWidth="1"/>
    <col min="11488" max="11488" width="11.6640625" style="58" bestFit="1" customWidth="1"/>
    <col min="11489" max="11740" width="6.88671875" style="58" customWidth="1"/>
    <col min="11741" max="11741" width="18" style="58" bestFit="1" customWidth="1"/>
    <col min="11742" max="11742" width="19.88671875" style="58" bestFit="1" customWidth="1"/>
    <col min="11743" max="11743" width="69.6640625" style="58" bestFit="1" customWidth="1"/>
    <col min="11744" max="11744" width="11.6640625" style="58" bestFit="1" customWidth="1"/>
    <col min="11745" max="11996" width="6.88671875" style="58" customWidth="1"/>
    <col min="11997" max="11997" width="18" style="58" bestFit="1" customWidth="1"/>
    <col min="11998" max="11998" width="19.88671875" style="58" bestFit="1" customWidth="1"/>
    <col min="11999" max="11999" width="69.6640625" style="58" bestFit="1" customWidth="1"/>
    <col min="12000" max="12000" width="11.6640625" style="58" bestFit="1" customWidth="1"/>
    <col min="12001" max="12252" width="6.88671875" style="58" customWidth="1"/>
    <col min="12253" max="12253" width="18" style="58" bestFit="1" customWidth="1"/>
    <col min="12254" max="12254" width="19.88671875" style="58" bestFit="1" customWidth="1"/>
    <col min="12255" max="12255" width="69.6640625" style="58" bestFit="1" customWidth="1"/>
    <col min="12256" max="12256" width="11.6640625" style="58" bestFit="1" customWidth="1"/>
    <col min="12257" max="12508" width="6.88671875" style="58" customWidth="1"/>
    <col min="12509" max="12509" width="18" style="58" bestFit="1" customWidth="1"/>
    <col min="12510" max="12510" width="19.88671875" style="58" bestFit="1" customWidth="1"/>
    <col min="12511" max="12511" width="69.6640625" style="58" bestFit="1" customWidth="1"/>
    <col min="12512" max="12512" width="11.6640625" style="58" bestFit="1" customWidth="1"/>
    <col min="12513" max="12764" width="6.88671875" style="58" customWidth="1"/>
    <col min="12765" max="12765" width="18" style="58" bestFit="1" customWidth="1"/>
    <col min="12766" max="12766" width="19.88671875" style="58" bestFit="1" customWidth="1"/>
    <col min="12767" max="12767" width="69.6640625" style="58" bestFit="1" customWidth="1"/>
    <col min="12768" max="12768" width="11.6640625" style="58" bestFit="1" customWidth="1"/>
    <col min="12769" max="13020" width="6.88671875" style="58" customWidth="1"/>
    <col min="13021" max="13021" width="18" style="58" bestFit="1" customWidth="1"/>
    <col min="13022" max="13022" width="19.88671875" style="58" bestFit="1" customWidth="1"/>
    <col min="13023" max="13023" width="69.6640625" style="58" bestFit="1" customWidth="1"/>
    <col min="13024" max="13024" width="11.6640625" style="58" bestFit="1" customWidth="1"/>
    <col min="13025" max="13276" width="6.88671875" style="58" customWidth="1"/>
    <col min="13277" max="13277" width="18" style="58" bestFit="1" customWidth="1"/>
    <col min="13278" max="13278" width="19.88671875" style="58" bestFit="1" customWidth="1"/>
    <col min="13279" max="13279" width="69.6640625" style="58" bestFit="1" customWidth="1"/>
    <col min="13280" max="13280" width="11.6640625" style="58" bestFit="1" customWidth="1"/>
    <col min="13281" max="13532" width="6.88671875" style="58" customWidth="1"/>
    <col min="13533" max="13533" width="18" style="58" bestFit="1" customWidth="1"/>
    <col min="13534" max="13534" width="19.88671875" style="58" bestFit="1" customWidth="1"/>
    <col min="13535" max="13535" width="69.6640625" style="58" bestFit="1" customWidth="1"/>
    <col min="13536" max="13536" width="11.6640625" style="58" bestFit="1" customWidth="1"/>
    <col min="13537" max="13788" width="6.88671875" style="58" customWidth="1"/>
    <col min="13789" max="13789" width="18" style="58" bestFit="1" customWidth="1"/>
    <col min="13790" max="13790" width="19.88671875" style="58" bestFit="1" customWidth="1"/>
    <col min="13791" max="13791" width="69.6640625" style="58" bestFit="1" customWidth="1"/>
    <col min="13792" max="13792" width="11.6640625" style="58" bestFit="1" customWidth="1"/>
    <col min="13793" max="14044" width="6.88671875" style="58" customWidth="1"/>
    <col min="14045" max="14045" width="18" style="58" bestFit="1" customWidth="1"/>
    <col min="14046" max="14046" width="19.88671875" style="58" bestFit="1" customWidth="1"/>
    <col min="14047" max="14047" width="69.6640625" style="58" bestFit="1" customWidth="1"/>
    <col min="14048" max="14048" width="11.6640625" style="58" bestFit="1" customWidth="1"/>
    <col min="14049" max="14300" width="6.88671875" style="58" customWidth="1"/>
    <col min="14301" max="14301" width="18" style="58" bestFit="1" customWidth="1"/>
    <col min="14302" max="14302" width="19.88671875" style="58" bestFit="1" customWidth="1"/>
    <col min="14303" max="14303" width="69.6640625" style="58" bestFit="1" customWidth="1"/>
    <col min="14304" max="14304" width="11.6640625" style="58" bestFit="1" customWidth="1"/>
    <col min="14305" max="14556" width="6.88671875" style="58" customWidth="1"/>
    <col min="14557" max="14557" width="18" style="58" bestFit="1" customWidth="1"/>
    <col min="14558" max="14558" width="19.88671875" style="58" bestFit="1" customWidth="1"/>
    <col min="14559" max="14559" width="69.6640625" style="58" bestFit="1" customWidth="1"/>
    <col min="14560" max="14560" width="11.6640625" style="58" bestFit="1" customWidth="1"/>
    <col min="14561" max="14812" width="6.88671875" style="58" customWidth="1"/>
    <col min="14813" max="14813" width="18" style="58" bestFit="1" customWidth="1"/>
    <col min="14814" max="14814" width="19.88671875" style="58" bestFit="1" customWidth="1"/>
    <col min="14815" max="14815" width="69.6640625" style="58" bestFit="1" customWidth="1"/>
    <col min="14816" max="14816" width="11.6640625" style="58" bestFit="1" customWidth="1"/>
    <col min="14817" max="15068" width="6.88671875" style="58" customWidth="1"/>
    <col min="15069" max="15069" width="18" style="58" bestFit="1" customWidth="1"/>
    <col min="15070" max="15070" width="19.88671875" style="58" bestFit="1" customWidth="1"/>
    <col min="15071" max="15071" width="69.6640625" style="58" bestFit="1" customWidth="1"/>
    <col min="15072" max="15072" width="11.6640625" style="58" bestFit="1" customWidth="1"/>
    <col min="15073" max="15324" width="6.88671875" style="58" customWidth="1"/>
    <col min="15325" max="15325" width="18" style="58" bestFit="1" customWidth="1"/>
    <col min="15326" max="15326" width="19.88671875" style="58" bestFit="1" customWidth="1"/>
    <col min="15327" max="15327" width="69.6640625" style="58" bestFit="1" customWidth="1"/>
    <col min="15328" max="15328" width="11.6640625" style="58" bestFit="1" customWidth="1"/>
    <col min="15329" max="15580" width="6.88671875" style="58" customWidth="1"/>
    <col min="15581" max="15581" width="18" style="58" bestFit="1" customWidth="1"/>
    <col min="15582" max="15582" width="19.88671875" style="58" bestFit="1" customWidth="1"/>
    <col min="15583" max="15583" width="69.6640625" style="58" bestFit="1" customWidth="1"/>
    <col min="15584" max="15584" width="11.6640625" style="58" bestFit="1" customWidth="1"/>
    <col min="15585" max="15836" width="6.88671875" style="58" customWidth="1"/>
    <col min="15837" max="15837" width="18" style="58" bestFit="1" customWidth="1"/>
    <col min="15838" max="15838" width="19.88671875" style="58" bestFit="1" customWidth="1"/>
    <col min="15839" max="15839" width="69.6640625" style="58" bestFit="1" customWidth="1"/>
    <col min="15840" max="15840" width="11.6640625" style="58" bestFit="1" customWidth="1"/>
    <col min="15841" max="16092" width="6.88671875" style="58" customWidth="1"/>
    <col min="16093" max="16093" width="18" style="58" bestFit="1" customWidth="1"/>
    <col min="16094" max="16094" width="19.88671875" style="58" bestFit="1" customWidth="1"/>
    <col min="16095" max="16095" width="69.6640625" style="58" bestFit="1" customWidth="1"/>
    <col min="16096" max="16096" width="11.6640625" style="58" bestFit="1" customWidth="1"/>
    <col min="16097" max="16384" width="6.88671875" style="58" customWidth="1"/>
  </cols>
  <sheetData>
    <row r="1" spans="1:4" ht="14.4" x14ac:dyDescent="0.3">
      <c r="A1" s="58" t="s">
        <v>169</v>
      </c>
      <c r="B1" s="58" t="s">
        <v>170</v>
      </c>
      <c r="C1" s="58" t="s">
        <v>171</v>
      </c>
      <c r="D1" s="58" t="s">
        <v>604</v>
      </c>
    </row>
    <row r="2" spans="1:4" ht="14.4" x14ac:dyDescent="0.3">
      <c r="A2" s="58" t="s">
        <v>89</v>
      </c>
      <c r="B2" s="58" t="s">
        <v>90</v>
      </c>
      <c r="C2" s="58">
        <v>12</v>
      </c>
      <c r="D2" s="58" t="s">
        <v>172</v>
      </c>
    </row>
    <row r="3" spans="1:4" ht="14.4" x14ac:dyDescent="0.3">
      <c r="A3" s="58" t="s">
        <v>87</v>
      </c>
      <c r="B3" s="58" t="s">
        <v>88</v>
      </c>
      <c r="C3" s="58">
        <v>1</v>
      </c>
      <c r="D3" s="58" t="s">
        <v>172</v>
      </c>
    </row>
    <row r="4" spans="1:4" ht="14.4" x14ac:dyDescent="0.3">
      <c r="A4" s="58" t="s">
        <v>173</v>
      </c>
      <c r="B4" s="58" t="s">
        <v>174</v>
      </c>
      <c r="C4" s="58">
        <v>0</v>
      </c>
      <c r="D4" s="58" t="s">
        <v>172</v>
      </c>
    </row>
    <row r="5" spans="1:4" ht="14.4" x14ac:dyDescent="0.3">
      <c r="A5" s="58" t="s">
        <v>71</v>
      </c>
      <c r="B5" s="58" t="s">
        <v>72</v>
      </c>
      <c r="C5" s="58">
        <v>0</v>
      </c>
      <c r="D5" s="58" t="s">
        <v>175</v>
      </c>
    </row>
    <row r="6" spans="1:4" ht="14.4" x14ac:dyDescent="0.3">
      <c r="A6" s="58" t="s">
        <v>176</v>
      </c>
      <c r="B6" s="58" t="s">
        <v>70</v>
      </c>
      <c r="C6" s="58">
        <v>0</v>
      </c>
      <c r="D6" s="58" t="s">
        <v>172</v>
      </c>
    </row>
    <row r="7" spans="1:4" ht="14.4" x14ac:dyDescent="0.3">
      <c r="A7" s="58" t="s">
        <v>69</v>
      </c>
      <c r="B7" s="58" t="s">
        <v>70</v>
      </c>
      <c r="C7" s="58">
        <v>1</v>
      </c>
      <c r="D7" s="58" t="s">
        <v>172</v>
      </c>
    </row>
    <row r="8" spans="1:4" ht="14.4" x14ac:dyDescent="0.3">
      <c r="A8" s="58" t="s">
        <v>145</v>
      </c>
      <c r="B8" s="58" t="s">
        <v>146</v>
      </c>
      <c r="C8" s="58">
        <v>5</v>
      </c>
      <c r="D8" s="58" t="s">
        <v>177</v>
      </c>
    </row>
    <row r="9" spans="1:4" ht="14.4" x14ac:dyDescent="0.3">
      <c r="A9" s="58" t="s">
        <v>127</v>
      </c>
      <c r="B9" s="58" t="s">
        <v>128</v>
      </c>
      <c r="C9" s="58">
        <v>23</v>
      </c>
      <c r="D9" s="58" t="s">
        <v>175</v>
      </c>
    </row>
    <row r="10" spans="1:4" ht="14.4" x14ac:dyDescent="0.3">
      <c r="A10" s="58" t="s">
        <v>123</v>
      </c>
      <c r="B10" s="58" t="s">
        <v>124</v>
      </c>
      <c r="C10" s="58">
        <v>46</v>
      </c>
      <c r="D10" s="58" t="s">
        <v>177</v>
      </c>
    </row>
    <row r="11" spans="1:4" ht="14.4" x14ac:dyDescent="0.3">
      <c r="A11" s="58" t="s">
        <v>119</v>
      </c>
      <c r="B11" s="58" t="s">
        <v>120</v>
      </c>
      <c r="C11" s="58">
        <v>1</v>
      </c>
      <c r="D11" s="58" t="s">
        <v>175</v>
      </c>
    </row>
    <row r="12" spans="1:4" ht="14.4" x14ac:dyDescent="0.3">
      <c r="A12" s="58" t="s">
        <v>121</v>
      </c>
      <c r="B12" s="58" t="s">
        <v>122</v>
      </c>
      <c r="C12" s="58">
        <v>27</v>
      </c>
      <c r="D12" s="58" t="s">
        <v>177</v>
      </c>
    </row>
    <row r="13" spans="1:4" ht="14.4" x14ac:dyDescent="0.3">
      <c r="A13" s="58" t="s">
        <v>131</v>
      </c>
      <c r="B13" s="58" t="s">
        <v>132</v>
      </c>
      <c r="C13" s="58">
        <v>0</v>
      </c>
      <c r="D13" s="58" t="s">
        <v>177</v>
      </c>
    </row>
    <row r="14" spans="1:4" ht="14.4" x14ac:dyDescent="0.3">
      <c r="A14" s="58" t="s">
        <v>43</v>
      </c>
      <c r="B14" s="58" t="s">
        <v>44</v>
      </c>
      <c r="C14" s="58">
        <v>20</v>
      </c>
      <c r="D14" s="58" t="s">
        <v>172</v>
      </c>
    </row>
    <row r="15" spans="1:4" ht="14.4" x14ac:dyDescent="0.3">
      <c r="A15" s="58" t="s">
        <v>41</v>
      </c>
      <c r="B15" s="58" t="s">
        <v>42</v>
      </c>
      <c r="C15" s="58">
        <v>72</v>
      </c>
      <c r="D15" s="58" t="s">
        <v>172</v>
      </c>
    </row>
    <row r="16" spans="1:4" ht="14.4" x14ac:dyDescent="0.3">
      <c r="A16" s="58" t="s">
        <v>143</v>
      </c>
      <c r="B16" s="58" t="s">
        <v>144</v>
      </c>
      <c r="C16" s="58">
        <v>0</v>
      </c>
      <c r="D16" s="58" t="s">
        <v>175</v>
      </c>
    </row>
    <row r="17" spans="1:4" ht="14.4" x14ac:dyDescent="0.3">
      <c r="A17" s="58" t="s">
        <v>141</v>
      </c>
      <c r="B17" s="58" t="s">
        <v>142</v>
      </c>
      <c r="C17" s="58">
        <v>1</v>
      </c>
      <c r="D17" s="58" t="s">
        <v>177</v>
      </c>
    </row>
    <row r="18" spans="1:4" ht="14.4" x14ac:dyDescent="0.3">
      <c r="A18" s="58" t="s">
        <v>139</v>
      </c>
      <c r="B18" s="58" t="s">
        <v>140</v>
      </c>
      <c r="C18" s="58">
        <v>0</v>
      </c>
      <c r="D18" s="58" t="s">
        <v>172</v>
      </c>
    </row>
    <row r="19" spans="1:4" ht="14.4" x14ac:dyDescent="0.3">
      <c r="A19" s="58" t="s">
        <v>135</v>
      </c>
      <c r="B19" s="58" t="s">
        <v>136</v>
      </c>
      <c r="C19" s="58">
        <v>1</v>
      </c>
      <c r="D19" s="58" t="s">
        <v>172</v>
      </c>
    </row>
    <row r="20" spans="1:4" ht="14.4" x14ac:dyDescent="0.3">
      <c r="A20" s="58" t="s">
        <v>29</v>
      </c>
      <c r="B20" s="58" t="s">
        <v>30</v>
      </c>
      <c r="C20" s="58">
        <v>9</v>
      </c>
      <c r="D20" s="58" t="s">
        <v>177</v>
      </c>
    </row>
    <row r="21" spans="1:4" ht="14.4" x14ac:dyDescent="0.3">
      <c r="A21" s="58" t="s">
        <v>31</v>
      </c>
      <c r="B21" s="58" t="s">
        <v>32</v>
      </c>
      <c r="C21" s="58">
        <v>0</v>
      </c>
      <c r="D21" s="58" t="s">
        <v>177</v>
      </c>
    </row>
    <row r="22" spans="1:4" ht="14.4" x14ac:dyDescent="0.3">
      <c r="A22" s="58" t="s">
        <v>35</v>
      </c>
      <c r="B22" s="58" t="s">
        <v>36</v>
      </c>
      <c r="C22" s="58">
        <v>29</v>
      </c>
      <c r="D22" s="58" t="s">
        <v>177</v>
      </c>
    </row>
    <row r="23" spans="1:4" ht="14.4" x14ac:dyDescent="0.3">
      <c r="A23" s="58" t="s">
        <v>33</v>
      </c>
      <c r="B23" s="58" t="s">
        <v>34</v>
      </c>
      <c r="C23" s="58">
        <v>0</v>
      </c>
      <c r="D23" s="58" t="s">
        <v>175</v>
      </c>
    </row>
    <row r="24" spans="1:4" ht="14.4" x14ac:dyDescent="0.3">
      <c r="A24" s="58" t="s">
        <v>37</v>
      </c>
      <c r="B24" s="58" t="s">
        <v>38</v>
      </c>
      <c r="C24" s="58">
        <v>0</v>
      </c>
      <c r="D24" s="58" t="s">
        <v>175</v>
      </c>
    </row>
    <row r="25" spans="1:4" ht="14.4" x14ac:dyDescent="0.3">
      <c r="A25" s="58" t="s">
        <v>39</v>
      </c>
      <c r="B25" s="58" t="s">
        <v>40</v>
      </c>
      <c r="C25" s="58">
        <v>1</v>
      </c>
      <c r="D25" s="58" t="s">
        <v>177</v>
      </c>
    </row>
    <row r="26" spans="1:4" ht="14.4" x14ac:dyDescent="0.3">
      <c r="A26" s="58" t="s">
        <v>178</v>
      </c>
      <c r="B26" s="58" t="s">
        <v>179</v>
      </c>
      <c r="C26" s="58">
        <v>0</v>
      </c>
      <c r="D26" s="58" t="s">
        <v>180</v>
      </c>
    </row>
    <row r="27" spans="1:4" ht="14.4" x14ac:dyDescent="0.3">
      <c r="A27" s="58" t="s">
        <v>53</v>
      </c>
      <c r="B27" s="58" t="s">
        <v>54</v>
      </c>
      <c r="C27" s="58">
        <v>0</v>
      </c>
      <c r="D27" s="58" t="s">
        <v>175</v>
      </c>
    </row>
    <row r="28" spans="1:4" ht="14.4" x14ac:dyDescent="0.3">
      <c r="A28" s="58" t="s">
        <v>105</v>
      </c>
      <c r="B28" s="58" t="s">
        <v>106</v>
      </c>
      <c r="C28" s="58">
        <v>0</v>
      </c>
      <c r="D28" s="58" t="s">
        <v>175</v>
      </c>
    </row>
    <row r="29" spans="1:4" ht="14.4" x14ac:dyDescent="0.3">
      <c r="A29" s="58" t="s">
        <v>113</v>
      </c>
      <c r="B29" s="58" t="s">
        <v>114</v>
      </c>
      <c r="C29" s="58">
        <v>28</v>
      </c>
      <c r="D29" s="58" t="s">
        <v>177</v>
      </c>
    </row>
    <row r="30" spans="1:4" ht="14.4" x14ac:dyDescent="0.3">
      <c r="A30" s="58" t="s">
        <v>117</v>
      </c>
      <c r="B30" s="58" t="s">
        <v>118</v>
      </c>
      <c r="C30" s="58">
        <v>1</v>
      </c>
      <c r="D30" s="58" t="s">
        <v>177</v>
      </c>
    </row>
    <row r="31" spans="1:4" ht="14.4" x14ac:dyDescent="0.3">
      <c r="A31" s="58" t="s">
        <v>67</v>
      </c>
      <c r="B31" s="58" t="s">
        <v>68</v>
      </c>
      <c r="C31" s="58">
        <v>0</v>
      </c>
      <c r="D31" s="58" t="s">
        <v>175</v>
      </c>
    </row>
    <row r="32" spans="1:4" ht="14.4" x14ac:dyDescent="0.3">
      <c r="A32" s="58" t="s">
        <v>57</v>
      </c>
      <c r="B32" s="58" t="s">
        <v>58</v>
      </c>
      <c r="C32" s="58">
        <v>0</v>
      </c>
      <c r="D32" s="58" t="s">
        <v>177</v>
      </c>
    </row>
    <row r="33" spans="1:4" ht="14.4" x14ac:dyDescent="0.3">
      <c r="A33" s="58" t="s">
        <v>103</v>
      </c>
      <c r="B33" s="58" t="s">
        <v>104</v>
      </c>
      <c r="C33" s="58">
        <v>0</v>
      </c>
      <c r="D33" s="58" t="s">
        <v>177</v>
      </c>
    </row>
    <row r="34" spans="1:4" ht="14.4" x14ac:dyDescent="0.3">
      <c r="A34" s="58" t="s">
        <v>101</v>
      </c>
      <c r="B34" s="58" t="s">
        <v>102</v>
      </c>
      <c r="C34" s="58">
        <v>0</v>
      </c>
      <c r="D34" s="58" t="s">
        <v>175</v>
      </c>
    </row>
    <row r="35" spans="1:4" ht="14.4" x14ac:dyDescent="0.3">
      <c r="A35" s="58" t="s">
        <v>99</v>
      </c>
      <c r="B35" s="58" t="s">
        <v>100</v>
      </c>
      <c r="C35" s="58">
        <v>58</v>
      </c>
      <c r="D35" s="58" t="s">
        <v>177</v>
      </c>
    </row>
    <row r="36" spans="1:4" ht="14.4" x14ac:dyDescent="0.3">
      <c r="A36" s="58" t="s">
        <v>97</v>
      </c>
      <c r="B36" s="58" t="s">
        <v>98</v>
      </c>
      <c r="C36" s="58">
        <v>0</v>
      </c>
      <c r="D36" s="58" t="s">
        <v>175</v>
      </c>
    </row>
    <row r="37" spans="1:4" ht="14.4" x14ac:dyDescent="0.3">
      <c r="A37" s="58" t="s">
        <v>115</v>
      </c>
      <c r="B37" s="58" t="s">
        <v>116</v>
      </c>
      <c r="C37" s="58">
        <v>0</v>
      </c>
      <c r="D37" s="58" t="s">
        <v>175</v>
      </c>
    </row>
    <row r="38" spans="1:4" ht="14.4" x14ac:dyDescent="0.3">
      <c r="A38" s="58" t="s">
        <v>153</v>
      </c>
      <c r="B38" s="58" t="s">
        <v>154</v>
      </c>
      <c r="C38" s="58">
        <v>0</v>
      </c>
      <c r="D38" s="58" t="s">
        <v>177</v>
      </c>
    </row>
    <row r="39" spans="1:4" ht="14.4" x14ac:dyDescent="0.3">
      <c r="A39" s="58" t="s">
        <v>149</v>
      </c>
      <c r="B39" s="58" t="s">
        <v>150</v>
      </c>
      <c r="C39" s="58">
        <v>1</v>
      </c>
      <c r="D39" s="58" t="s">
        <v>175</v>
      </c>
    </row>
    <row r="40" spans="1:4" ht="14.4" x14ac:dyDescent="0.3">
      <c r="A40" s="58" t="s">
        <v>151</v>
      </c>
      <c r="B40" s="58" t="s">
        <v>152</v>
      </c>
      <c r="C40" s="58">
        <v>0</v>
      </c>
      <c r="D40" s="58" t="s">
        <v>175</v>
      </c>
    </row>
    <row r="41" spans="1:4" ht="14.4" x14ac:dyDescent="0.3">
      <c r="A41" s="58" t="s">
        <v>55</v>
      </c>
      <c r="B41" s="58" t="s">
        <v>56</v>
      </c>
      <c r="C41" s="58">
        <v>3</v>
      </c>
      <c r="D41" s="58" t="s">
        <v>177</v>
      </c>
    </row>
    <row r="42" spans="1:4" ht="14.4" x14ac:dyDescent="0.3">
      <c r="A42" s="58" t="s">
        <v>61</v>
      </c>
      <c r="B42" s="58" t="s">
        <v>62</v>
      </c>
      <c r="C42" s="58">
        <v>419</v>
      </c>
      <c r="D42" s="58" t="s">
        <v>172</v>
      </c>
    </row>
    <row r="43" spans="1:4" ht="14.4" x14ac:dyDescent="0.3">
      <c r="A43" s="58" t="s">
        <v>137</v>
      </c>
      <c r="B43" s="58" t="s">
        <v>138</v>
      </c>
      <c r="C43" s="58">
        <v>0</v>
      </c>
      <c r="D43" s="58" t="s">
        <v>175</v>
      </c>
    </row>
    <row r="44" spans="1:4" ht="14.4" x14ac:dyDescent="0.3">
      <c r="A44" s="58" t="s">
        <v>133</v>
      </c>
      <c r="B44" s="58" t="s">
        <v>134</v>
      </c>
      <c r="C44" s="58">
        <v>0</v>
      </c>
      <c r="D44" s="58" t="s">
        <v>175</v>
      </c>
    </row>
    <row r="45" spans="1:4" ht="14.4" x14ac:dyDescent="0.3">
      <c r="A45" s="58" t="s">
        <v>109</v>
      </c>
      <c r="B45" s="58" t="s">
        <v>110</v>
      </c>
      <c r="C45" s="58">
        <v>0</v>
      </c>
      <c r="D45" s="58" t="s">
        <v>175</v>
      </c>
    </row>
    <row r="46" spans="1:4" ht="14.4" x14ac:dyDescent="0.3">
      <c r="A46" s="58" t="s">
        <v>107</v>
      </c>
      <c r="B46" s="58" t="s">
        <v>108</v>
      </c>
      <c r="C46" s="58">
        <v>0</v>
      </c>
      <c r="D46" s="58" t="s">
        <v>175</v>
      </c>
    </row>
    <row r="47" spans="1:4" ht="14.4" x14ac:dyDescent="0.3">
      <c r="A47" s="58" t="s">
        <v>163</v>
      </c>
      <c r="B47" s="58" t="s">
        <v>164</v>
      </c>
      <c r="C47" s="58">
        <v>0</v>
      </c>
      <c r="D47" s="58" t="s">
        <v>175</v>
      </c>
    </row>
    <row r="48" spans="1:4" ht="14.4" x14ac:dyDescent="0.3">
      <c r="A48" s="58" t="s">
        <v>157</v>
      </c>
      <c r="B48" s="58" t="s">
        <v>158</v>
      </c>
      <c r="C48" s="58">
        <v>0</v>
      </c>
      <c r="D48" s="58" t="s">
        <v>177</v>
      </c>
    </row>
    <row r="49" spans="1:4" ht="14.4" x14ac:dyDescent="0.3">
      <c r="A49" s="58" t="s">
        <v>125</v>
      </c>
      <c r="B49" s="58" t="s">
        <v>126</v>
      </c>
      <c r="C49" s="58">
        <v>3</v>
      </c>
      <c r="D49" s="58" t="s">
        <v>172</v>
      </c>
    </row>
    <row r="50" spans="1:4" ht="14.4" x14ac:dyDescent="0.3">
      <c r="A50" s="58" t="s">
        <v>129</v>
      </c>
      <c r="B50" s="58" t="s">
        <v>130</v>
      </c>
      <c r="C50" s="58">
        <v>0</v>
      </c>
      <c r="D50" s="58" t="s">
        <v>172</v>
      </c>
    </row>
    <row r="51" spans="1:4" ht="14.4" x14ac:dyDescent="0.3">
      <c r="A51" s="58" t="s">
        <v>75</v>
      </c>
      <c r="B51" s="58" t="s">
        <v>76</v>
      </c>
      <c r="C51" s="58">
        <v>37</v>
      </c>
      <c r="D51" s="58" t="s">
        <v>172</v>
      </c>
    </row>
    <row r="52" spans="1:4" ht="14.4" x14ac:dyDescent="0.3">
      <c r="A52" s="58" t="s">
        <v>77</v>
      </c>
      <c r="B52" s="58" t="s">
        <v>78</v>
      </c>
      <c r="C52" s="58">
        <v>50</v>
      </c>
      <c r="D52" s="58" t="s">
        <v>172</v>
      </c>
    </row>
    <row r="53" spans="1:4" ht="14.4" x14ac:dyDescent="0.3">
      <c r="A53" s="58" t="s">
        <v>83</v>
      </c>
      <c r="B53" s="58" t="s">
        <v>84</v>
      </c>
      <c r="C53" s="58">
        <v>0</v>
      </c>
      <c r="D53" s="58" t="s">
        <v>172</v>
      </c>
    </row>
    <row r="54" spans="1:4" ht="14.4" x14ac:dyDescent="0.3">
      <c r="A54" s="58" t="s">
        <v>59</v>
      </c>
      <c r="B54" s="58" t="s">
        <v>60</v>
      </c>
      <c r="C54" s="58">
        <v>0</v>
      </c>
      <c r="D54" s="58" t="s">
        <v>175</v>
      </c>
    </row>
    <row r="55" spans="1:4" ht="14.4" x14ac:dyDescent="0.3">
      <c r="A55" s="58" t="s">
        <v>51</v>
      </c>
      <c r="B55" s="58" t="s">
        <v>52</v>
      </c>
      <c r="C55" s="58">
        <v>0</v>
      </c>
      <c r="D55" s="58" t="s">
        <v>175</v>
      </c>
    </row>
    <row r="56" spans="1:4" ht="14.4" x14ac:dyDescent="0.3">
      <c r="A56" s="58" t="s">
        <v>91</v>
      </c>
      <c r="B56" s="58" t="s">
        <v>92</v>
      </c>
      <c r="C56" s="58">
        <v>68</v>
      </c>
      <c r="D56" s="58" t="s">
        <v>172</v>
      </c>
    </row>
    <row r="57" spans="1:4" ht="14.4" x14ac:dyDescent="0.3">
      <c r="A57" s="58" t="s">
        <v>111</v>
      </c>
      <c r="B57" s="58" t="s">
        <v>112</v>
      </c>
      <c r="C57" s="58">
        <v>40</v>
      </c>
      <c r="D57" s="58" t="s">
        <v>172</v>
      </c>
    </row>
    <row r="58" spans="1:4" ht="14.4" x14ac:dyDescent="0.3">
      <c r="A58" s="58" t="s">
        <v>147</v>
      </c>
      <c r="B58" s="58" t="s">
        <v>148</v>
      </c>
      <c r="C58" s="58">
        <v>46</v>
      </c>
      <c r="D58" s="58" t="s">
        <v>172</v>
      </c>
    </row>
    <row r="59" spans="1:4" ht="14.4" x14ac:dyDescent="0.3">
      <c r="A59" s="58" t="s">
        <v>155</v>
      </c>
      <c r="B59" s="58" t="s">
        <v>156</v>
      </c>
      <c r="C59" s="58">
        <v>26</v>
      </c>
      <c r="D59" s="58" t="s">
        <v>172</v>
      </c>
    </row>
    <row r="60" spans="1:4" ht="14.4" x14ac:dyDescent="0.3">
      <c r="A60" s="58" t="s">
        <v>93</v>
      </c>
      <c r="B60" s="58" t="s">
        <v>94</v>
      </c>
      <c r="C60" s="58">
        <v>56</v>
      </c>
      <c r="D60" s="58" t="s">
        <v>172</v>
      </c>
    </row>
    <row r="61" spans="1:4" ht="14.4" x14ac:dyDescent="0.3">
      <c r="A61" s="58" t="s">
        <v>63</v>
      </c>
      <c r="B61" s="58" t="s">
        <v>64</v>
      </c>
      <c r="C61" s="58">
        <v>3</v>
      </c>
      <c r="D61" s="58" t="s">
        <v>177</v>
      </c>
    </row>
    <row r="62" spans="1:4" ht="14.4" x14ac:dyDescent="0.3">
      <c r="A62" s="58" t="s">
        <v>65</v>
      </c>
      <c r="B62" s="58" t="s">
        <v>66</v>
      </c>
      <c r="C62" s="58">
        <v>0</v>
      </c>
      <c r="D62" s="58" t="s">
        <v>177</v>
      </c>
    </row>
    <row r="63" spans="1:4" ht="14.4" x14ac:dyDescent="0.3">
      <c r="A63" s="58" t="s">
        <v>181</v>
      </c>
      <c r="B63" s="58" t="s">
        <v>182</v>
      </c>
      <c r="C63" s="58">
        <v>66</v>
      </c>
      <c r="D63" s="58" t="s">
        <v>172</v>
      </c>
    </row>
    <row r="64" spans="1:4" ht="14.4" x14ac:dyDescent="0.3">
      <c r="A64" s="58" t="s">
        <v>81</v>
      </c>
      <c r="B64" s="58" t="s">
        <v>82</v>
      </c>
      <c r="C64" s="58">
        <v>154</v>
      </c>
      <c r="D64" s="58" t="s">
        <v>172</v>
      </c>
    </row>
    <row r="65" spans="1:4" ht="14.4" x14ac:dyDescent="0.3">
      <c r="A65" s="58" t="s">
        <v>45</v>
      </c>
      <c r="B65" s="58" t="s">
        <v>46</v>
      </c>
      <c r="C65" s="58">
        <v>0</v>
      </c>
      <c r="D65" s="58" t="s">
        <v>175</v>
      </c>
    </row>
    <row r="66" spans="1:4" ht="14.4" x14ac:dyDescent="0.3">
      <c r="A66" s="58" t="s">
        <v>47</v>
      </c>
      <c r="B66" s="58" t="s">
        <v>48</v>
      </c>
      <c r="C66" s="58">
        <v>0</v>
      </c>
      <c r="D66" s="58" t="s">
        <v>175</v>
      </c>
    </row>
    <row r="67" spans="1:4" ht="14.4" x14ac:dyDescent="0.3">
      <c r="A67" s="58" t="s">
        <v>73</v>
      </c>
      <c r="B67" s="58" t="s">
        <v>74</v>
      </c>
      <c r="C67" s="58">
        <v>0</v>
      </c>
      <c r="D67" s="58" t="s">
        <v>175</v>
      </c>
    </row>
    <row r="68" spans="1:4" ht="14.4" x14ac:dyDescent="0.3">
      <c r="A68" s="58" t="s">
        <v>183</v>
      </c>
      <c r="B68" s="58" t="s">
        <v>184</v>
      </c>
      <c r="C68" s="58">
        <v>0</v>
      </c>
      <c r="D68" s="58" t="s">
        <v>177</v>
      </c>
    </row>
    <row r="69" spans="1:4" ht="14.4" x14ac:dyDescent="0.3">
      <c r="A69" s="58" t="s">
        <v>49</v>
      </c>
      <c r="B69" s="58" t="s">
        <v>50</v>
      </c>
      <c r="C69" s="58">
        <v>0</v>
      </c>
      <c r="D69" s="58" t="s">
        <v>175</v>
      </c>
    </row>
    <row r="70" spans="1:4" ht="14.4" x14ac:dyDescent="0.3">
      <c r="A70" s="58" t="s">
        <v>95</v>
      </c>
      <c r="B70" s="58" t="s">
        <v>96</v>
      </c>
      <c r="C70" s="58">
        <v>3</v>
      </c>
      <c r="D70" s="58" t="s">
        <v>172</v>
      </c>
    </row>
    <row r="71" spans="1:4" ht="14.4" x14ac:dyDescent="0.3">
      <c r="A71" s="58" t="s">
        <v>79</v>
      </c>
      <c r="B71" s="58" t="s">
        <v>80</v>
      </c>
      <c r="C71" s="58">
        <v>19</v>
      </c>
      <c r="D71" s="58" t="s">
        <v>172</v>
      </c>
    </row>
    <row r="72" spans="1:4" ht="14.4" x14ac:dyDescent="0.3">
      <c r="A72" s="58" t="s">
        <v>85</v>
      </c>
      <c r="B72" s="58" t="s">
        <v>86</v>
      </c>
      <c r="C72" s="58">
        <v>57</v>
      </c>
      <c r="D72" s="58" t="s">
        <v>172</v>
      </c>
    </row>
    <row r="73" spans="1:4" ht="14.4" x14ac:dyDescent="0.3">
      <c r="A73" s="58" t="s">
        <v>159</v>
      </c>
      <c r="B73" s="58" t="s">
        <v>160</v>
      </c>
      <c r="C73" s="58">
        <v>0</v>
      </c>
      <c r="D73" s="58" t="s">
        <v>175</v>
      </c>
    </row>
    <row r="74" spans="1:4" ht="14.4" x14ac:dyDescent="0.3">
      <c r="A74" s="58" t="s">
        <v>161</v>
      </c>
      <c r="B74" s="58" t="s">
        <v>162</v>
      </c>
      <c r="C74" s="58">
        <v>0</v>
      </c>
      <c r="D74" s="58" t="s">
        <v>175</v>
      </c>
    </row>
    <row r="75" spans="1:4" ht="14.4" x14ac:dyDescent="0.3">
      <c r="A75" s="58" t="s">
        <v>185</v>
      </c>
      <c r="B75" s="58" t="s">
        <v>186</v>
      </c>
      <c r="C75" s="58">
        <v>24</v>
      </c>
      <c r="D75" s="58" t="s">
        <v>187</v>
      </c>
    </row>
    <row r="76" spans="1:4" ht="14.4" x14ac:dyDescent="0.3">
      <c r="A76" s="58" t="s">
        <v>188</v>
      </c>
      <c r="B76" s="58" t="s">
        <v>189</v>
      </c>
      <c r="C76" s="58">
        <v>24</v>
      </c>
      <c r="D76" s="58" t="s">
        <v>187</v>
      </c>
    </row>
    <row r="77" spans="1:4" ht="14.4" x14ac:dyDescent="0.3">
      <c r="A77" s="58" t="s">
        <v>190</v>
      </c>
      <c r="B77" s="58" t="s">
        <v>191</v>
      </c>
      <c r="C77" s="58">
        <v>24</v>
      </c>
      <c r="D77" s="58" t="s">
        <v>187</v>
      </c>
    </row>
    <row r="78" spans="1:4" ht="14.4" x14ac:dyDescent="0.3">
      <c r="A78" s="58" t="s">
        <v>192</v>
      </c>
      <c r="B78" s="58" t="s">
        <v>193</v>
      </c>
      <c r="C78" s="58">
        <v>24</v>
      </c>
      <c r="D78" s="58" t="s">
        <v>187</v>
      </c>
    </row>
    <row r="79" spans="1:4" ht="14.4" x14ac:dyDescent="0.3">
      <c r="A79" s="58" t="s">
        <v>194</v>
      </c>
      <c r="B79" s="58" t="s">
        <v>195</v>
      </c>
      <c r="C79" s="58">
        <v>24</v>
      </c>
      <c r="D79" s="58" t="s">
        <v>187</v>
      </c>
    </row>
    <row r="80" spans="1:4" ht="14.4" x14ac:dyDescent="0.3">
      <c r="A80" s="58" t="s">
        <v>196</v>
      </c>
      <c r="B80" s="58" t="s">
        <v>197</v>
      </c>
      <c r="C80" s="58">
        <v>24</v>
      </c>
      <c r="D80" s="58" t="s">
        <v>187</v>
      </c>
    </row>
    <row r="81" spans="1:4" ht="14.4" x14ac:dyDescent="0.3">
      <c r="A81" s="58" t="s">
        <v>198</v>
      </c>
      <c r="B81" s="58" t="s">
        <v>199</v>
      </c>
      <c r="C81" s="58">
        <v>552</v>
      </c>
      <c r="D81" s="58" t="s">
        <v>187</v>
      </c>
    </row>
    <row r="82" spans="1:4" ht="14.4" x14ac:dyDescent="0.3">
      <c r="A82" s="58" t="s">
        <v>200</v>
      </c>
      <c r="B82" s="58" t="s">
        <v>201</v>
      </c>
      <c r="C82" s="58">
        <v>24</v>
      </c>
      <c r="D82" s="58" t="s">
        <v>187</v>
      </c>
    </row>
    <row r="83" spans="1:4" ht="14.4" x14ac:dyDescent="0.3">
      <c r="A83" s="58" t="s">
        <v>202</v>
      </c>
      <c r="B83" s="58" t="s">
        <v>203</v>
      </c>
      <c r="C83" s="58">
        <v>24</v>
      </c>
      <c r="D83" s="58" t="s">
        <v>187</v>
      </c>
    </row>
    <row r="84" spans="1:4" ht="14.4" x14ac:dyDescent="0.3">
      <c r="A84" s="58" t="s">
        <v>204</v>
      </c>
      <c r="B84" s="58" t="s">
        <v>205</v>
      </c>
      <c r="C84" s="58">
        <v>24</v>
      </c>
      <c r="D84" s="58" t="s">
        <v>187</v>
      </c>
    </row>
    <row r="85" spans="1:4" ht="14.4" x14ac:dyDescent="0.3">
      <c r="A85" s="58" t="s">
        <v>206</v>
      </c>
      <c r="B85" s="58" t="s">
        <v>207</v>
      </c>
      <c r="C85" s="58">
        <v>24</v>
      </c>
      <c r="D85" s="58" t="s">
        <v>187</v>
      </c>
    </row>
    <row r="86" spans="1:4" ht="14.4" x14ac:dyDescent="0.3">
      <c r="A86" s="58" t="s">
        <v>208</v>
      </c>
      <c r="B86" s="58" t="s">
        <v>209</v>
      </c>
      <c r="C86" s="58">
        <v>24</v>
      </c>
      <c r="D86" s="58" t="s">
        <v>187</v>
      </c>
    </row>
    <row r="87" spans="1:4" ht="14.4" x14ac:dyDescent="0.3">
      <c r="A87" s="58" t="s">
        <v>210</v>
      </c>
      <c r="B87" s="58" t="s">
        <v>211</v>
      </c>
      <c r="C87" s="58">
        <v>12</v>
      </c>
      <c r="D87" s="58" t="s">
        <v>187</v>
      </c>
    </row>
    <row r="88" spans="1:4" ht="14.4" x14ac:dyDescent="0.3">
      <c r="A88" s="58" t="s">
        <v>212</v>
      </c>
      <c r="B88" s="58" t="s">
        <v>213</v>
      </c>
      <c r="C88" s="58">
        <v>24</v>
      </c>
      <c r="D88" s="58" t="s">
        <v>187</v>
      </c>
    </row>
    <row r="89" spans="1:4" ht="14.4" x14ac:dyDescent="0.3">
      <c r="A89" s="58" t="s">
        <v>214</v>
      </c>
      <c r="B89" s="58" t="s">
        <v>215</v>
      </c>
      <c r="C89" s="58">
        <v>24</v>
      </c>
      <c r="D89" s="58" t="s">
        <v>187</v>
      </c>
    </row>
    <row r="90" spans="1:4" ht="14.4" x14ac:dyDescent="0.3">
      <c r="A90" s="58" t="s">
        <v>216</v>
      </c>
      <c r="B90" s="58" t="s">
        <v>217</v>
      </c>
      <c r="C90" s="58">
        <v>24</v>
      </c>
      <c r="D90" s="58" t="s">
        <v>187</v>
      </c>
    </row>
    <row r="91" spans="1:4" ht="14.4" x14ac:dyDescent="0.3">
      <c r="A91" s="58" t="s">
        <v>218</v>
      </c>
      <c r="B91" s="58" t="s">
        <v>219</v>
      </c>
      <c r="C91" s="58">
        <v>2</v>
      </c>
      <c r="D91" s="58" t="s">
        <v>187</v>
      </c>
    </row>
    <row r="92" spans="1:4" ht="14.4" x14ac:dyDescent="0.3">
      <c r="A92" s="58" t="s">
        <v>220</v>
      </c>
      <c r="B92" s="58" t="s">
        <v>221</v>
      </c>
      <c r="C92" s="58">
        <v>2</v>
      </c>
      <c r="D92" s="58" t="s">
        <v>187</v>
      </c>
    </row>
    <row r="93" spans="1:4" ht="14.4" x14ac:dyDescent="0.3">
      <c r="A93" s="58" t="s">
        <v>222</v>
      </c>
      <c r="B93" s="58" t="s">
        <v>223</v>
      </c>
      <c r="C93" s="58">
        <v>24</v>
      </c>
      <c r="D93" s="58" t="s">
        <v>187</v>
      </c>
    </row>
    <row r="94" spans="1:4" ht="14.4" x14ac:dyDescent="0.3">
      <c r="A94" s="58" t="s">
        <v>224</v>
      </c>
      <c r="B94" s="58" t="s">
        <v>225</v>
      </c>
      <c r="C94" s="58">
        <v>24</v>
      </c>
      <c r="D94" s="58" t="s">
        <v>187</v>
      </c>
    </row>
    <row r="95" spans="1:4" ht="14.4" x14ac:dyDescent="0.3">
      <c r="A95" s="58" t="s">
        <v>226</v>
      </c>
      <c r="B95" s="58" t="s">
        <v>227</v>
      </c>
      <c r="C95" s="58">
        <v>0</v>
      </c>
      <c r="D95" s="58" t="s">
        <v>172</v>
      </c>
    </row>
    <row r="96" spans="1:4" ht="14.4" x14ac:dyDescent="0.3">
      <c r="A96" s="58" t="s">
        <v>228</v>
      </c>
      <c r="B96" s="58" t="s">
        <v>229</v>
      </c>
      <c r="C96" s="58">
        <v>50</v>
      </c>
      <c r="D96" s="58" t="s">
        <v>187</v>
      </c>
    </row>
    <row r="97" spans="1:4" ht="14.4" x14ac:dyDescent="0.3">
      <c r="A97" s="58" t="s">
        <v>230</v>
      </c>
      <c r="B97" s="58" t="s">
        <v>231</v>
      </c>
      <c r="C97" s="58">
        <v>50</v>
      </c>
      <c r="D97" s="58" t="s">
        <v>187</v>
      </c>
    </row>
    <row r="98" spans="1:4" ht="14.4" x14ac:dyDescent="0.3">
      <c r="A98" s="58" t="s">
        <v>232</v>
      </c>
      <c r="B98" s="58" t="s">
        <v>233</v>
      </c>
      <c r="C98" s="58">
        <v>50</v>
      </c>
      <c r="D98" s="58" t="s">
        <v>187</v>
      </c>
    </row>
    <row r="99" spans="1:4" ht="14.4" x14ac:dyDescent="0.3">
      <c r="A99" s="58" t="s">
        <v>234</v>
      </c>
      <c r="B99" s="58" t="s">
        <v>235</v>
      </c>
      <c r="C99" s="58">
        <v>50</v>
      </c>
      <c r="D99" s="58" t="s">
        <v>187</v>
      </c>
    </row>
    <row r="100" spans="1:4" ht="14.4" x14ac:dyDescent="0.3">
      <c r="A100" s="58" t="s">
        <v>236</v>
      </c>
      <c r="B100" s="58" t="s">
        <v>237</v>
      </c>
      <c r="C100" s="58">
        <v>50</v>
      </c>
      <c r="D100" s="58" t="s">
        <v>187</v>
      </c>
    </row>
    <row r="101" spans="1:4" ht="14.4" x14ac:dyDescent="0.3">
      <c r="A101" s="58" t="s">
        <v>238</v>
      </c>
      <c r="B101" s="58" t="s">
        <v>239</v>
      </c>
      <c r="C101" s="58">
        <v>100</v>
      </c>
      <c r="D101" s="58" t="s">
        <v>187</v>
      </c>
    </row>
    <row r="102" spans="1:4" ht="14.4" x14ac:dyDescent="0.3">
      <c r="A102" s="58" t="s">
        <v>240</v>
      </c>
      <c r="B102" s="58" t="s">
        <v>241</v>
      </c>
      <c r="C102" s="58">
        <v>50</v>
      </c>
      <c r="D102" s="58" t="s">
        <v>187</v>
      </c>
    </row>
    <row r="103" spans="1:4" ht="14.4" x14ac:dyDescent="0.3">
      <c r="A103" s="58" t="s">
        <v>242</v>
      </c>
      <c r="B103" s="58" t="s">
        <v>243</v>
      </c>
      <c r="C103" s="58">
        <v>0</v>
      </c>
      <c r="D103" s="58" t="s">
        <v>187</v>
      </c>
    </row>
    <row r="104" spans="1:4" ht="14.4" x14ac:dyDescent="0.3">
      <c r="A104" s="58" t="s">
        <v>244</v>
      </c>
      <c r="B104" s="58" t="s">
        <v>245</v>
      </c>
      <c r="C104" s="58">
        <v>50</v>
      </c>
      <c r="D104" s="58" t="s">
        <v>187</v>
      </c>
    </row>
    <row r="105" spans="1:4" ht="14.4" x14ac:dyDescent="0.3">
      <c r="A105" s="58" t="s">
        <v>246</v>
      </c>
      <c r="B105" s="58" t="s">
        <v>247</v>
      </c>
      <c r="C105" s="58">
        <v>50</v>
      </c>
      <c r="D105" s="58" t="s">
        <v>187</v>
      </c>
    </row>
    <row r="106" spans="1:4" ht="14.4" x14ac:dyDescent="0.3">
      <c r="A106" s="58" t="s">
        <v>248</v>
      </c>
      <c r="B106" s="58" t="s">
        <v>249</v>
      </c>
      <c r="C106" s="58">
        <v>50</v>
      </c>
      <c r="D106" s="58" t="s">
        <v>187</v>
      </c>
    </row>
    <row r="107" spans="1:4" ht="14.4" x14ac:dyDescent="0.3">
      <c r="A107" s="58" t="s">
        <v>250</v>
      </c>
      <c r="B107" s="58" t="s">
        <v>251</v>
      </c>
      <c r="C107" s="58">
        <v>100</v>
      </c>
      <c r="D107" s="58" t="s">
        <v>187</v>
      </c>
    </row>
    <row r="108" spans="1:4" ht="14.4" x14ac:dyDescent="0.3">
      <c r="A108" s="58" t="s">
        <v>252</v>
      </c>
      <c r="B108" s="58" t="s">
        <v>253</v>
      </c>
      <c r="C108" s="58">
        <v>50</v>
      </c>
      <c r="D108" s="58" t="s">
        <v>187</v>
      </c>
    </row>
    <row r="109" spans="1:4" ht="14.4" x14ac:dyDescent="0.3">
      <c r="A109" s="58" t="s">
        <v>254</v>
      </c>
      <c r="B109" s="58" t="s">
        <v>255</v>
      </c>
      <c r="C109" s="58">
        <v>0</v>
      </c>
      <c r="D109" s="58" t="s">
        <v>187</v>
      </c>
    </row>
    <row r="110" spans="1:4" ht="14.4" x14ac:dyDescent="0.3">
      <c r="A110" s="58" t="s">
        <v>256</v>
      </c>
      <c r="B110" s="58" t="s">
        <v>257</v>
      </c>
      <c r="C110" s="58">
        <v>50</v>
      </c>
      <c r="D110" s="58" t="s">
        <v>187</v>
      </c>
    </row>
    <row r="111" spans="1:4" ht="14.4" x14ac:dyDescent="0.3">
      <c r="A111" s="58" t="s">
        <v>258</v>
      </c>
      <c r="B111" s="58" t="s">
        <v>259</v>
      </c>
      <c r="C111" s="58">
        <v>50</v>
      </c>
      <c r="D111" s="58" t="s">
        <v>187</v>
      </c>
    </row>
    <row r="112" spans="1:4" ht="14.4" x14ac:dyDescent="0.3">
      <c r="A112" s="58" t="s">
        <v>260</v>
      </c>
      <c r="B112" s="58" t="s">
        <v>261</v>
      </c>
      <c r="C112" s="58">
        <v>50</v>
      </c>
      <c r="D112" s="58" t="s">
        <v>187</v>
      </c>
    </row>
    <row r="113" spans="1:4" ht="14.4" x14ac:dyDescent="0.3">
      <c r="A113" s="58" t="s">
        <v>262</v>
      </c>
      <c r="B113" s="58" t="s">
        <v>263</v>
      </c>
      <c r="C113" s="58">
        <v>50</v>
      </c>
      <c r="D113" s="58" t="s">
        <v>187</v>
      </c>
    </row>
    <row r="114" spans="1:4" ht="14.4" x14ac:dyDescent="0.3">
      <c r="A114" s="58" t="s">
        <v>264</v>
      </c>
      <c r="B114" s="58" t="s">
        <v>265</v>
      </c>
      <c r="C114" s="58">
        <v>200</v>
      </c>
      <c r="D114" s="58" t="s">
        <v>187</v>
      </c>
    </row>
    <row r="115" spans="1:4" ht="14.4" x14ac:dyDescent="0.3">
      <c r="A115" s="58" t="s">
        <v>266</v>
      </c>
      <c r="B115" s="58" t="s">
        <v>267</v>
      </c>
      <c r="C115" s="58">
        <v>50</v>
      </c>
      <c r="D115" s="58" t="s">
        <v>187</v>
      </c>
    </row>
    <row r="116" spans="1:4" ht="14.4" x14ac:dyDescent="0.3">
      <c r="A116" s="58" t="s">
        <v>268</v>
      </c>
      <c r="B116" s="58" t="s">
        <v>269</v>
      </c>
      <c r="C116" s="58">
        <v>50</v>
      </c>
      <c r="D116" s="58" t="s">
        <v>187</v>
      </c>
    </row>
    <row r="117" spans="1:4" ht="14.4" x14ac:dyDescent="0.3">
      <c r="A117" s="58" t="s">
        <v>270</v>
      </c>
      <c r="B117" s="58" t="s">
        <v>271</v>
      </c>
      <c r="C117" s="58">
        <v>50</v>
      </c>
      <c r="D117" s="58" t="s">
        <v>187</v>
      </c>
    </row>
    <row r="118" spans="1:4" ht="14.4" x14ac:dyDescent="0.3">
      <c r="A118" s="58" t="s">
        <v>272</v>
      </c>
      <c r="B118" s="58" t="s">
        <v>273</v>
      </c>
      <c r="C118" s="58">
        <v>50</v>
      </c>
      <c r="D118" s="58" t="s">
        <v>187</v>
      </c>
    </row>
    <row r="119" spans="1:4" ht="14.4" x14ac:dyDescent="0.3">
      <c r="A119" s="58" t="s">
        <v>274</v>
      </c>
      <c r="B119" s="58" t="s">
        <v>275</v>
      </c>
      <c r="C119" s="58">
        <v>50</v>
      </c>
      <c r="D119" s="58" t="s">
        <v>187</v>
      </c>
    </row>
    <row r="120" spans="1:4" ht="14.4" x14ac:dyDescent="0.3">
      <c r="A120" s="58" t="s">
        <v>276</v>
      </c>
      <c r="B120" s="58" t="s">
        <v>277</v>
      </c>
      <c r="C120" s="58">
        <v>0</v>
      </c>
      <c r="D120" s="58" t="s">
        <v>187</v>
      </c>
    </row>
    <row r="121" spans="1:4" ht="14.4" x14ac:dyDescent="0.3">
      <c r="A121" s="58" t="s">
        <v>278</v>
      </c>
      <c r="B121" s="58" t="s">
        <v>279</v>
      </c>
      <c r="C121" s="58">
        <v>0</v>
      </c>
      <c r="D121" s="58" t="s">
        <v>187</v>
      </c>
    </row>
    <row r="122" spans="1:4" ht="14.4" x14ac:dyDescent="0.3">
      <c r="A122" s="58" t="s">
        <v>280</v>
      </c>
      <c r="B122" s="58" t="s">
        <v>281</v>
      </c>
      <c r="C122" s="58">
        <v>24</v>
      </c>
      <c r="D122" s="58" t="s">
        <v>187</v>
      </c>
    </row>
    <row r="123" spans="1:4" ht="14.4" x14ac:dyDescent="0.3">
      <c r="A123" s="58" t="s">
        <v>282</v>
      </c>
      <c r="B123" s="58" t="s">
        <v>283</v>
      </c>
      <c r="C123" s="58">
        <v>24</v>
      </c>
      <c r="D123" s="58" t="s">
        <v>187</v>
      </c>
    </row>
    <row r="124" spans="1:4" ht="14.4" x14ac:dyDescent="0.3">
      <c r="A124" s="58" t="s">
        <v>284</v>
      </c>
      <c r="B124" s="58" t="s">
        <v>285</v>
      </c>
      <c r="C124" s="58">
        <v>0</v>
      </c>
      <c r="D124" s="58" t="s">
        <v>175</v>
      </c>
    </row>
    <row r="125" spans="1:4" ht="14.4" x14ac:dyDescent="0.3">
      <c r="A125" s="58" t="s">
        <v>286</v>
      </c>
      <c r="B125" s="58" t="s">
        <v>287</v>
      </c>
      <c r="C125" s="58">
        <v>0</v>
      </c>
      <c r="D125" s="58" t="s">
        <v>172</v>
      </c>
    </row>
    <row r="126" spans="1:4" ht="14.4" x14ac:dyDescent="0.3">
      <c r="A126" s="58" t="s">
        <v>288</v>
      </c>
      <c r="B126" s="58" t="s">
        <v>289</v>
      </c>
      <c r="C126" s="58">
        <v>0</v>
      </c>
      <c r="D126" s="58" t="s">
        <v>172</v>
      </c>
    </row>
    <row r="127" spans="1:4" ht="14.4" x14ac:dyDescent="0.3">
      <c r="A127" s="58" t="s">
        <v>290</v>
      </c>
      <c r="B127" s="58" t="s">
        <v>291</v>
      </c>
      <c r="C127" s="58">
        <v>0</v>
      </c>
      <c r="D127" s="58" t="s">
        <v>175</v>
      </c>
    </row>
    <row r="128" spans="1:4" ht="14.4" x14ac:dyDescent="0.3">
      <c r="A128" s="58" t="s">
        <v>292</v>
      </c>
      <c r="B128" s="58" t="s">
        <v>293</v>
      </c>
      <c r="C128" s="58">
        <v>0</v>
      </c>
      <c r="D128" s="58" t="s">
        <v>172</v>
      </c>
    </row>
    <row r="129" spans="1:4" ht="14.4" x14ac:dyDescent="0.3">
      <c r="A129" s="58" t="s">
        <v>294</v>
      </c>
      <c r="B129" s="58" t="s">
        <v>295</v>
      </c>
      <c r="C129" s="58">
        <v>0</v>
      </c>
      <c r="D129" s="58" t="s">
        <v>172</v>
      </c>
    </row>
    <row r="130" spans="1:4" ht="14.4" x14ac:dyDescent="0.3">
      <c r="A130" s="58" t="s">
        <v>296</v>
      </c>
      <c r="B130" s="58" t="s">
        <v>297</v>
      </c>
      <c r="C130" s="58">
        <v>0</v>
      </c>
      <c r="D130" s="58" t="s">
        <v>172</v>
      </c>
    </row>
    <row r="131" spans="1:4" ht="14.4" x14ac:dyDescent="0.3">
      <c r="A131" s="58" t="s">
        <v>298</v>
      </c>
      <c r="B131" s="58" t="s">
        <v>299</v>
      </c>
      <c r="C131" s="58">
        <v>0</v>
      </c>
      <c r="D131" s="58" t="s">
        <v>172</v>
      </c>
    </row>
    <row r="132" spans="1:4" ht="14.4" x14ac:dyDescent="0.3">
      <c r="A132" s="58" t="s">
        <v>300</v>
      </c>
      <c r="B132" s="58" t="s">
        <v>301</v>
      </c>
      <c r="C132" s="58">
        <v>0</v>
      </c>
      <c r="D132" s="58" t="s">
        <v>172</v>
      </c>
    </row>
    <row r="133" spans="1:4" ht="14.4" x14ac:dyDescent="0.3">
      <c r="A133" s="58" t="s">
        <v>302</v>
      </c>
      <c r="B133" s="58" t="s">
        <v>303</v>
      </c>
      <c r="C133" s="58">
        <v>0</v>
      </c>
      <c r="D133" s="58" t="s">
        <v>172</v>
      </c>
    </row>
    <row r="134" spans="1:4" ht="14.4" x14ac:dyDescent="0.3">
      <c r="A134" s="58" t="s">
        <v>304</v>
      </c>
      <c r="B134" s="58" t="s">
        <v>305</v>
      </c>
      <c r="C134" s="58">
        <v>0</v>
      </c>
      <c r="D134" s="58" t="s">
        <v>172</v>
      </c>
    </row>
    <row r="135" spans="1:4" ht="14.4" x14ac:dyDescent="0.3">
      <c r="A135" s="58" t="s">
        <v>306</v>
      </c>
      <c r="B135" s="58" t="s">
        <v>307</v>
      </c>
      <c r="C135" s="58">
        <v>24</v>
      </c>
      <c r="D135" s="58" t="s">
        <v>187</v>
      </c>
    </row>
    <row r="136" spans="1:4" ht="14.4" x14ac:dyDescent="0.3">
      <c r="A136" s="58" t="s">
        <v>308</v>
      </c>
      <c r="B136" s="58" t="s">
        <v>309</v>
      </c>
      <c r="C136" s="58">
        <v>48</v>
      </c>
      <c r="D136" s="58" t="s">
        <v>187</v>
      </c>
    </row>
    <row r="137" spans="1:4" ht="14.4" x14ac:dyDescent="0.3">
      <c r="A137" s="58" t="s">
        <v>310</v>
      </c>
      <c r="B137" s="58" t="s">
        <v>311</v>
      </c>
      <c r="C137" s="58">
        <v>48</v>
      </c>
      <c r="D137" s="58" t="s">
        <v>187</v>
      </c>
    </row>
    <row r="138" spans="1:4" ht="14.4" x14ac:dyDescent="0.3">
      <c r="A138" s="58" t="s">
        <v>312</v>
      </c>
      <c r="B138" s="58" t="s">
        <v>313</v>
      </c>
      <c r="C138" s="58">
        <v>48</v>
      </c>
      <c r="D138" s="58" t="s">
        <v>187</v>
      </c>
    </row>
    <row r="139" spans="1:4" ht="14.4" x14ac:dyDescent="0.3">
      <c r="A139" s="58" t="s">
        <v>314</v>
      </c>
      <c r="B139" s="58" t="s">
        <v>315</v>
      </c>
      <c r="C139" s="58">
        <v>24</v>
      </c>
      <c r="D139" s="58" t="s">
        <v>187</v>
      </c>
    </row>
    <row r="140" spans="1:4" ht="14.4" x14ac:dyDescent="0.3">
      <c r="A140" s="58" t="s">
        <v>316</v>
      </c>
      <c r="B140" s="58" t="s">
        <v>317</v>
      </c>
      <c r="C140" s="58">
        <v>24</v>
      </c>
      <c r="D140" s="58" t="s">
        <v>187</v>
      </c>
    </row>
    <row r="141" spans="1:4" ht="14.4" x14ac:dyDescent="0.3">
      <c r="A141" s="58" t="s">
        <v>318</v>
      </c>
      <c r="B141" s="58" t="s">
        <v>319</v>
      </c>
      <c r="C141" s="58">
        <v>24</v>
      </c>
      <c r="D141" s="58" t="s">
        <v>187</v>
      </c>
    </row>
    <row r="142" spans="1:4" ht="14.4" x14ac:dyDescent="0.3">
      <c r="A142" s="58" t="s">
        <v>320</v>
      </c>
      <c r="B142" s="58" t="s">
        <v>321</v>
      </c>
      <c r="C142" s="58">
        <v>24</v>
      </c>
      <c r="D142" s="58" t="s">
        <v>187</v>
      </c>
    </row>
    <row r="143" spans="1:4" ht="14.4" x14ac:dyDescent="0.3">
      <c r="A143" s="58" t="s">
        <v>322</v>
      </c>
      <c r="B143" s="58" t="s">
        <v>323</v>
      </c>
      <c r="C143" s="58">
        <v>24</v>
      </c>
      <c r="D143" s="58" t="s">
        <v>187</v>
      </c>
    </row>
    <row r="144" spans="1:4" ht="14.4" x14ac:dyDescent="0.3">
      <c r="A144" s="58" t="s">
        <v>324</v>
      </c>
      <c r="B144" s="58" t="s">
        <v>325</v>
      </c>
      <c r="C144" s="58">
        <v>6</v>
      </c>
      <c r="D144" s="58" t="s">
        <v>187</v>
      </c>
    </row>
    <row r="145" spans="1:4" ht="14.4" x14ac:dyDescent="0.3">
      <c r="A145" s="58" t="s">
        <v>326</v>
      </c>
      <c r="B145" s="58" t="s">
        <v>327</v>
      </c>
      <c r="C145" s="58">
        <v>24</v>
      </c>
      <c r="D145" s="58" t="s">
        <v>187</v>
      </c>
    </row>
    <row r="146" spans="1:4" ht="14.4" x14ac:dyDescent="0.3">
      <c r="A146" s="58" t="s">
        <v>328</v>
      </c>
      <c r="B146" s="58" t="s">
        <v>329</v>
      </c>
      <c r="C146" s="58">
        <v>24</v>
      </c>
      <c r="D146" s="58" t="s">
        <v>187</v>
      </c>
    </row>
    <row r="147" spans="1:4" ht="14.4" x14ac:dyDescent="0.3">
      <c r="A147" s="58" t="s">
        <v>330</v>
      </c>
      <c r="B147" s="58" t="s">
        <v>331</v>
      </c>
      <c r="C147" s="58">
        <v>12</v>
      </c>
      <c r="D147" s="58" t="s">
        <v>187</v>
      </c>
    </row>
    <row r="148" spans="1:4" ht="14.4" x14ac:dyDescent="0.3">
      <c r="A148" s="58" t="s">
        <v>332</v>
      </c>
      <c r="B148" s="58" t="s">
        <v>333</v>
      </c>
      <c r="C148" s="58">
        <v>24</v>
      </c>
      <c r="D148" s="58" t="s">
        <v>187</v>
      </c>
    </row>
    <row r="149" spans="1:4" ht="14.4" x14ac:dyDescent="0.3">
      <c r="A149" s="58" t="s">
        <v>334</v>
      </c>
      <c r="B149" s="58" t="s">
        <v>335</v>
      </c>
      <c r="C149" s="58">
        <v>24</v>
      </c>
      <c r="D149" s="58" t="s">
        <v>187</v>
      </c>
    </row>
    <row r="150" spans="1:4" ht="14.4" x14ac:dyDescent="0.3">
      <c r="A150" s="58" t="s">
        <v>336</v>
      </c>
      <c r="B150" s="58" t="s">
        <v>337</v>
      </c>
      <c r="C150" s="58">
        <v>24</v>
      </c>
      <c r="D150" s="58" t="s">
        <v>187</v>
      </c>
    </row>
    <row r="151" spans="1:4" ht="14.4" x14ac:dyDescent="0.3">
      <c r="A151" s="58" t="s">
        <v>338</v>
      </c>
      <c r="B151" s="58" t="s">
        <v>339</v>
      </c>
      <c r="C151" s="58">
        <v>6</v>
      </c>
      <c r="D151" s="58" t="s">
        <v>187</v>
      </c>
    </row>
    <row r="152" spans="1:4" ht="14.4" x14ac:dyDescent="0.3">
      <c r="A152" s="58" t="s">
        <v>340</v>
      </c>
      <c r="B152" s="58" t="s">
        <v>341</v>
      </c>
      <c r="C152" s="58">
        <v>24</v>
      </c>
      <c r="D152" s="58" t="s">
        <v>187</v>
      </c>
    </row>
    <row r="153" spans="1:4" ht="14.4" x14ac:dyDescent="0.3">
      <c r="A153" s="58" t="s">
        <v>342</v>
      </c>
      <c r="B153" s="58" t="s">
        <v>343</v>
      </c>
      <c r="C153" s="58">
        <v>24</v>
      </c>
      <c r="D153" s="58" t="s">
        <v>187</v>
      </c>
    </row>
    <row r="154" spans="1:4" ht="14.4" x14ac:dyDescent="0.3">
      <c r="A154" s="58" t="s">
        <v>344</v>
      </c>
      <c r="B154" s="58" t="s">
        <v>345</v>
      </c>
      <c r="C154" s="58">
        <v>24</v>
      </c>
      <c r="D154" s="58" t="s">
        <v>187</v>
      </c>
    </row>
    <row r="155" spans="1:4" ht="14.4" x14ac:dyDescent="0.3">
      <c r="A155" s="58" t="s">
        <v>346</v>
      </c>
      <c r="B155" s="58" t="s">
        <v>347</v>
      </c>
      <c r="C155" s="58">
        <v>24</v>
      </c>
      <c r="D155" s="58" t="s">
        <v>187</v>
      </c>
    </row>
    <row r="156" spans="1:4" ht="14.4" x14ac:dyDescent="0.3">
      <c r="A156" s="58" t="s">
        <v>348</v>
      </c>
      <c r="B156" s="58" t="s">
        <v>349</v>
      </c>
      <c r="C156" s="58">
        <v>6</v>
      </c>
      <c r="D156" s="58" t="s">
        <v>187</v>
      </c>
    </row>
    <row r="157" spans="1:4" ht="14.4" x14ac:dyDescent="0.3">
      <c r="A157" s="58" t="s">
        <v>350</v>
      </c>
      <c r="B157" s="58" t="s">
        <v>351</v>
      </c>
      <c r="C157" s="58">
        <v>24</v>
      </c>
      <c r="D157" s="58" t="s">
        <v>187</v>
      </c>
    </row>
    <row r="158" spans="1:4" ht="14.4" x14ac:dyDescent="0.3">
      <c r="A158" s="58" t="s">
        <v>352</v>
      </c>
      <c r="B158" s="58" t="s">
        <v>353</v>
      </c>
      <c r="C158" s="58">
        <v>48</v>
      </c>
      <c r="D158" s="58" t="s">
        <v>187</v>
      </c>
    </row>
    <row r="159" spans="1:4" ht="14.4" x14ac:dyDescent="0.3">
      <c r="A159" s="58" t="s">
        <v>354</v>
      </c>
      <c r="B159" s="58" t="s">
        <v>355</v>
      </c>
      <c r="C159" s="58">
        <v>0</v>
      </c>
      <c r="D159" s="58" t="s">
        <v>172</v>
      </c>
    </row>
    <row r="160" spans="1:4" ht="14.4" x14ac:dyDescent="0.3">
      <c r="A160" s="58" t="s">
        <v>356</v>
      </c>
      <c r="B160" s="58" t="s">
        <v>357</v>
      </c>
      <c r="C160" s="58">
        <v>0</v>
      </c>
      <c r="D160" s="58" t="s">
        <v>175</v>
      </c>
    </row>
    <row r="161" spans="1:4" ht="14.4" x14ac:dyDescent="0.3">
      <c r="A161" s="58" t="s">
        <v>358</v>
      </c>
      <c r="B161" s="58" t="s">
        <v>359</v>
      </c>
      <c r="C161" s="58">
        <v>0</v>
      </c>
      <c r="D161" s="58" t="s">
        <v>172</v>
      </c>
    </row>
    <row r="162" spans="1:4" ht="14.4" x14ac:dyDescent="0.3">
      <c r="A162" s="58" t="s">
        <v>360</v>
      </c>
      <c r="B162" s="58" t="s">
        <v>361</v>
      </c>
      <c r="C162" s="58">
        <v>0</v>
      </c>
      <c r="D162" s="58" t="s">
        <v>175</v>
      </c>
    </row>
    <row r="163" spans="1:4" ht="14.4" x14ac:dyDescent="0.3">
      <c r="A163" s="58" t="s">
        <v>362</v>
      </c>
      <c r="B163" s="58" t="s">
        <v>363</v>
      </c>
      <c r="C163" s="58">
        <v>0</v>
      </c>
      <c r="D163" s="58" t="s">
        <v>172</v>
      </c>
    </row>
    <row r="164" spans="1:4" ht="14.4" x14ac:dyDescent="0.3">
      <c r="A164" s="58" t="s">
        <v>364</v>
      </c>
      <c r="B164" s="58" t="s">
        <v>365</v>
      </c>
      <c r="C164" s="58">
        <v>0</v>
      </c>
      <c r="D164" s="58" t="s">
        <v>175</v>
      </c>
    </row>
    <row r="165" spans="1:4" ht="14.4" x14ac:dyDescent="0.3">
      <c r="A165" s="58" t="s">
        <v>366</v>
      </c>
      <c r="B165" s="58" t="s">
        <v>367</v>
      </c>
      <c r="C165" s="58">
        <v>0</v>
      </c>
      <c r="D165" s="58" t="s">
        <v>172</v>
      </c>
    </row>
    <row r="166" spans="1:4" ht="14.4" x14ac:dyDescent="0.3">
      <c r="A166" s="58" t="s">
        <v>368</v>
      </c>
      <c r="B166" s="58" t="s">
        <v>369</v>
      </c>
      <c r="C166" s="58">
        <v>0</v>
      </c>
      <c r="D166" s="58" t="s">
        <v>172</v>
      </c>
    </row>
    <row r="167" spans="1:4" ht="14.4" x14ac:dyDescent="0.3">
      <c r="A167" s="58" t="s">
        <v>370</v>
      </c>
      <c r="B167" s="58" t="s">
        <v>371</v>
      </c>
      <c r="C167" s="58">
        <v>0</v>
      </c>
      <c r="D167" s="58" t="s">
        <v>175</v>
      </c>
    </row>
    <row r="168" spans="1:4" ht="14.4" x14ac:dyDescent="0.3">
      <c r="A168" s="58" t="s">
        <v>372</v>
      </c>
      <c r="B168" s="58" t="s">
        <v>373</v>
      </c>
      <c r="C168" s="58">
        <v>0</v>
      </c>
      <c r="D168" s="58" t="s">
        <v>187</v>
      </c>
    </row>
    <row r="169" spans="1:4" ht="14.4" x14ac:dyDescent="0.3">
      <c r="A169" s="58" t="s">
        <v>374</v>
      </c>
      <c r="B169" s="58" t="s">
        <v>375</v>
      </c>
      <c r="C169" s="58">
        <v>0</v>
      </c>
      <c r="D169" s="58" t="s">
        <v>187</v>
      </c>
    </row>
    <row r="170" spans="1:4" ht="14.4" x14ac:dyDescent="0.3">
      <c r="A170" s="58" t="s">
        <v>376</v>
      </c>
      <c r="B170" s="58" t="s">
        <v>377</v>
      </c>
      <c r="C170" s="58">
        <v>0</v>
      </c>
      <c r="D170" s="58" t="s">
        <v>187</v>
      </c>
    </row>
    <row r="171" spans="1:4" ht="14.4" x14ac:dyDescent="0.3">
      <c r="A171" s="58" t="s">
        <v>378</v>
      </c>
      <c r="B171" s="58" t="s">
        <v>379</v>
      </c>
      <c r="C171" s="58">
        <v>0</v>
      </c>
      <c r="D171" s="58" t="s">
        <v>187</v>
      </c>
    </row>
    <row r="172" spans="1:4" ht="14.4" x14ac:dyDescent="0.3">
      <c r="A172" s="58" t="s">
        <v>380</v>
      </c>
      <c r="B172" s="58" t="s">
        <v>381</v>
      </c>
      <c r="C172" s="58">
        <v>0</v>
      </c>
      <c r="D172" s="58" t="s">
        <v>187</v>
      </c>
    </row>
    <row r="173" spans="1:4" ht="14.4" x14ac:dyDescent="0.3">
      <c r="A173" s="58" t="s">
        <v>382</v>
      </c>
      <c r="B173" s="58" t="s">
        <v>383</v>
      </c>
      <c r="C173" s="58">
        <v>0</v>
      </c>
      <c r="D173" s="58" t="s">
        <v>187</v>
      </c>
    </row>
    <row r="174" spans="1:4" ht="14.4" x14ac:dyDescent="0.3">
      <c r="A174" s="58" t="s">
        <v>384</v>
      </c>
      <c r="B174" s="58" t="s">
        <v>385</v>
      </c>
      <c r="C174" s="58">
        <v>0</v>
      </c>
      <c r="D174" s="58" t="s">
        <v>187</v>
      </c>
    </row>
    <row r="175" spans="1:4" ht="14.4" x14ac:dyDescent="0.3">
      <c r="A175" s="58" t="s">
        <v>386</v>
      </c>
      <c r="B175" s="58" t="s">
        <v>387</v>
      </c>
      <c r="C175" s="58">
        <v>0</v>
      </c>
      <c r="D175" s="58" t="s">
        <v>187</v>
      </c>
    </row>
    <row r="176" spans="1:4" ht="14.4" x14ac:dyDescent="0.3">
      <c r="A176" s="58" t="s">
        <v>388</v>
      </c>
      <c r="B176" s="58" t="s">
        <v>389</v>
      </c>
      <c r="C176" s="58">
        <v>0</v>
      </c>
      <c r="D176" s="58" t="s">
        <v>187</v>
      </c>
    </row>
    <row r="177" spans="1:4" ht="14.4" x14ac:dyDescent="0.3">
      <c r="A177" s="58" t="s">
        <v>390</v>
      </c>
      <c r="B177" s="58" t="s">
        <v>391</v>
      </c>
      <c r="C177" s="58">
        <v>0</v>
      </c>
      <c r="D177" s="58" t="s">
        <v>187</v>
      </c>
    </row>
    <row r="178" spans="1:4" ht="14.4" x14ac:dyDescent="0.3">
      <c r="A178" s="58" t="s">
        <v>392</v>
      </c>
      <c r="B178" s="58" t="s">
        <v>393</v>
      </c>
      <c r="C178" s="58">
        <v>0</v>
      </c>
      <c r="D178" s="58" t="s">
        <v>187</v>
      </c>
    </row>
    <row r="179" spans="1:4" ht="14.4" x14ac:dyDescent="0.3">
      <c r="A179" s="58" t="s">
        <v>394</v>
      </c>
      <c r="B179" s="58" t="s">
        <v>395</v>
      </c>
      <c r="C179" s="58">
        <v>0</v>
      </c>
      <c r="D179" s="58" t="s">
        <v>187</v>
      </c>
    </row>
    <row r="180" spans="1:4" ht="14.4" x14ac:dyDescent="0.3">
      <c r="A180" s="58" t="s">
        <v>396</v>
      </c>
      <c r="B180" s="58" t="s">
        <v>397</v>
      </c>
      <c r="C180" s="58">
        <v>0</v>
      </c>
      <c r="D180" s="58" t="s">
        <v>187</v>
      </c>
    </row>
    <row r="181" spans="1:4" ht="14.4" x14ac:dyDescent="0.3">
      <c r="A181" s="58" t="s">
        <v>398</v>
      </c>
      <c r="B181" s="58" t="s">
        <v>399</v>
      </c>
      <c r="C181" s="58">
        <v>0</v>
      </c>
      <c r="D181" s="58" t="s">
        <v>187</v>
      </c>
    </row>
    <row r="182" spans="1:4" ht="14.4" x14ac:dyDescent="0.3">
      <c r="A182" s="58" t="s">
        <v>400</v>
      </c>
      <c r="B182" s="58" t="s">
        <v>401</v>
      </c>
      <c r="C182" s="58">
        <v>0</v>
      </c>
      <c r="D182" s="58" t="s">
        <v>187</v>
      </c>
    </row>
    <row r="183" spans="1:4" ht="14.4" x14ac:dyDescent="0.3">
      <c r="A183" s="58" t="s">
        <v>402</v>
      </c>
      <c r="B183" s="58" t="s">
        <v>403</v>
      </c>
      <c r="C183" s="58">
        <v>0</v>
      </c>
      <c r="D183" s="58" t="s">
        <v>187</v>
      </c>
    </row>
    <row r="184" spans="1:4" ht="14.4" x14ac:dyDescent="0.3">
      <c r="A184" s="58" t="s">
        <v>404</v>
      </c>
      <c r="B184" s="58" t="s">
        <v>405</v>
      </c>
      <c r="C184" s="58">
        <v>0</v>
      </c>
      <c r="D184" s="58" t="s">
        <v>187</v>
      </c>
    </row>
    <row r="185" spans="1:4" ht="14.4" x14ac:dyDescent="0.3">
      <c r="A185" s="58" t="s">
        <v>406</v>
      </c>
      <c r="B185" s="58" t="s">
        <v>407</v>
      </c>
      <c r="C185" s="58">
        <v>0</v>
      </c>
      <c r="D185" s="58" t="s">
        <v>187</v>
      </c>
    </row>
    <row r="186" spans="1:4" ht="14.4" x14ac:dyDescent="0.3">
      <c r="A186" s="58" t="s">
        <v>408</v>
      </c>
      <c r="B186" s="58" t="s">
        <v>409</v>
      </c>
      <c r="C186" s="58">
        <v>0</v>
      </c>
      <c r="D186" s="58" t="s">
        <v>187</v>
      </c>
    </row>
    <row r="187" spans="1:4" ht="14.4" x14ac:dyDescent="0.3">
      <c r="A187" s="58" t="s">
        <v>410</v>
      </c>
      <c r="B187" s="58" t="s">
        <v>411</v>
      </c>
      <c r="C187" s="58">
        <v>0</v>
      </c>
      <c r="D187" s="58" t="s">
        <v>187</v>
      </c>
    </row>
    <row r="188" spans="1:4" ht="14.4" x14ac:dyDescent="0.3">
      <c r="A188" s="58" t="s">
        <v>412</v>
      </c>
      <c r="B188" s="58" t="s">
        <v>413</v>
      </c>
      <c r="C188" s="58">
        <v>0</v>
      </c>
      <c r="D188" s="58" t="s">
        <v>187</v>
      </c>
    </row>
    <row r="189" spans="1:4" ht="14.4" x14ac:dyDescent="0.3">
      <c r="A189" s="58" t="s">
        <v>414</v>
      </c>
      <c r="B189" s="58" t="s">
        <v>415</v>
      </c>
      <c r="C189" s="58">
        <v>0</v>
      </c>
      <c r="D189" s="58" t="s">
        <v>187</v>
      </c>
    </row>
    <row r="190" spans="1:4" ht="14.4" x14ac:dyDescent="0.3">
      <c r="A190" s="58" t="s">
        <v>416</v>
      </c>
      <c r="B190" s="58" t="s">
        <v>417</v>
      </c>
      <c r="C190" s="58">
        <v>0</v>
      </c>
      <c r="D190" s="58" t="s">
        <v>187</v>
      </c>
    </row>
    <row r="191" spans="1:4" ht="14.4" x14ac:dyDescent="0.3">
      <c r="A191" s="58" t="s">
        <v>418</v>
      </c>
      <c r="B191" s="58" t="s">
        <v>419</v>
      </c>
      <c r="C191" s="58">
        <v>0</v>
      </c>
      <c r="D191" s="58" t="s">
        <v>187</v>
      </c>
    </row>
    <row r="192" spans="1:4" ht="14.4" x14ac:dyDescent="0.3">
      <c r="A192" s="58" t="s">
        <v>420</v>
      </c>
      <c r="B192" s="58" t="s">
        <v>421</v>
      </c>
      <c r="C192" s="58">
        <v>0</v>
      </c>
      <c r="D192" s="58" t="s">
        <v>187</v>
      </c>
    </row>
    <row r="193" spans="1:4" ht="14.4" x14ac:dyDescent="0.3">
      <c r="A193" s="58" t="s">
        <v>422</v>
      </c>
      <c r="B193" s="58" t="s">
        <v>423</v>
      </c>
      <c r="C193" s="58">
        <v>0</v>
      </c>
      <c r="D193" s="58" t="s">
        <v>187</v>
      </c>
    </row>
    <row r="194" spans="1:4" ht="14.4" x14ac:dyDescent="0.3">
      <c r="A194" s="58" t="s">
        <v>424</v>
      </c>
      <c r="B194" s="58" t="s">
        <v>425</v>
      </c>
      <c r="C194" s="58">
        <v>0</v>
      </c>
      <c r="D194" s="58" t="s">
        <v>187</v>
      </c>
    </row>
    <row r="195" spans="1:4" ht="14.4" x14ac:dyDescent="0.3">
      <c r="A195" s="58" t="s">
        <v>426</v>
      </c>
      <c r="B195" s="58" t="s">
        <v>427</v>
      </c>
      <c r="C195" s="58">
        <v>0</v>
      </c>
      <c r="D195" s="58" t="s">
        <v>187</v>
      </c>
    </row>
    <row r="196" spans="1:4" ht="14.4" x14ac:dyDescent="0.3">
      <c r="A196" s="58" t="s">
        <v>428</v>
      </c>
      <c r="B196" s="58" t="s">
        <v>429</v>
      </c>
      <c r="C196" s="58">
        <v>0</v>
      </c>
      <c r="D196" s="58" t="s">
        <v>187</v>
      </c>
    </row>
    <row r="197" spans="1:4" ht="14.4" x14ac:dyDescent="0.3">
      <c r="A197" s="58" t="s">
        <v>430</v>
      </c>
      <c r="B197" s="58" t="s">
        <v>431</v>
      </c>
      <c r="C197" s="58">
        <v>0</v>
      </c>
      <c r="D197" s="58" t="s">
        <v>187</v>
      </c>
    </row>
    <row r="198" spans="1:4" ht="14.4" x14ac:dyDescent="0.3">
      <c r="A198" s="58" t="s">
        <v>432</v>
      </c>
      <c r="B198" s="58" t="s">
        <v>433</v>
      </c>
      <c r="C198" s="58">
        <v>0</v>
      </c>
      <c r="D198" s="58" t="s">
        <v>187</v>
      </c>
    </row>
    <row r="199" spans="1:4" ht="14.4" x14ac:dyDescent="0.3">
      <c r="A199" s="58" t="s">
        <v>434</v>
      </c>
      <c r="B199" s="58" t="s">
        <v>435</v>
      </c>
      <c r="C199" s="58">
        <v>0</v>
      </c>
      <c r="D199" s="58" t="s">
        <v>187</v>
      </c>
    </row>
    <row r="200" spans="1:4" ht="14.4" x14ac:dyDescent="0.3">
      <c r="A200" s="58" t="s">
        <v>436</v>
      </c>
      <c r="B200" s="58" t="s">
        <v>437</v>
      </c>
      <c r="C200" s="58">
        <v>0</v>
      </c>
      <c r="D200" s="58" t="s">
        <v>187</v>
      </c>
    </row>
    <row r="201" spans="1:4" ht="14.4" x14ac:dyDescent="0.3">
      <c r="A201" s="58" t="s">
        <v>438</v>
      </c>
      <c r="B201" s="58" t="s">
        <v>439</v>
      </c>
      <c r="C201" s="58">
        <v>0</v>
      </c>
      <c r="D201" s="58" t="s">
        <v>187</v>
      </c>
    </row>
    <row r="202" spans="1:4" ht="14.4" x14ac:dyDescent="0.3">
      <c r="A202" s="58" t="s">
        <v>440</v>
      </c>
      <c r="B202" s="58" t="s">
        <v>441</v>
      </c>
      <c r="C202" s="58">
        <v>0</v>
      </c>
      <c r="D202" s="58" t="s">
        <v>187</v>
      </c>
    </row>
    <row r="203" spans="1:4" ht="14.4" x14ac:dyDescent="0.3">
      <c r="A203" s="58" t="s">
        <v>442</v>
      </c>
      <c r="B203" s="58" t="s">
        <v>443</v>
      </c>
      <c r="C203" s="58">
        <v>0</v>
      </c>
      <c r="D203" s="58" t="s">
        <v>187</v>
      </c>
    </row>
    <row r="204" spans="1:4" ht="14.4" x14ac:dyDescent="0.3">
      <c r="A204" s="58" t="s">
        <v>444</v>
      </c>
      <c r="B204" s="58" t="s">
        <v>445</v>
      </c>
      <c r="C204" s="58">
        <v>0</v>
      </c>
      <c r="D204" s="58" t="s">
        <v>187</v>
      </c>
    </row>
    <row r="205" spans="1:4" ht="14.4" x14ac:dyDescent="0.3">
      <c r="A205" s="58" t="s">
        <v>446</v>
      </c>
      <c r="B205" s="58" t="s">
        <v>447</v>
      </c>
      <c r="C205" s="58">
        <v>0</v>
      </c>
      <c r="D205" s="58" t="s">
        <v>187</v>
      </c>
    </row>
    <row r="206" spans="1:4" ht="14.4" x14ac:dyDescent="0.3">
      <c r="A206" s="58" t="s">
        <v>448</v>
      </c>
      <c r="B206" s="58" t="s">
        <v>449</v>
      </c>
      <c r="C206" s="58">
        <v>0</v>
      </c>
      <c r="D206" s="58" t="s">
        <v>187</v>
      </c>
    </row>
    <row r="207" spans="1:4" ht="14.4" x14ac:dyDescent="0.3">
      <c r="A207" s="58" t="s">
        <v>450</v>
      </c>
      <c r="B207" s="58" t="s">
        <v>451</v>
      </c>
      <c r="C207" s="58">
        <v>0</v>
      </c>
      <c r="D207" s="58" t="s">
        <v>187</v>
      </c>
    </row>
    <row r="208" spans="1:4" ht="14.4" x14ac:dyDescent="0.3">
      <c r="A208" s="58" t="s">
        <v>452</v>
      </c>
      <c r="B208" s="58" t="s">
        <v>453</v>
      </c>
      <c r="C208" s="58">
        <v>0</v>
      </c>
      <c r="D208" s="58" t="s">
        <v>187</v>
      </c>
    </row>
    <row r="209" spans="1:4" ht="14.4" x14ac:dyDescent="0.3">
      <c r="A209" s="58" t="s">
        <v>454</v>
      </c>
      <c r="B209" s="58" t="s">
        <v>455</v>
      </c>
      <c r="C209" s="58">
        <v>0</v>
      </c>
      <c r="D209" s="58" t="s">
        <v>187</v>
      </c>
    </row>
    <row r="210" spans="1:4" ht="14.4" x14ac:dyDescent="0.3">
      <c r="A210" s="58" t="s">
        <v>456</v>
      </c>
      <c r="B210" s="58" t="s">
        <v>457</v>
      </c>
      <c r="C210" s="58">
        <v>0</v>
      </c>
      <c r="D210" s="58" t="s">
        <v>187</v>
      </c>
    </row>
    <row r="211" spans="1:4" ht="14.4" x14ac:dyDescent="0.3">
      <c r="A211" s="58" t="s">
        <v>458</v>
      </c>
      <c r="B211" s="58" t="s">
        <v>459</v>
      </c>
      <c r="C211" s="58">
        <v>0</v>
      </c>
      <c r="D211" s="58" t="s">
        <v>187</v>
      </c>
    </row>
    <row r="212" spans="1:4" ht="14.4" x14ac:dyDescent="0.3">
      <c r="A212" s="58" t="s">
        <v>460</v>
      </c>
      <c r="B212" s="58" t="s">
        <v>461</v>
      </c>
      <c r="C212" s="58">
        <v>0</v>
      </c>
      <c r="D212" s="58" t="s">
        <v>187</v>
      </c>
    </row>
    <row r="213" spans="1:4" ht="14.4" x14ac:dyDescent="0.3">
      <c r="A213" s="58" t="s">
        <v>462</v>
      </c>
      <c r="B213" s="58" t="s">
        <v>463</v>
      </c>
      <c r="C213" s="58">
        <v>0</v>
      </c>
      <c r="D213" s="58" t="s">
        <v>187</v>
      </c>
    </row>
    <row r="214" spans="1:4" ht="14.4" x14ac:dyDescent="0.3">
      <c r="A214" s="58" t="s">
        <v>464</v>
      </c>
      <c r="B214" s="58" t="s">
        <v>465</v>
      </c>
      <c r="C214" s="58">
        <v>0</v>
      </c>
      <c r="D214" s="58" t="s">
        <v>187</v>
      </c>
    </row>
    <row r="215" spans="1:4" ht="14.4" x14ac:dyDescent="0.3">
      <c r="A215" s="58" t="s">
        <v>466</v>
      </c>
      <c r="B215" s="58" t="s">
        <v>467</v>
      </c>
      <c r="C215" s="58">
        <v>0</v>
      </c>
      <c r="D215" s="58" t="s">
        <v>187</v>
      </c>
    </row>
    <row r="216" spans="1:4" ht="14.4" x14ac:dyDescent="0.3">
      <c r="A216" s="58" t="s">
        <v>468</v>
      </c>
      <c r="B216" s="58" t="s">
        <v>469</v>
      </c>
      <c r="C216" s="58">
        <v>0</v>
      </c>
      <c r="D216" s="58" t="s">
        <v>187</v>
      </c>
    </row>
    <row r="217" spans="1:4" ht="14.4" x14ac:dyDescent="0.3">
      <c r="A217" s="58" t="s">
        <v>470</v>
      </c>
      <c r="B217" s="58" t="s">
        <v>471</v>
      </c>
      <c r="C217" s="58">
        <v>0</v>
      </c>
      <c r="D217" s="58" t="s">
        <v>187</v>
      </c>
    </row>
    <row r="218" spans="1:4" ht="14.4" x14ac:dyDescent="0.3">
      <c r="A218" s="58" t="s">
        <v>472</v>
      </c>
      <c r="B218" s="58" t="s">
        <v>473</v>
      </c>
      <c r="C218" s="58">
        <v>0</v>
      </c>
      <c r="D218" s="58" t="s">
        <v>187</v>
      </c>
    </row>
    <row r="219" spans="1:4" ht="14.4" x14ac:dyDescent="0.3">
      <c r="A219" s="58" t="s">
        <v>474</v>
      </c>
      <c r="B219" s="58" t="s">
        <v>475</v>
      </c>
      <c r="C219" s="58">
        <v>0</v>
      </c>
      <c r="D219" s="58" t="s">
        <v>187</v>
      </c>
    </row>
    <row r="220" spans="1:4" ht="14.4" x14ac:dyDescent="0.3">
      <c r="A220" s="58" t="s">
        <v>476</v>
      </c>
      <c r="B220" s="58" t="s">
        <v>477</v>
      </c>
      <c r="C220" s="58">
        <v>0</v>
      </c>
      <c r="D220" s="58" t="s">
        <v>187</v>
      </c>
    </row>
    <row r="221" spans="1:4" ht="14.4" x14ac:dyDescent="0.3">
      <c r="A221" s="58" t="s">
        <v>478</v>
      </c>
      <c r="B221" s="58" t="s">
        <v>479</v>
      </c>
      <c r="C221" s="58">
        <v>0</v>
      </c>
      <c r="D221" s="58" t="s">
        <v>187</v>
      </c>
    </row>
    <row r="222" spans="1:4" ht="14.4" x14ac:dyDescent="0.3">
      <c r="A222" s="58" t="s">
        <v>480</v>
      </c>
      <c r="B222" s="58" t="s">
        <v>481</v>
      </c>
      <c r="C222" s="58">
        <v>0</v>
      </c>
      <c r="D222" s="58" t="s">
        <v>187</v>
      </c>
    </row>
    <row r="223" spans="1:4" ht="14.4" x14ac:dyDescent="0.3">
      <c r="A223" s="58" t="s">
        <v>482</v>
      </c>
      <c r="B223" s="58" t="s">
        <v>483</v>
      </c>
      <c r="C223" s="58">
        <v>0</v>
      </c>
      <c r="D223" s="58" t="s">
        <v>187</v>
      </c>
    </row>
    <row r="224" spans="1:4" ht="14.4" x14ac:dyDescent="0.3">
      <c r="A224" s="58" t="s">
        <v>484</v>
      </c>
      <c r="B224" s="58" t="s">
        <v>485</v>
      </c>
      <c r="C224" s="58">
        <v>0</v>
      </c>
      <c r="D224" s="58" t="s">
        <v>187</v>
      </c>
    </row>
    <row r="225" spans="1:4" ht="14.4" x14ac:dyDescent="0.3">
      <c r="A225" s="58" t="s">
        <v>486</v>
      </c>
      <c r="B225" s="58" t="s">
        <v>487</v>
      </c>
      <c r="C225" s="58">
        <v>0</v>
      </c>
      <c r="D225" s="58" t="s">
        <v>187</v>
      </c>
    </row>
    <row r="226" spans="1:4" ht="14.4" x14ac:dyDescent="0.3">
      <c r="A226" s="58" t="s">
        <v>488</v>
      </c>
      <c r="B226" s="58" t="s">
        <v>489</v>
      </c>
      <c r="C226" s="58">
        <v>0</v>
      </c>
      <c r="D226" s="58" t="s">
        <v>187</v>
      </c>
    </row>
    <row r="227" spans="1:4" ht="14.4" x14ac:dyDescent="0.3">
      <c r="A227" s="58" t="s">
        <v>490</v>
      </c>
      <c r="B227" s="58" t="s">
        <v>491</v>
      </c>
      <c r="C227" s="58">
        <v>0</v>
      </c>
      <c r="D227" s="58" t="s">
        <v>187</v>
      </c>
    </row>
    <row r="228" spans="1:4" ht="14.4" x14ac:dyDescent="0.3">
      <c r="A228" s="58" t="s">
        <v>492</v>
      </c>
      <c r="B228" s="58" t="s">
        <v>493</v>
      </c>
      <c r="C228" s="58">
        <v>0</v>
      </c>
      <c r="D228" s="58" t="s">
        <v>187</v>
      </c>
    </row>
    <row r="229" spans="1:4" ht="14.4" x14ac:dyDescent="0.3">
      <c r="A229" s="58" t="s">
        <v>494</v>
      </c>
      <c r="B229" s="58" t="s">
        <v>495</v>
      </c>
      <c r="C229" s="58">
        <v>0</v>
      </c>
      <c r="D229" s="58" t="s">
        <v>187</v>
      </c>
    </row>
    <row r="230" spans="1:4" ht="14.4" x14ac:dyDescent="0.3">
      <c r="A230" s="58" t="s">
        <v>496</v>
      </c>
      <c r="B230" s="58" t="s">
        <v>497</v>
      </c>
      <c r="C230" s="58">
        <v>0</v>
      </c>
      <c r="D230" s="58" t="s">
        <v>187</v>
      </c>
    </row>
    <row r="231" spans="1:4" ht="14.4" x14ac:dyDescent="0.3">
      <c r="A231" s="58" t="s">
        <v>498</v>
      </c>
      <c r="B231" s="58" t="s">
        <v>499</v>
      </c>
      <c r="C231" s="58">
        <v>0</v>
      </c>
      <c r="D231" s="58" t="s">
        <v>187</v>
      </c>
    </row>
    <row r="232" spans="1:4" ht="14.4" x14ac:dyDescent="0.3">
      <c r="A232" s="58" t="s">
        <v>500</v>
      </c>
      <c r="B232" s="58" t="s">
        <v>501</v>
      </c>
      <c r="C232" s="58">
        <v>0</v>
      </c>
      <c r="D232" s="58" t="s">
        <v>187</v>
      </c>
    </row>
    <row r="233" spans="1:4" ht="14.4" x14ac:dyDescent="0.3">
      <c r="A233" s="58" t="s">
        <v>502</v>
      </c>
      <c r="B233" s="58" t="s">
        <v>503</v>
      </c>
      <c r="C233" s="58">
        <v>0</v>
      </c>
      <c r="D233" s="58" t="s">
        <v>187</v>
      </c>
    </row>
    <row r="234" spans="1:4" ht="14.4" x14ac:dyDescent="0.3">
      <c r="A234" s="58" t="s">
        <v>504</v>
      </c>
      <c r="B234" s="58" t="s">
        <v>505</v>
      </c>
      <c r="C234" s="58">
        <v>0</v>
      </c>
      <c r="D234" s="58" t="s">
        <v>187</v>
      </c>
    </row>
    <row r="235" spans="1:4" ht="14.4" x14ac:dyDescent="0.3">
      <c r="A235" s="58" t="s">
        <v>506</v>
      </c>
      <c r="B235" s="58" t="s">
        <v>507</v>
      </c>
      <c r="C235" s="58">
        <v>0</v>
      </c>
      <c r="D235" s="58" t="s">
        <v>187</v>
      </c>
    </row>
    <row r="236" spans="1:4" ht="14.4" x14ac:dyDescent="0.3">
      <c r="A236" s="58" t="s">
        <v>508</v>
      </c>
      <c r="B236" s="58" t="s">
        <v>509</v>
      </c>
      <c r="C236" s="58">
        <v>0</v>
      </c>
      <c r="D236" s="58" t="s">
        <v>187</v>
      </c>
    </row>
    <row r="237" spans="1:4" ht="14.4" x14ac:dyDescent="0.3">
      <c r="A237" s="58" t="s">
        <v>510</v>
      </c>
      <c r="B237" s="58" t="s">
        <v>511</v>
      </c>
      <c r="C237" s="58">
        <v>0</v>
      </c>
      <c r="D237" s="58" t="s">
        <v>187</v>
      </c>
    </row>
    <row r="238" spans="1:4" ht="14.4" x14ac:dyDescent="0.3">
      <c r="A238" s="58" t="s">
        <v>512</v>
      </c>
      <c r="B238" s="58" t="s">
        <v>513</v>
      </c>
      <c r="C238" s="58">
        <v>0</v>
      </c>
      <c r="D238" s="58" t="s">
        <v>187</v>
      </c>
    </row>
    <row r="239" spans="1:4" ht="14.4" x14ac:dyDescent="0.3">
      <c r="A239" s="58" t="s">
        <v>514</v>
      </c>
      <c r="B239" s="58" t="s">
        <v>515</v>
      </c>
      <c r="C239" s="58">
        <v>0</v>
      </c>
      <c r="D239" s="58" t="s">
        <v>187</v>
      </c>
    </row>
    <row r="240" spans="1:4" ht="14.4" x14ac:dyDescent="0.3">
      <c r="A240" s="58" t="s">
        <v>516</v>
      </c>
      <c r="B240" s="58" t="s">
        <v>517</v>
      </c>
      <c r="C240" s="58">
        <v>0</v>
      </c>
      <c r="D240" s="58" t="s">
        <v>187</v>
      </c>
    </row>
    <row r="241" spans="1:4" ht="14.4" x14ac:dyDescent="0.3">
      <c r="A241" s="58" t="s">
        <v>518</v>
      </c>
      <c r="B241" s="58" t="s">
        <v>519</v>
      </c>
      <c r="C241" s="58">
        <v>0</v>
      </c>
      <c r="D241" s="58" t="s">
        <v>187</v>
      </c>
    </row>
    <row r="242" spans="1:4" ht="14.4" x14ac:dyDescent="0.3">
      <c r="A242" s="58" t="s">
        <v>520</v>
      </c>
      <c r="B242" s="58" t="s">
        <v>521</v>
      </c>
      <c r="C242" s="58">
        <v>0</v>
      </c>
      <c r="D242" s="58" t="s">
        <v>187</v>
      </c>
    </row>
    <row r="243" spans="1:4" ht="14.4" x14ac:dyDescent="0.3">
      <c r="A243" s="58" t="s">
        <v>522</v>
      </c>
      <c r="B243" s="58" t="s">
        <v>523</v>
      </c>
      <c r="C243" s="58">
        <v>0</v>
      </c>
      <c r="D243" s="58" t="s">
        <v>187</v>
      </c>
    </row>
    <row r="244" spans="1:4" ht="14.4" x14ac:dyDescent="0.3">
      <c r="A244" s="58" t="s">
        <v>524</v>
      </c>
      <c r="B244" s="58" t="s">
        <v>525</v>
      </c>
      <c r="C244" s="58">
        <v>0</v>
      </c>
      <c r="D244" s="58" t="s">
        <v>187</v>
      </c>
    </row>
    <row r="245" spans="1:4" ht="14.4" x14ac:dyDescent="0.3">
      <c r="A245" s="58" t="s">
        <v>526</v>
      </c>
      <c r="B245" s="58" t="s">
        <v>527</v>
      </c>
      <c r="C245" s="58">
        <v>0</v>
      </c>
      <c r="D245" s="58" t="s">
        <v>187</v>
      </c>
    </row>
    <row r="246" spans="1:4" ht="14.4" x14ac:dyDescent="0.3">
      <c r="A246" s="58" t="s">
        <v>528</v>
      </c>
      <c r="B246" s="58" t="s">
        <v>529</v>
      </c>
      <c r="C246" s="58">
        <v>0</v>
      </c>
      <c r="D246" s="58" t="s">
        <v>187</v>
      </c>
    </row>
    <row r="247" spans="1:4" ht="14.4" x14ac:dyDescent="0.3">
      <c r="A247" s="58" t="s">
        <v>530</v>
      </c>
      <c r="B247" s="58" t="s">
        <v>531</v>
      </c>
      <c r="C247" s="58">
        <v>0</v>
      </c>
      <c r="D247" s="58" t="s">
        <v>187</v>
      </c>
    </row>
    <row r="248" spans="1:4" ht="14.4" x14ac:dyDescent="0.3">
      <c r="A248" s="58" t="s">
        <v>532</v>
      </c>
      <c r="B248" s="58" t="s">
        <v>533</v>
      </c>
      <c r="C248" s="58">
        <v>0</v>
      </c>
      <c r="D248" s="58" t="s">
        <v>187</v>
      </c>
    </row>
    <row r="249" spans="1:4" ht="14.4" x14ac:dyDescent="0.3">
      <c r="A249" s="58" t="s">
        <v>534</v>
      </c>
      <c r="B249" s="58" t="s">
        <v>535</v>
      </c>
      <c r="C249" s="58">
        <v>0</v>
      </c>
      <c r="D249" s="58" t="s">
        <v>187</v>
      </c>
    </row>
    <row r="250" spans="1:4" ht="14.4" x14ac:dyDescent="0.3">
      <c r="A250" s="58" t="s">
        <v>536</v>
      </c>
      <c r="B250" s="58" t="s">
        <v>537</v>
      </c>
      <c r="C250" s="58">
        <v>0</v>
      </c>
      <c r="D250" s="58" t="s">
        <v>187</v>
      </c>
    </row>
    <row r="251" spans="1:4" ht="14.4" x14ac:dyDescent="0.3">
      <c r="A251" s="58" t="s">
        <v>538</v>
      </c>
      <c r="B251" s="58" t="s">
        <v>539</v>
      </c>
      <c r="C251" s="58">
        <v>0</v>
      </c>
      <c r="D251" s="58" t="s">
        <v>187</v>
      </c>
    </row>
    <row r="252" spans="1:4" ht="14.4" x14ac:dyDescent="0.3">
      <c r="A252" s="58" t="s">
        <v>540</v>
      </c>
      <c r="B252" s="58" t="s">
        <v>541</v>
      </c>
      <c r="C252" s="58">
        <v>0</v>
      </c>
      <c r="D252" s="58" t="s">
        <v>187</v>
      </c>
    </row>
    <row r="253" spans="1:4" ht="14.4" x14ac:dyDescent="0.3">
      <c r="A253" s="58" t="s">
        <v>542</v>
      </c>
      <c r="B253" s="58" t="s">
        <v>543</v>
      </c>
      <c r="C253" s="58">
        <v>0</v>
      </c>
      <c r="D253" s="58" t="s">
        <v>187</v>
      </c>
    </row>
    <row r="254" spans="1:4" ht="14.4" x14ac:dyDescent="0.3">
      <c r="A254" s="58" t="s">
        <v>544</v>
      </c>
      <c r="B254" s="58" t="s">
        <v>545</v>
      </c>
      <c r="C254" s="58">
        <v>0</v>
      </c>
      <c r="D254" s="58" t="s">
        <v>187</v>
      </c>
    </row>
    <row r="255" spans="1:4" ht="14.4" x14ac:dyDescent="0.3">
      <c r="A255" s="58" t="s">
        <v>546</v>
      </c>
      <c r="B255" s="58" t="s">
        <v>547</v>
      </c>
      <c r="C255" s="58">
        <v>0</v>
      </c>
      <c r="D255" s="58" t="s">
        <v>187</v>
      </c>
    </row>
    <row r="256" spans="1:4" ht="14.4" x14ac:dyDescent="0.3">
      <c r="A256" s="58" t="s">
        <v>548</v>
      </c>
      <c r="B256" s="58" t="s">
        <v>549</v>
      </c>
      <c r="C256" s="58">
        <v>0</v>
      </c>
      <c r="D256" s="58" t="s">
        <v>187</v>
      </c>
    </row>
    <row r="257" spans="1:4" ht="14.4" x14ac:dyDescent="0.3">
      <c r="A257" s="58" t="s">
        <v>550</v>
      </c>
      <c r="B257" s="58" t="s">
        <v>551</v>
      </c>
      <c r="C257" s="58">
        <v>0</v>
      </c>
      <c r="D257" s="58" t="s">
        <v>187</v>
      </c>
    </row>
    <row r="258" spans="1:4" ht="14.4" x14ac:dyDescent="0.3">
      <c r="A258" s="58" t="s">
        <v>552</v>
      </c>
      <c r="B258" s="58" t="s">
        <v>553</v>
      </c>
      <c r="C258" s="58">
        <v>0</v>
      </c>
      <c r="D258" s="58" t="s">
        <v>187</v>
      </c>
    </row>
    <row r="259" spans="1:4" ht="14.4" x14ac:dyDescent="0.3">
      <c r="A259" s="58" t="s">
        <v>554</v>
      </c>
      <c r="B259" s="58" t="s">
        <v>555</v>
      </c>
      <c r="C259" s="58">
        <v>0</v>
      </c>
      <c r="D259" s="58" t="s">
        <v>187</v>
      </c>
    </row>
    <row r="260" spans="1:4" ht="14.4" x14ac:dyDescent="0.3">
      <c r="A260" s="58" t="s">
        <v>556</v>
      </c>
      <c r="B260" s="58" t="s">
        <v>557</v>
      </c>
      <c r="C260" s="58">
        <v>0</v>
      </c>
      <c r="D260" s="58" t="s">
        <v>187</v>
      </c>
    </row>
    <row r="261" spans="1:4" ht="14.4" x14ac:dyDescent="0.3">
      <c r="A261" s="58" t="s">
        <v>558</v>
      </c>
      <c r="B261" s="58" t="s">
        <v>559</v>
      </c>
      <c r="C261" s="58">
        <v>0</v>
      </c>
      <c r="D261" s="58" t="s">
        <v>187</v>
      </c>
    </row>
    <row r="262" spans="1:4" ht="14.4" x14ac:dyDescent="0.3">
      <c r="A262" s="58" t="s">
        <v>560</v>
      </c>
      <c r="B262" s="58" t="s">
        <v>561</v>
      </c>
      <c r="C262" s="58">
        <v>0</v>
      </c>
      <c r="D262" s="58" t="s">
        <v>187</v>
      </c>
    </row>
    <row r="263" spans="1:4" ht="14.4" x14ac:dyDescent="0.3">
      <c r="A263" s="58" t="s">
        <v>562</v>
      </c>
      <c r="B263" s="58" t="s">
        <v>563</v>
      </c>
      <c r="C263" s="58">
        <v>0</v>
      </c>
      <c r="D263" s="58" t="s">
        <v>187</v>
      </c>
    </row>
    <row r="264" spans="1:4" ht="14.4" x14ac:dyDescent="0.3">
      <c r="A264" s="58" t="s">
        <v>564</v>
      </c>
      <c r="B264" s="58" t="s">
        <v>565</v>
      </c>
      <c r="C264" s="58">
        <v>0</v>
      </c>
      <c r="D264" s="58" t="s">
        <v>187</v>
      </c>
    </row>
    <row r="265" spans="1:4" ht="14.4" x14ac:dyDescent="0.3">
      <c r="A265" s="58" t="s">
        <v>566</v>
      </c>
      <c r="B265" s="58" t="s">
        <v>567</v>
      </c>
      <c r="C265" s="58">
        <v>0</v>
      </c>
      <c r="D265" s="58" t="s">
        <v>187</v>
      </c>
    </row>
    <row r="266" spans="1:4" ht="14.4" x14ac:dyDescent="0.3">
      <c r="A266" s="58" t="s">
        <v>568</v>
      </c>
      <c r="B266" s="58" t="s">
        <v>569</v>
      </c>
      <c r="C266" s="58">
        <v>0</v>
      </c>
      <c r="D266" s="58" t="s">
        <v>187</v>
      </c>
    </row>
    <row r="267" spans="1:4" ht="14.4" x14ac:dyDescent="0.3">
      <c r="A267" s="58" t="s">
        <v>570</v>
      </c>
      <c r="B267" s="58" t="s">
        <v>571</v>
      </c>
      <c r="C267" s="58">
        <v>0</v>
      </c>
      <c r="D267" s="58" t="s">
        <v>187</v>
      </c>
    </row>
    <row r="268" spans="1:4" ht="14.4" x14ac:dyDescent="0.3">
      <c r="A268" s="58" t="s">
        <v>572</v>
      </c>
      <c r="B268" s="58" t="s">
        <v>573</v>
      </c>
      <c r="C268" s="58">
        <v>0</v>
      </c>
      <c r="D268" s="58" t="s">
        <v>187</v>
      </c>
    </row>
    <row r="269" spans="1:4" ht="14.4" x14ac:dyDescent="0.3">
      <c r="A269" s="58" t="s">
        <v>574</v>
      </c>
      <c r="B269" s="58" t="s">
        <v>575</v>
      </c>
      <c r="C269" s="58">
        <v>0</v>
      </c>
      <c r="D269" s="58" t="s">
        <v>187</v>
      </c>
    </row>
    <row r="270" spans="1:4" ht="14.4" x14ac:dyDescent="0.3">
      <c r="A270" s="58" t="s">
        <v>576</v>
      </c>
      <c r="B270" s="58" t="s">
        <v>577</v>
      </c>
      <c r="C270" s="58">
        <v>0</v>
      </c>
      <c r="D270" s="58" t="s">
        <v>187</v>
      </c>
    </row>
    <row r="271" spans="1:4" ht="14.4" x14ac:dyDescent="0.3">
      <c r="A271" s="58" t="s">
        <v>578</v>
      </c>
      <c r="B271" s="58" t="s">
        <v>579</v>
      </c>
      <c r="C271" s="58">
        <v>0</v>
      </c>
      <c r="D271" s="58" t="s">
        <v>187</v>
      </c>
    </row>
    <row r="272" spans="1:4" ht="14.4" x14ac:dyDescent="0.3">
      <c r="A272" s="58" t="s">
        <v>580</v>
      </c>
      <c r="B272" s="58" t="s">
        <v>581</v>
      </c>
      <c r="C272" s="58">
        <v>0</v>
      </c>
      <c r="D272" s="58" t="s">
        <v>187</v>
      </c>
    </row>
    <row r="273" spans="1:4" ht="14.4" x14ac:dyDescent="0.3">
      <c r="A273" s="58" t="s">
        <v>582</v>
      </c>
      <c r="B273" s="58" t="s">
        <v>583</v>
      </c>
      <c r="C273" s="58">
        <v>0</v>
      </c>
      <c r="D273" s="58" t="s">
        <v>187</v>
      </c>
    </row>
    <row r="274" spans="1:4" ht="14.4" x14ac:dyDescent="0.3">
      <c r="A274" s="58" t="s">
        <v>584</v>
      </c>
      <c r="B274" s="58" t="s">
        <v>585</v>
      </c>
      <c r="C274" s="58">
        <v>0</v>
      </c>
      <c r="D274" s="58" t="s">
        <v>187</v>
      </c>
    </row>
    <row r="275" spans="1:4" ht="14.4" x14ac:dyDescent="0.3">
      <c r="A275" s="58" t="s">
        <v>586</v>
      </c>
      <c r="B275" s="58" t="s">
        <v>587</v>
      </c>
      <c r="C275" s="58">
        <v>0</v>
      </c>
      <c r="D275" s="58" t="s">
        <v>187</v>
      </c>
    </row>
    <row r="276" spans="1:4" ht="14.4" x14ac:dyDescent="0.3">
      <c r="A276" s="58" t="s">
        <v>588</v>
      </c>
      <c r="B276" s="58" t="s">
        <v>589</v>
      </c>
      <c r="C276" s="58">
        <v>0</v>
      </c>
      <c r="D276" s="58" t="s">
        <v>187</v>
      </c>
    </row>
    <row r="277" spans="1:4" ht="14.4" x14ac:dyDescent="0.3">
      <c r="A277" s="58" t="s">
        <v>590</v>
      </c>
      <c r="B277" s="58" t="s">
        <v>591</v>
      </c>
      <c r="C277" s="58">
        <v>0</v>
      </c>
      <c r="D277" s="58" t="s">
        <v>187</v>
      </c>
    </row>
    <row r="278" spans="1:4" ht="14.4" x14ac:dyDescent="0.3">
      <c r="A278" s="58" t="s">
        <v>592</v>
      </c>
      <c r="B278" s="58" t="s">
        <v>593</v>
      </c>
      <c r="C278" s="58">
        <v>0</v>
      </c>
      <c r="D278" s="58" t="s">
        <v>187</v>
      </c>
    </row>
    <row r="279" spans="1:4" ht="14.4" x14ac:dyDescent="0.3">
      <c r="A279" s="58" t="s">
        <v>594</v>
      </c>
      <c r="B279" s="58" t="s">
        <v>595</v>
      </c>
      <c r="C279" s="58">
        <v>0</v>
      </c>
      <c r="D279" s="58" t="s">
        <v>187</v>
      </c>
    </row>
    <row r="280" spans="1:4" ht="14.4" x14ac:dyDescent="0.3">
      <c r="A280" s="58" t="s">
        <v>596</v>
      </c>
      <c r="B280" s="58" t="s">
        <v>597</v>
      </c>
      <c r="C280" s="58">
        <v>0</v>
      </c>
      <c r="D280" s="58" t="s">
        <v>187</v>
      </c>
    </row>
    <row r="281" spans="1:4" ht="14.4" x14ac:dyDescent="0.3">
      <c r="A281" s="58" t="s">
        <v>598</v>
      </c>
      <c r="B281" s="58" t="s">
        <v>599</v>
      </c>
      <c r="C281" s="58">
        <v>0</v>
      </c>
      <c r="D281" s="58" t="s">
        <v>187</v>
      </c>
    </row>
    <row r="282" spans="1:4" ht="14.4" x14ac:dyDescent="0.3">
      <c r="A282" s="58" t="s">
        <v>600</v>
      </c>
      <c r="B282" s="58" t="s">
        <v>601</v>
      </c>
      <c r="C282" s="58">
        <v>0</v>
      </c>
      <c r="D282" s="58" t="s">
        <v>187</v>
      </c>
    </row>
    <row r="283" spans="1:4" ht="14.4" x14ac:dyDescent="0.3">
      <c r="A283" s="58" t="s">
        <v>602</v>
      </c>
      <c r="B283" s="58" t="s">
        <v>603</v>
      </c>
      <c r="C283" s="58">
        <v>0</v>
      </c>
      <c r="D283" s="58" t="s">
        <v>187</v>
      </c>
    </row>
    <row r="284" spans="1:4" ht="14.4" x14ac:dyDescent="0.3"/>
    <row r="285" spans="1:4" ht="14.4" x14ac:dyDescent="0.3">
      <c r="C285" s="58">
        <v>12</v>
      </c>
    </row>
    <row r="286" spans="1:4" ht="14.4" x14ac:dyDescent="0.3"/>
    <row r="287" spans="1:4" ht="14.4" x14ac:dyDescent="0.3"/>
    <row r="288" spans="1:4" ht="14.4" x14ac:dyDescent="0.3"/>
    <row r="289" spans="3:3" ht="14.4" x14ac:dyDescent="0.3">
      <c r="C289" s="58">
        <v>1</v>
      </c>
    </row>
    <row r="290" spans="3:3" ht="14.4" x14ac:dyDescent="0.3"/>
    <row r="291" spans="3:3" ht="14.4" x14ac:dyDescent="0.3"/>
    <row r="292" spans="3:3" ht="14.4" x14ac:dyDescent="0.3"/>
    <row r="293" spans="3:3" ht="14.4" x14ac:dyDescent="0.3">
      <c r="C293" s="58">
        <v>0</v>
      </c>
    </row>
    <row r="294" spans="3:3" ht="14.4" x14ac:dyDescent="0.3"/>
    <row r="295" spans="3:3" ht="14.4" x14ac:dyDescent="0.3"/>
    <row r="296" spans="3:3" ht="14.4" x14ac:dyDescent="0.3"/>
    <row r="297" spans="3:3" ht="14.4" x14ac:dyDescent="0.3">
      <c r="C297" s="58">
        <v>0</v>
      </c>
    </row>
    <row r="298" spans="3:3" ht="14.4" x14ac:dyDescent="0.3"/>
    <row r="299" spans="3:3" ht="14.4" x14ac:dyDescent="0.3"/>
    <row r="300" spans="3:3" ht="14.4" x14ac:dyDescent="0.3"/>
    <row r="301" spans="3:3" ht="14.4" x14ac:dyDescent="0.3">
      <c r="C301" s="58">
        <v>0</v>
      </c>
    </row>
    <row r="302" spans="3:3" ht="14.4" x14ac:dyDescent="0.3"/>
    <row r="303" spans="3:3" ht="14.4" x14ac:dyDescent="0.3"/>
    <row r="304" spans="3:3" ht="14.4" x14ac:dyDescent="0.3"/>
    <row r="305" spans="3:3" ht="14.4" x14ac:dyDescent="0.3">
      <c r="C305" s="58">
        <v>1</v>
      </c>
    </row>
    <row r="306" spans="3:3" ht="14.4" x14ac:dyDescent="0.3"/>
    <row r="307" spans="3:3" ht="14.4" x14ac:dyDescent="0.3"/>
    <row r="308" spans="3:3" ht="14.4" x14ac:dyDescent="0.3"/>
    <row r="309" spans="3:3" ht="14.4" x14ac:dyDescent="0.3">
      <c r="C309" s="58">
        <v>5</v>
      </c>
    </row>
    <row r="310" spans="3:3" ht="14.4" x14ac:dyDescent="0.3"/>
    <row r="311" spans="3:3" ht="14.4" x14ac:dyDescent="0.3"/>
    <row r="312" spans="3:3" ht="14.4" x14ac:dyDescent="0.3"/>
    <row r="313" spans="3:3" ht="14.4" x14ac:dyDescent="0.3">
      <c r="C313" s="58">
        <v>23</v>
      </c>
    </row>
    <row r="314" spans="3:3" ht="14.4" x14ac:dyDescent="0.3"/>
    <row r="315" spans="3:3" ht="14.4" x14ac:dyDescent="0.3"/>
    <row r="316" spans="3:3" ht="14.4" x14ac:dyDescent="0.3"/>
    <row r="317" spans="3:3" ht="14.4" x14ac:dyDescent="0.3">
      <c r="C317" s="58">
        <v>46</v>
      </c>
    </row>
    <row r="318" spans="3:3" ht="14.4" x14ac:dyDescent="0.3"/>
    <row r="319" spans="3:3" ht="14.4" x14ac:dyDescent="0.3"/>
    <row r="320" spans="3:3" ht="14.4" x14ac:dyDescent="0.3"/>
    <row r="321" spans="3:3" ht="14.4" x14ac:dyDescent="0.3">
      <c r="C321" s="58">
        <v>1</v>
      </c>
    </row>
    <row r="322" spans="3:3" ht="14.4" x14ac:dyDescent="0.3"/>
    <row r="323" spans="3:3" ht="14.4" x14ac:dyDescent="0.3"/>
    <row r="324" spans="3:3" ht="14.4" x14ac:dyDescent="0.3"/>
    <row r="325" spans="3:3" ht="14.4" x14ac:dyDescent="0.3">
      <c r="C325" s="58">
        <v>27</v>
      </c>
    </row>
    <row r="326" spans="3:3" ht="14.4" x14ac:dyDescent="0.3"/>
    <row r="327" spans="3:3" ht="14.4" x14ac:dyDescent="0.3"/>
    <row r="328" spans="3:3" ht="14.4" x14ac:dyDescent="0.3"/>
    <row r="329" spans="3:3" ht="14.4" x14ac:dyDescent="0.3">
      <c r="C329" s="58">
        <v>0</v>
      </c>
    </row>
    <row r="330" spans="3:3" ht="14.4" x14ac:dyDescent="0.3"/>
    <row r="331" spans="3:3" ht="14.4" x14ac:dyDescent="0.3"/>
    <row r="332" spans="3:3" ht="14.4" x14ac:dyDescent="0.3"/>
    <row r="333" spans="3:3" ht="14.4" x14ac:dyDescent="0.3">
      <c r="C333" s="58">
        <v>20</v>
      </c>
    </row>
    <row r="334" spans="3:3" ht="14.4" x14ac:dyDescent="0.3"/>
    <row r="335" spans="3:3" ht="14.4" x14ac:dyDescent="0.3"/>
    <row r="336" spans="3:3" ht="14.4" x14ac:dyDescent="0.3"/>
    <row r="337" spans="3:3" ht="14.4" x14ac:dyDescent="0.3">
      <c r="C337" s="58">
        <v>72</v>
      </c>
    </row>
    <row r="338" spans="3:3" ht="14.4" x14ac:dyDescent="0.3"/>
    <row r="339" spans="3:3" ht="14.4" x14ac:dyDescent="0.3"/>
    <row r="340" spans="3:3" ht="14.4" x14ac:dyDescent="0.3"/>
    <row r="341" spans="3:3" ht="14.4" x14ac:dyDescent="0.3">
      <c r="C341" s="58">
        <v>0</v>
      </c>
    </row>
    <row r="342" spans="3:3" ht="14.4" x14ac:dyDescent="0.3"/>
    <row r="343" spans="3:3" ht="14.4" x14ac:dyDescent="0.3"/>
    <row r="344" spans="3:3" ht="14.4" x14ac:dyDescent="0.3"/>
    <row r="345" spans="3:3" ht="14.4" x14ac:dyDescent="0.3">
      <c r="C345" s="58">
        <v>1</v>
      </c>
    </row>
    <row r="346" spans="3:3" ht="14.4" x14ac:dyDescent="0.3"/>
    <row r="347" spans="3:3" ht="14.4" x14ac:dyDescent="0.3"/>
    <row r="348" spans="3:3" ht="14.4" x14ac:dyDescent="0.3"/>
    <row r="349" spans="3:3" ht="14.4" x14ac:dyDescent="0.3">
      <c r="C349" s="58">
        <v>0</v>
      </c>
    </row>
    <row r="350" spans="3:3" ht="14.4" x14ac:dyDescent="0.3"/>
    <row r="351" spans="3:3" ht="14.4" x14ac:dyDescent="0.3"/>
    <row r="352" spans="3:3" ht="14.4" x14ac:dyDescent="0.3"/>
    <row r="353" spans="3:3" ht="14.4" x14ac:dyDescent="0.3">
      <c r="C353" s="58">
        <v>1</v>
      </c>
    </row>
    <row r="354" spans="3:3" ht="14.4" x14ac:dyDescent="0.3"/>
    <row r="355" spans="3:3" ht="14.4" x14ac:dyDescent="0.3"/>
    <row r="356" spans="3:3" ht="14.4" x14ac:dyDescent="0.3"/>
    <row r="357" spans="3:3" ht="14.4" x14ac:dyDescent="0.3">
      <c r="C357" s="58">
        <v>9</v>
      </c>
    </row>
    <row r="358" spans="3:3" ht="14.4" x14ac:dyDescent="0.3"/>
    <row r="359" spans="3:3" ht="14.4" x14ac:dyDescent="0.3"/>
    <row r="360" spans="3:3" ht="14.4" x14ac:dyDescent="0.3"/>
    <row r="361" spans="3:3" ht="14.4" x14ac:dyDescent="0.3">
      <c r="C361" s="58">
        <v>0</v>
      </c>
    </row>
    <row r="362" spans="3:3" ht="14.4" x14ac:dyDescent="0.3"/>
    <row r="363" spans="3:3" ht="14.4" x14ac:dyDescent="0.3"/>
    <row r="364" spans="3:3" ht="14.4" x14ac:dyDescent="0.3"/>
    <row r="365" spans="3:3" ht="14.4" x14ac:dyDescent="0.3">
      <c r="C365" s="58">
        <v>29</v>
      </c>
    </row>
    <row r="366" spans="3:3" ht="14.4" x14ac:dyDescent="0.3"/>
    <row r="367" spans="3:3" ht="14.4" x14ac:dyDescent="0.3"/>
    <row r="368" spans="3:3" ht="14.4" x14ac:dyDescent="0.3"/>
    <row r="369" spans="3:3" ht="14.4" x14ac:dyDescent="0.3">
      <c r="C369" s="58">
        <v>0</v>
      </c>
    </row>
    <row r="370" spans="3:3" ht="14.4" x14ac:dyDescent="0.3"/>
    <row r="371" spans="3:3" ht="14.4" x14ac:dyDescent="0.3"/>
    <row r="372" spans="3:3" ht="14.4" x14ac:dyDescent="0.3"/>
    <row r="373" spans="3:3" ht="14.4" x14ac:dyDescent="0.3">
      <c r="C373" s="58">
        <v>0</v>
      </c>
    </row>
    <row r="374" spans="3:3" ht="14.4" x14ac:dyDescent="0.3"/>
    <row r="375" spans="3:3" ht="14.4" x14ac:dyDescent="0.3"/>
    <row r="376" spans="3:3" ht="14.4" x14ac:dyDescent="0.3"/>
    <row r="377" spans="3:3" ht="14.4" x14ac:dyDescent="0.3">
      <c r="C377" s="58">
        <v>1</v>
      </c>
    </row>
    <row r="378" spans="3:3" ht="14.4" x14ac:dyDescent="0.3"/>
    <row r="379" spans="3:3" ht="14.4" x14ac:dyDescent="0.3"/>
    <row r="380" spans="3:3" ht="14.4" x14ac:dyDescent="0.3"/>
    <row r="381" spans="3:3" ht="14.4" x14ac:dyDescent="0.3">
      <c r="C381" s="58">
        <v>0</v>
      </c>
    </row>
    <row r="382" spans="3:3" ht="14.4" x14ac:dyDescent="0.3"/>
    <row r="383" spans="3:3" ht="14.4" x14ac:dyDescent="0.3"/>
    <row r="384" spans="3:3" ht="14.4" x14ac:dyDescent="0.3"/>
    <row r="385" spans="3:3" ht="14.4" x14ac:dyDescent="0.3">
      <c r="C385" s="58">
        <v>0</v>
      </c>
    </row>
    <row r="386" spans="3:3" ht="14.4" x14ac:dyDescent="0.3"/>
    <row r="387" spans="3:3" ht="14.4" x14ac:dyDescent="0.3"/>
    <row r="388" spans="3:3" ht="14.4" x14ac:dyDescent="0.3"/>
    <row r="389" spans="3:3" ht="14.4" x14ac:dyDescent="0.3">
      <c r="C389" s="58">
        <v>0</v>
      </c>
    </row>
    <row r="390" spans="3:3" ht="14.4" x14ac:dyDescent="0.3"/>
    <row r="391" spans="3:3" ht="14.4" x14ac:dyDescent="0.3"/>
    <row r="392" spans="3:3" ht="14.4" x14ac:dyDescent="0.3"/>
    <row r="393" spans="3:3" ht="14.4" x14ac:dyDescent="0.3">
      <c r="C393" s="58">
        <v>28</v>
      </c>
    </row>
    <row r="394" spans="3:3" ht="14.4" x14ac:dyDescent="0.3"/>
    <row r="395" spans="3:3" ht="14.4" x14ac:dyDescent="0.3"/>
    <row r="396" spans="3:3" ht="14.4" x14ac:dyDescent="0.3"/>
    <row r="397" spans="3:3" ht="14.4" x14ac:dyDescent="0.3">
      <c r="C397" s="58">
        <v>1</v>
      </c>
    </row>
    <row r="398" spans="3:3" ht="14.4" x14ac:dyDescent="0.3"/>
    <row r="399" spans="3:3" ht="14.4" x14ac:dyDescent="0.3"/>
    <row r="400" spans="3:3" ht="14.4" x14ac:dyDescent="0.3"/>
    <row r="401" spans="3:3" ht="14.4" x14ac:dyDescent="0.3">
      <c r="C401" s="58">
        <v>0</v>
      </c>
    </row>
    <row r="402" spans="3:3" ht="14.4" x14ac:dyDescent="0.3"/>
    <row r="403" spans="3:3" ht="14.4" x14ac:dyDescent="0.3"/>
    <row r="404" spans="3:3" ht="14.4" x14ac:dyDescent="0.3"/>
    <row r="405" spans="3:3" ht="14.4" x14ac:dyDescent="0.3">
      <c r="C405" s="58">
        <v>0</v>
      </c>
    </row>
    <row r="406" spans="3:3" ht="14.4" x14ac:dyDescent="0.3"/>
    <row r="407" spans="3:3" ht="14.4" x14ac:dyDescent="0.3"/>
    <row r="408" spans="3:3" ht="14.4" x14ac:dyDescent="0.3"/>
    <row r="409" spans="3:3" ht="14.4" x14ac:dyDescent="0.3">
      <c r="C409" s="58">
        <v>0</v>
      </c>
    </row>
    <row r="410" spans="3:3" ht="14.4" x14ac:dyDescent="0.3"/>
    <row r="411" spans="3:3" ht="14.4" x14ac:dyDescent="0.3"/>
    <row r="412" spans="3:3" ht="14.4" x14ac:dyDescent="0.3"/>
    <row r="413" spans="3:3" ht="14.4" x14ac:dyDescent="0.3">
      <c r="C413" s="58">
        <v>0</v>
      </c>
    </row>
    <row r="414" spans="3:3" ht="14.4" x14ac:dyDescent="0.3"/>
    <row r="415" spans="3:3" ht="14.4" x14ac:dyDescent="0.3"/>
    <row r="416" spans="3:3" ht="14.4" x14ac:dyDescent="0.3"/>
    <row r="417" spans="3:3" ht="14.4" x14ac:dyDescent="0.3">
      <c r="C417" s="58">
        <v>58</v>
      </c>
    </row>
    <row r="418" spans="3:3" ht="14.4" x14ac:dyDescent="0.3"/>
    <row r="419" spans="3:3" ht="14.4" x14ac:dyDescent="0.3"/>
    <row r="420" spans="3:3" ht="14.4" x14ac:dyDescent="0.3"/>
    <row r="421" spans="3:3" ht="14.4" x14ac:dyDescent="0.3">
      <c r="C421" s="58">
        <v>0</v>
      </c>
    </row>
    <row r="422" spans="3:3" ht="14.4" x14ac:dyDescent="0.3"/>
    <row r="423" spans="3:3" ht="14.4" x14ac:dyDescent="0.3"/>
    <row r="424" spans="3:3" ht="14.4" x14ac:dyDescent="0.3"/>
    <row r="425" spans="3:3" ht="14.4" x14ac:dyDescent="0.3">
      <c r="C425" s="58">
        <v>0</v>
      </c>
    </row>
    <row r="426" spans="3:3" ht="14.4" x14ac:dyDescent="0.3"/>
    <row r="427" spans="3:3" ht="14.4" x14ac:dyDescent="0.3"/>
    <row r="428" spans="3:3" ht="14.4" x14ac:dyDescent="0.3"/>
    <row r="429" spans="3:3" ht="14.4" x14ac:dyDescent="0.3">
      <c r="C429" s="58">
        <v>0</v>
      </c>
    </row>
    <row r="430" spans="3:3" ht="14.4" x14ac:dyDescent="0.3"/>
    <row r="431" spans="3:3" ht="14.4" x14ac:dyDescent="0.3"/>
    <row r="432" spans="3:3" ht="14.4" x14ac:dyDescent="0.3"/>
    <row r="433" spans="3:3" ht="14.4" x14ac:dyDescent="0.3">
      <c r="C433" s="58">
        <v>1</v>
      </c>
    </row>
    <row r="434" spans="3:3" ht="14.4" x14ac:dyDescent="0.3"/>
    <row r="435" spans="3:3" ht="14.4" x14ac:dyDescent="0.3"/>
    <row r="436" spans="3:3" ht="14.4" x14ac:dyDescent="0.3"/>
    <row r="437" spans="3:3" ht="14.4" x14ac:dyDescent="0.3">
      <c r="C437" s="58">
        <v>0</v>
      </c>
    </row>
    <row r="438" spans="3:3" ht="14.4" x14ac:dyDescent="0.3"/>
    <row r="439" spans="3:3" ht="14.4" x14ac:dyDescent="0.3"/>
    <row r="440" spans="3:3" ht="14.4" x14ac:dyDescent="0.3"/>
    <row r="441" spans="3:3" ht="14.4" x14ac:dyDescent="0.3">
      <c r="C441" s="58">
        <v>3</v>
      </c>
    </row>
    <row r="442" spans="3:3" ht="14.4" x14ac:dyDescent="0.3"/>
    <row r="443" spans="3:3" ht="14.4" x14ac:dyDescent="0.3"/>
    <row r="444" spans="3:3" ht="14.4" x14ac:dyDescent="0.3"/>
    <row r="445" spans="3:3" ht="14.4" x14ac:dyDescent="0.3">
      <c r="C445" s="58">
        <v>419</v>
      </c>
    </row>
    <row r="446" spans="3:3" ht="14.4" x14ac:dyDescent="0.3"/>
    <row r="447" spans="3:3" ht="14.4" x14ac:dyDescent="0.3"/>
    <row r="448" spans="3:3" ht="14.4" x14ac:dyDescent="0.3"/>
    <row r="449" spans="3:3" ht="14.4" x14ac:dyDescent="0.3">
      <c r="C449" s="58">
        <v>0</v>
      </c>
    </row>
    <row r="450" spans="3:3" ht="14.4" x14ac:dyDescent="0.3"/>
    <row r="451" spans="3:3" ht="14.4" x14ac:dyDescent="0.3"/>
    <row r="452" spans="3:3" ht="14.4" x14ac:dyDescent="0.3"/>
    <row r="453" spans="3:3" ht="14.4" x14ac:dyDescent="0.3">
      <c r="C453" s="58">
        <v>0</v>
      </c>
    </row>
    <row r="454" spans="3:3" ht="14.4" x14ac:dyDescent="0.3"/>
    <row r="455" spans="3:3" ht="14.4" x14ac:dyDescent="0.3"/>
    <row r="456" spans="3:3" ht="14.4" x14ac:dyDescent="0.3"/>
    <row r="457" spans="3:3" ht="14.4" x14ac:dyDescent="0.3">
      <c r="C457" s="58">
        <v>0</v>
      </c>
    </row>
    <row r="458" spans="3:3" ht="14.4" x14ac:dyDescent="0.3"/>
    <row r="459" spans="3:3" ht="14.4" x14ac:dyDescent="0.3"/>
    <row r="460" spans="3:3" ht="14.4" x14ac:dyDescent="0.3"/>
    <row r="461" spans="3:3" ht="14.4" x14ac:dyDescent="0.3">
      <c r="C461" s="58">
        <v>0</v>
      </c>
    </row>
    <row r="462" spans="3:3" ht="14.4" x14ac:dyDescent="0.3"/>
    <row r="463" spans="3:3" ht="14.4" x14ac:dyDescent="0.3"/>
    <row r="464" spans="3:3" ht="14.4" x14ac:dyDescent="0.3"/>
    <row r="465" spans="3:3" ht="14.4" x14ac:dyDescent="0.3">
      <c r="C465" s="58">
        <v>0</v>
      </c>
    </row>
    <row r="466" spans="3:3" ht="14.4" x14ac:dyDescent="0.3"/>
    <row r="467" spans="3:3" ht="14.4" x14ac:dyDescent="0.3"/>
    <row r="468" spans="3:3" ht="14.4" x14ac:dyDescent="0.3"/>
    <row r="469" spans="3:3" ht="14.4" x14ac:dyDescent="0.3">
      <c r="C469" s="58">
        <v>0</v>
      </c>
    </row>
    <row r="470" spans="3:3" ht="14.4" x14ac:dyDescent="0.3"/>
    <row r="471" spans="3:3" ht="14.4" x14ac:dyDescent="0.3"/>
    <row r="472" spans="3:3" ht="14.4" x14ac:dyDescent="0.3"/>
    <row r="473" spans="3:3" ht="14.4" x14ac:dyDescent="0.3">
      <c r="C473" s="58">
        <v>3</v>
      </c>
    </row>
    <row r="474" spans="3:3" ht="14.4" x14ac:dyDescent="0.3"/>
    <row r="475" spans="3:3" ht="14.4" x14ac:dyDescent="0.3"/>
    <row r="476" spans="3:3" ht="14.4" x14ac:dyDescent="0.3"/>
    <row r="477" spans="3:3" ht="14.4" x14ac:dyDescent="0.3">
      <c r="C477" s="58">
        <v>0</v>
      </c>
    </row>
    <row r="478" spans="3:3" ht="14.4" x14ac:dyDescent="0.3"/>
    <row r="479" spans="3:3" ht="14.4" x14ac:dyDescent="0.3"/>
    <row r="480" spans="3:3" ht="14.4" x14ac:dyDescent="0.3"/>
    <row r="481" spans="3:3" ht="14.4" x14ac:dyDescent="0.3">
      <c r="C481" s="58">
        <v>37</v>
      </c>
    </row>
    <row r="482" spans="3:3" ht="14.4" x14ac:dyDescent="0.3"/>
    <row r="483" spans="3:3" ht="14.4" x14ac:dyDescent="0.3"/>
    <row r="484" spans="3:3" ht="14.4" x14ac:dyDescent="0.3"/>
    <row r="485" spans="3:3" ht="14.4" x14ac:dyDescent="0.3">
      <c r="C485" s="58">
        <v>50</v>
      </c>
    </row>
    <row r="489" spans="3:3" ht="12.75" customHeight="1" x14ac:dyDescent="0.3">
      <c r="C489" s="58">
        <v>0</v>
      </c>
    </row>
    <row r="493" spans="3:3" ht="12.75" customHeight="1" x14ac:dyDescent="0.3">
      <c r="C493" s="58">
        <v>0</v>
      </c>
    </row>
    <row r="497" spans="3:3" ht="12.75" customHeight="1" x14ac:dyDescent="0.3">
      <c r="C497" s="58">
        <v>0</v>
      </c>
    </row>
    <row r="501" spans="3:3" ht="12.75" customHeight="1" x14ac:dyDescent="0.3">
      <c r="C501" s="58">
        <v>68</v>
      </c>
    </row>
    <row r="505" spans="3:3" ht="12.75" customHeight="1" x14ac:dyDescent="0.3">
      <c r="C505" s="58">
        <v>40</v>
      </c>
    </row>
    <row r="509" spans="3:3" ht="12.75" customHeight="1" x14ac:dyDescent="0.3">
      <c r="C509" s="58">
        <v>46</v>
      </c>
    </row>
    <row r="513" spans="3:3" ht="12.75" customHeight="1" x14ac:dyDescent="0.3">
      <c r="C513" s="58">
        <v>26</v>
      </c>
    </row>
    <row r="517" spans="3:3" ht="12.75" customHeight="1" x14ac:dyDescent="0.3">
      <c r="C517" s="58">
        <v>56</v>
      </c>
    </row>
    <row r="521" spans="3:3" ht="12.75" customHeight="1" x14ac:dyDescent="0.3">
      <c r="C521" s="58">
        <v>3</v>
      </c>
    </row>
    <row r="525" spans="3:3" ht="12.75" customHeight="1" x14ac:dyDescent="0.3">
      <c r="C525" s="58">
        <v>0</v>
      </c>
    </row>
    <row r="529" spans="3:3" ht="12.75" customHeight="1" x14ac:dyDescent="0.3">
      <c r="C529" s="58">
        <v>66</v>
      </c>
    </row>
    <row r="533" spans="3:3" ht="12.75" customHeight="1" x14ac:dyDescent="0.3">
      <c r="C533" s="58">
        <v>154</v>
      </c>
    </row>
    <row r="537" spans="3:3" ht="12.75" customHeight="1" x14ac:dyDescent="0.3">
      <c r="C537" s="58">
        <v>0</v>
      </c>
    </row>
    <row r="541" spans="3:3" ht="12.75" customHeight="1" x14ac:dyDescent="0.3">
      <c r="C541" s="58">
        <v>0</v>
      </c>
    </row>
    <row r="545" spans="3:3" ht="12.75" customHeight="1" x14ac:dyDescent="0.3">
      <c r="C545" s="58">
        <v>0</v>
      </c>
    </row>
    <row r="549" spans="3:3" ht="12.75" customHeight="1" x14ac:dyDescent="0.3">
      <c r="C549" s="58">
        <v>0</v>
      </c>
    </row>
    <row r="553" spans="3:3" ht="12.75" customHeight="1" x14ac:dyDescent="0.3">
      <c r="C553" s="58">
        <v>0</v>
      </c>
    </row>
    <row r="557" spans="3:3" ht="12.75" customHeight="1" x14ac:dyDescent="0.3">
      <c r="C557" s="58">
        <v>3</v>
      </c>
    </row>
    <row r="561" spans="3:3" ht="12.75" customHeight="1" x14ac:dyDescent="0.3">
      <c r="C561" s="58">
        <v>19</v>
      </c>
    </row>
    <row r="565" spans="3:3" ht="12.75" customHeight="1" x14ac:dyDescent="0.3">
      <c r="C565" s="58">
        <v>57</v>
      </c>
    </row>
    <row r="569" spans="3:3" ht="12.75" customHeight="1" x14ac:dyDescent="0.3">
      <c r="C569" s="58">
        <v>0</v>
      </c>
    </row>
    <row r="573" spans="3:3" ht="12.75" customHeight="1" x14ac:dyDescent="0.3">
      <c r="C573" s="58">
        <v>0</v>
      </c>
    </row>
    <row r="577" spans="3:3" ht="12.75" customHeight="1" x14ac:dyDescent="0.3">
      <c r="C577" s="58">
        <v>24</v>
      </c>
    </row>
    <row r="581" spans="3:3" ht="12.75" customHeight="1" x14ac:dyDescent="0.3">
      <c r="C581" s="58">
        <v>24</v>
      </c>
    </row>
    <row r="585" spans="3:3" ht="12.75" customHeight="1" x14ac:dyDescent="0.3">
      <c r="C585" s="58">
        <v>24</v>
      </c>
    </row>
    <row r="589" spans="3:3" ht="12.75" customHeight="1" x14ac:dyDescent="0.3">
      <c r="C589" s="58">
        <v>24</v>
      </c>
    </row>
    <row r="593" spans="3:3" ht="12.75" customHeight="1" x14ac:dyDescent="0.3">
      <c r="C593" s="58">
        <v>24</v>
      </c>
    </row>
    <row r="597" spans="3:3" ht="12.75" customHeight="1" x14ac:dyDescent="0.3">
      <c r="C597" s="58">
        <v>24</v>
      </c>
    </row>
    <row r="601" spans="3:3" ht="12.75" customHeight="1" x14ac:dyDescent="0.3">
      <c r="C601" s="58">
        <v>552</v>
      </c>
    </row>
    <row r="605" spans="3:3" ht="12.75" customHeight="1" x14ac:dyDescent="0.3">
      <c r="C605" s="58">
        <v>24</v>
      </c>
    </row>
    <row r="609" spans="3:3" ht="12.75" customHeight="1" x14ac:dyDescent="0.3">
      <c r="C609" s="58">
        <v>24</v>
      </c>
    </row>
    <row r="613" spans="3:3" ht="12.75" customHeight="1" x14ac:dyDescent="0.3">
      <c r="C613" s="58">
        <v>24</v>
      </c>
    </row>
    <row r="617" spans="3:3" ht="12.75" customHeight="1" x14ac:dyDescent="0.3">
      <c r="C617" s="58">
        <v>24</v>
      </c>
    </row>
    <row r="621" spans="3:3" ht="12.75" customHeight="1" x14ac:dyDescent="0.3">
      <c r="C621" s="58">
        <v>24</v>
      </c>
    </row>
    <row r="625" spans="3:3" ht="12.75" customHeight="1" x14ac:dyDescent="0.3">
      <c r="C625" s="58">
        <v>12</v>
      </c>
    </row>
    <row r="629" spans="3:3" ht="12.75" customHeight="1" x14ac:dyDescent="0.3">
      <c r="C629" s="58">
        <v>24</v>
      </c>
    </row>
    <row r="633" spans="3:3" ht="12.75" customHeight="1" x14ac:dyDescent="0.3">
      <c r="C633" s="58">
        <v>24</v>
      </c>
    </row>
    <row r="637" spans="3:3" ht="12.75" customHeight="1" x14ac:dyDescent="0.3">
      <c r="C637" s="58">
        <v>24</v>
      </c>
    </row>
    <row r="641" spans="3:3" ht="12.75" customHeight="1" x14ac:dyDescent="0.3">
      <c r="C641" s="58">
        <v>2</v>
      </c>
    </row>
    <row r="645" spans="3:3" ht="12.75" customHeight="1" x14ac:dyDescent="0.3">
      <c r="C645" s="58">
        <v>2</v>
      </c>
    </row>
    <row r="649" spans="3:3" ht="12.75" customHeight="1" x14ac:dyDescent="0.3">
      <c r="C649" s="58">
        <v>24</v>
      </c>
    </row>
    <row r="653" spans="3:3" ht="12.75" customHeight="1" x14ac:dyDescent="0.3">
      <c r="C653" s="58">
        <v>24</v>
      </c>
    </row>
    <row r="657" spans="3:3" ht="12.75" customHeight="1" x14ac:dyDescent="0.3">
      <c r="C657" s="58">
        <v>0</v>
      </c>
    </row>
    <row r="661" spans="3:3" ht="12.75" customHeight="1" x14ac:dyDescent="0.3">
      <c r="C661" s="58">
        <v>50</v>
      </c>
    </row>
    <row r="665" spans="3:3" ht="12.75" customHeight="1" x14ac:dyDescent="0.3">
      <c r="C665" s="58">
        <v>50</v>
      </c>
    </row>
    <row r="669" spans="3:3" ht="12.75" customHeight="1" x14ac:dyDescent="0.3">
      <c r="C669" s="58">
        <v>50</v>
      </c>
    </row>
    <row r="673" spans="3:3" ht="12.75" customHeight="1" x14ac:dyDescent="0.3">
      <c r="C673" s="58">
        <v>50</v>
      </c>
    </row>
    <row r="677" spans="3:3" ht="12.75" customHeight="1" x14ac:dyDescent="0.3">
      <c r="C677" s="58">
        <v>50</v>
      </c>
    </row>
    <row r="681" spans="3:3" ht="12.75" customHeight="1" x14ac:dyDescent="0.3">
      <c r="C681" s="58">
        <v>100</v>
      </c>
    </row>
    <row r="685" spans="3:3" ht="12.75" customHeight="1" x14ac:dyDescent="0.3">
      <c r="C685" s="58">
        <v>50</v>
      </c>
    </row>
    <row r="689" spans="3:3" ht="12.75" customHeight="1" x14ac:dyDescent="0.3">
      <c r="C689" s="58">
        <v>0</v>
      </c>
    </row>
    <row r="693" spans="3:3" ht="12.75" customHeight="1" x14ac:dyDescent="0.3">
      <c r="C693" s="58">
        <v>50</v>
      </c>
    </row>
    <row r="697" spans="3:3" ht="12.75" customHeight="1" x14ac:dyDescent="0.3">
      <c r="C697" s="58">
        <v>50</v>
      </c>
    </row>
    <row r="701" spans="3:3" ht="12.75" customHeight="1" x14ac:dyDescent="0.3">
      <c r="C701" s="58">
        <v>50</v>
      </c>
    </row>
    <row r="705" spans="3:3" ht="12.75" customHeight="1" x14ac:dyDescent="0.3">
      <c r="C705" s="58">
        <v>100</v>
      </c>
    </row>
    <row r="709" spans="3:3" ht="12.75" customHeight="1" x14ac:dyDescent="0.3">
      <c r="C709" s="58">
        <v>50</v>
      </c>
    </row>
    <row r="713" spans="3:3" ht="12.75" customHeight="1" x14ac:dyDescent="0.3">
      <c r="C713" s="58">
        <v>0</v>
      </c>
    </row>
    <row r="717" spans="3:3" ht="12.75" customHeight="1" x14ac:dyDescent="0.3">
      <c r="C717" s="58">
        <v>50</v>
      </c>
    </row>
    <row r="721" spans="3:3" ht="12.75" customHeight="1" x14ac:dyDescent="0.3">
      <c r="C721" s="58">
        <v>50</v>
      </c>
    </row>
    <row r="725" spans="3:3" ht="12.75" customHeight="1" x14ac:dyDescent="0.3">
      <c r="C725" s="58">
        <v>50</v>
      </c>
    </row>
    <row r="729" spans="3:3" ht="12.75" customHeight="1" x14ac:dyDescent="0.3">
      <c r="C729" s="58">
        <v>50</v>
      </c>
    </row>
    <row r="733" spans="3:3" ht="12.75" customHeight="1" x14ac:dyDescent="0.3">
      <c r="C733" s="58">
        <v>200</v>
      </c>
    </row>
    <row r="737" spans="3:3" ht="12.75" customHeight="1" x14ac:dyDescent="0.3">
      <c r="C737" s="58">
        <v>50</v>
      </c>
    </row>
    <row r="741" spans="3:3" ht="12.75" customHeight="1" x14ac:dyDescent="0.3">
      <c r="C741" s="58">
        <v>50</v>
      </c>
    </row>
    <row r="745" spans="3:3" ht="12.75" customHeight="1" x14ac:dyDescent="0.3">
      <c r="C745" s="58">
        <v>50</v>
      </c>
    </row>
    <row r="749" spans="3:3" ht="12.75" customHeight="1" x14ac:dyDescent="0.3">
      <c r="C749" s="58">
        <v>50</v>
      </c>
    </row>
    <row r="753" spans="3:3" ht="12.75" customHeight="1" x14ac:dyDescent="0.3">
      <c r="C753" s="58">
        <v>50</v>
      </c>
    </row>
    <row r="757" spans="3:3" ht="12.75" customHeight="1" x14ac:dyDescent="0.3">
      <c r="C757" s="58">
        <v>0</v>
      </c>
    </row>
    <row r="761" spans="3:3" ht="12.75" customHeight="1" x14ac:dyDescent="0.3">
      <c r="C761" s="58">
        <v>0</v>
      </c>
    </row>
    <row r="765" spans="3:3" ht="12.75" customHeight="1" x14ac:dyDescent="0.3">
      <c r="C765" s="58">
        <v>24</v>
      </c>
    </row>
    <row r="769" spans="3:3" ht="12.75" customHeight="1" x14ac:dyDescent="0.3">
      <c r="C769" s="58">
        <v>24</v>
      </c>
    </row>
    <row r="773" spans="3:3" ht="12.75" customHeight="1" x14ac:dyDescent="0.3">
      <c r="C773" s="58">
        <v>0</v>
      </c>
    </row>
    <row r="777" spans="3:3" ht="12.75" customHeight="1" x14ac:dyDescent="0.3">
      <c r="C777" s="58">
        <v>0</v>
      </c>
    </row>
    <row r="781" spans="3:3" ht="12.75" customHeight="1" x14ac:dyDescent="0.3">
      <c r="C781" s="58">
        <v>0</v>
      </c>
    </row>
    <row r="785" spans="3:3" ht="12.75" customHeight="1" x14ac:dyDescent="0.3">
      <c r="C785" s="58">
        <v>0</v>
      </c>
    </row>
    <row r="789" spans="3:3" ht="12.75" customHeight="1" x14ac:dyDescent="0.3">
      <c r="C789" s="58">
        <v>0</v>
      </c>
    </row>
    <row r="793" spans="3:3" ht="12.75" customHeight="1" x14ac:dyDescent="0.3">
      <c r="C793" s="58">
        <v>0</v>
      </c>
    </row>
    <row r="797" spans="3:3" ht="12.75" customHeight="1" x14ac:dyDescent="0.3">
      <c r="C797" s="58">
        <v>0</v>
      </c>
    </row>
    <row r="801" spans="3:3" ht="12.75" customHeight="1" x14ac:dyDescent="0.3">
      <c r="C801" s="58">
        <v>0</v>
      </c>
    </row>
    <row r="805" spans="3:3" ht="12.75" customHeight="1" x14ac:dyDescent="0.3">
      <c r="C805" s="58">
        <v>0</v>
      </c>
    </row>
    <row r="809" spans="3:3" ht="12.75" customHeight="1" x14ac:dyDescent="0.3">
      <c r="C809" s="58">
        <v>0</v>
      </c>
    </row>
    <row r="813" spans="3:3" ht="12.75" customHeight="1" x14ac:dyDescent="0.3">
      <c r="C813" s="58">
        <v>0</v>
      </c>
    </row>
    <row r="817" spans="3:3" ht="12.75" customHeight="1" x14ac:dyDescent="0.3">
      <c r="C817" s="58">
        <v>24</v>
      </c>
    </row>
    <row r="821" spans="3:3" ht="12.75" customHeight="1" x14ac:dyDescent="0.3">
      <c r="C821" s="58">
        <v>48</v>
      </c>
    </row>
    <row r="825" spans="3:3" ht="12.75" customHeight="1" x14ac:dyDescent="0.3">
      <c r="C825" s="58">
        <v>48</v>
      </c>
    </row>
    <row r="829" spans="3:3" ht="12.75" customHeight="1" x14ac:dyDescent="0.3">
      <c r="C829" s="58">
        <v>48</v>
      </c>
    </row>
    <row r="833" spans="3:3" ht="12.75" customHeight="1" x14ac:dyDescent="0.3">
      <c r="C833" s="58">
        <v>24</v>
      </c>
    </row>
    <row r="837" spans="3:3" ht="12.75" customHeight="1" x14ac:dyDescent="0.3">
      <c r="C837" s="58">
        <v>24</v>
      </c>
    </row>
    <row r="841" spans="3:3" ht="12.75" customHeight="1" x14ac:dyDescent="0.3">
      <c r="C841" s="58">
        <v>24</v>
      </c>
    </row>
    <row r="845" spans="3:3" ht="12.75" customHeight="1" x14ac:dyDescent="0.3">
      <c r="C845" s="58">
        <v>24</v>
      </c>
    </row>
    <row r="849" spans="3:3" ht="12.75" customHeight="1" x14ac:dyDescent="0.3">
      <c r="C849" s="58">
        <v>24</v>
      </c>
    </row>
    <row r="853" spans="3:3" ht="12.75" customHeight="1" x14ac:dyDescent="0.3">
      <c r="C853" s="58">
        <v>6</v>
      </c>
    </row>
    <row r="857" spans="3:3" ht="12.75" customHeight="1" x14ac:dyDescent="0.3">
      <c r="C857" s="58">
        <v>24</v>
      </c>
    </row>
    <row r="861" spans="3:3" ht="12.75" customHeight="1" x14ac:dyDescent="0.3">
      <c r="C861" s="58">
        <v>24</v>
      </c>
    </row>
    <row r="865" spans="3:3" ht="12.75" customHeight="1" x14ac:dyDescent="0.3">
      <c r="C865" s="58">
        <v>12</v>
      </c>
    </row>
    <row r="869" spans="3:3" ht="12.75" customHeight="1" x14ac:dyDescent="0.3">
      <c r="C869" s="58">
        <v>24</v>
      </c>
    </row>
    <row r="873" spans="3:3" ht="12.75" customHeight="1" x14ac:dyDescent="0.3">
      <c r="C873" s="58">
        <v>24</v>
      </c>
    </row>
    <row r="877" spans="3:3" ht="12.75" customHeight="1" x14ac:dyDescent="0.3">
      <c r="C877" s="58">
        <v>24</v>
      </c>
    </row>
    <row r="881" spans="3:3" ht="12.75" customHeight="1" x14ac:dyDescent="0.3">
      <c r="C881" s="58">
        <v>6</v>
      </c>
    </row>
    <row r="885" spans="3:3" ht="12.75" customHeight="1" x14ac:dyDescent="0.3">
      <c r="C885" s="58">
        <v>24</v>
      </c>
    </row>
    <row r="889" spans="3:3" ht="12.75" customHeight="1" x14ac:dyDescent="0.3">
      <c r="C889" s="58">
        <v>24</v>
      </c>
    </row>
    <row r="893" spans="3:3" ht="12.75" customHeight="1" x14ac:dyDescent="0.3">
      <c r="C893" s="58">
        <v>24</v>
      </c>
    </row>
    <row r="897" spans="3:3" ht="12.75" customHeight="1" x14ac:dyDescent="0.3">
      <c r="C897" s="58">
        <v>24</v>
      </c>
    </row>
    <row r="901" spans="3:3" ht="12.75" customHeight="1" x14ac:dyDescent="0.3">
      <c r="C901" s="58">
        <v>6</v>
      </c>
    </row>
    <row r="905" spans="3:3" ht="12.75" customHeight="1" x14ac:dyDescent="0.3">
      <c r="C905" s="58">
        <v>24</v>
      </c>
    </row>
    <row r="909" spans="3:3" ht="12.75" customHeight="1" x14ac:dyDescent="0.3">
      <c r="C909" s="58">
        <v>48</v>
      </c>
    </row>
    <row r="913" spans="3:3" ht="12.75" customHeight="1" x14ac:dyDescent="0.3">
      <c r="C913" s="58">
        <v>0</v>
      </c>
    </row>
    <row r="917" spans="3:3" ht="12.75" customHeight="1" x14ac:dyDescent="0.3">
      <c r="C917" s="58">
        <v>0</v>
      </c>
    </row>
    <row r="921" spans="3:3" ht="12.75" customHeight="1" x14ac:dyDescent="0.3">
      <c r="C921" s="58">
        <v>0</v>
      </c>
    </row>
    <row r="925" spans="3:3" ht="12.75" customHeight="1" x14ac:dyDescent="0.3">
      <c r="C925" s="58">
        <v>0</v>
      </c>
    </row>
    <row r="929" spans="3:3" ht="12.75" customHeight="1" x14ac:dyDescent="0.3">
      <c r="C929" s="58">
        <v>0</v>
      </c>
    </row>
    <row r="933" spans="3:3" ht="12.75" customHeight="1" x14ac:dyDescent="0.3">
      <c r="C933" s="58">
        <v>0</v>
      </c>
    </row>
    <row r="937" spans="3:3" ht="12.75" customHeight="1" x14ac:dyDescent="0.3">
      <c r="C937" s="58">
        <v>0</v>
      </c>
    </row>
    <row r="941" spans="3:3" ht="12.75" customHeight="1" x14ac:dyDescent="0.3">
      <c r="C941" s="58">
        <v>0</v>
      </c>
    </row>
    <row r="945" spans="3:3" ht="12.75" customHeight="1" x14ac:dyDescent="0.3">
      <c r="C945" s="58">
        <v>0</v>
      </c>
    </row>
    <row r="949" spans="3:3" ht="12.75" customHeight="1" x14ac:dyDescent="0.3">
      <c r="C949" s="58">
        <v>0</v>
      </c>
    </row>
    <row r="953" spans="3:3" ht="12.75" customHeight="1" x14ac:dyDescent="0.3">
      <c r="C953" s="58">
        <v>0</v>
      </c>
    </row>
    <row r="957" spans="3:3" ht="12.75" customHeight="1" x14ac:dyDescent="0.3">
      <c r="C957" s="58">
        <v>0</v>
      </c>
    </row>
    <row r="961" spans="3:3" ht="12.75" customHeight="1" x14ac:dyDescent="0.3">
      <c r="C961" s="58">
        <v>0</v>
      </c>
    </row>
    <row r="965" spans="3:3" ht="12.75" customHeight="1" x14ac:dyDescent="0.3">
      <c r="C965" s="58">
        <v>0</v>
      </c>
    </row>
    <row r="969" spans="3:3" ht="12.75" customHeight="1" x14ac:dyDescent="0.3">
      <c r="C969" s="58">
        <v>0</v>
      </c>
    </row>
    <row r="973" spans="3:3" ht="12.75" customHeight="1" x14ac:dyDescent="0.3">
      <c r="C973" s="58">
        <v>0</v>
      </c>
    </row>
    <row r="977" spans="3:3" ht="12.75" customHeight="1" x14ac:dyDescent="0.3">
      <c r="C977" s="58">
        <v>0</v>
      </c>
    </row>
    <row r="981" spans="3:3" ht="12.75" customHeight="1" x14ac:dyDescent="0.3">
      <c r="C981" s="58">
        <v>0</v>
      </c>
    </row>
    <row r="985" spans="3:3" ht="12.75" customHeight="1" x14ac:dyDescent="0.3">
      <c r="C985" s="58">
        <v>0</v>
      </c>
    </row>
    <row r="989" spans="3:3" ht="12.75" customHeight="1" x14ac:dyDescent="0.3">
      <c r="C989" s="58">
        <v>0</v>
      </c>
    </row>
    <row r="993" spans="3:3" ht="12.75" customHeight="1" x14ac:dyDescent="0.3">
      <c r="C993" s="58">
        <v>0</v>
      </c>
    </row>
    <row r="997" spans="3:3" ht="12.75" customHeight="1" x14ac:dyDescent="0.3">
      <c r="C997" s="58">
        <v>0</v>
      </c>
    </row>
    <row r="1001" spans="3:3" ht="12.75" customHeight="1" x14ac:dyDescent="0.3">
      <c r="C1001" s="58">
        <v>0</v>
      </c>
    </row>
    <row r="1005" spans="3:3" ht="12.75" customHeight="1" x14ac:dyDescent="0.3">
      <c r="C1005" s="58">
        <v>0</v>
      </c>
    </row>
    <row r="1009" spans="3:3" ht="12.75" customHeight="1" x14ac:dyDescent="0.3">
      <c r="C1009" s="58">
        <v>0</v>
      </c>
    </row>
    <row r="1013" spans="3:3" ht="12.75" customHeight="1" x14ac:dyDescent="0.3">
      <c r="C1013" s="58">
        <v>0</v>
      </c>
    </row>
    <row r="1017" spans="3:3" ht="12.75" customHeight="1" x14ac:dyDescent="0.3">
      <c r="C1017" s="58">
        <v>0</v>
      </c>
    </row>
    <row r="1021" spans="3:3" ht="12.75" customHeight="1" x14ac:dyDescent="0.3">
      <c r="C1021" s="58">
        <v>0</v>
      </c>
    </row>
    <row r="1025" spans="3:3" ht="12.75" customHeight="1" x14ac:dyDescent="0.3">
      <c r="C1025" s="58">
        <v>0</v>
      </c>
    </row>
    <row r="1029" spans="3:3" ht="12.75" customHeight="1" x14ac:dyDescent="0.3">
      <c r="C1029" s="58">
        <v>0</v>
      </c>
    </row>
    <row r="1033" spans="3:3" ht="12.75" customHeight="1" x14ac:dyDescent="0.3">
      <c r="C1033" s="58">
        <v>0</v>
      </c>
    </row>
    <row r="1037" spans="3:3" ht="12.75" customHeight="1" x14ac:dyDescent="0.3">
      <c r="C1037" s="58">
        <v>0</v>
      </c>
    </row>
    <row r="1041" spans="3:3" ht="12.75" customHeight="1" x14ac:dyDescent="0.3">
      <c r="C1041" s="58">
        <v>0</v>
      </c>
    </row>
    <row r="1045" spans="3:3" ht="12.75" customHeight="1" x14ac:dyDescent="0.3">
      <c r="C1045" s="58">
        <v>0</v>
      </c>
    </row>
    <row r="1049" spans="3:3" ht="12.75" customHeight="1" x14ac:dyDescent="0.3">
      <c r="C1049" s="58">
        <v>0</v>
      </c>
    </row>
    <row r="1053" spans="3:3" ht="12.75" customHeight="1" x14ac:dyDescent="0.3">
      <c r="C1053" s="58">
        <v>0</v>
      </c>
    </row>
    <row r="1057" spans="3:3" ht="12.75" customHeight="1" x14ac:dyDescent="0.3">
      <c r="C1057" s="58">
        <v>0</v>
      </c>
    </row>
    <row r="1061" spans="3:3" ht="12.75" customHeight="1" x14ac:dyDescent="0.3">
      <c r="C1061" s="58">
        <v>0</v>
      </c>
    </row>
    <row r="1065" spans="3:3" ht="12.75" customHeight="1" x14ac:dyDescent="0.3">
      <c r="C1065" s="58">
        <v>0</v>
      </c>
    </row>
    <row r="1069" spans="3:3" ht="12.75" customHeight="1" x14ac:dyDescent="0.3">
      <c r="C1069" s="58">
        <v>0</v>
      </c>
    </row>
    <row r="1073" spans="3:3" ht="12.75" customHeight="1" x14ac:dyDescent="0.3">
      <c r="C1073" s="58">
        <v>0</v>
      </c>
    </row>
    <row r="1077" spans="3:3" ht="12.75" customHeight="1" x14ac:dyDescent="0.3">
      <c r="C1077" s="58">
        <v>0</v>
      </c>
    </row>
    <row r="1081" spans="3:3" ht="12.75" customHeight="1" x14ac:dyDescent="0.3">
      <c r="C1081" s="58">
        <v>0</v>
      </c>
    </row>
    <row r="1085" spans="3:3" ht="12.75" customHeight="1" x14ac:dyDescent="0.3">
      <c r="C1085" s="58">
        <v>0</v>
      </c>
    </row>
    <row r="1089" spans="3:3" ht="12.75" customHeight="1" x14ac:dyDescent="0.3">
      <c r="C1089" s="58">
        <v>0</v>
      </c>
    </row>
    <row r="1093" spans="3:3" ht="12.75" customHeight="1" x14ac:dyDescent="0.3">
      <c r="C1093" s="58">
        <v>0</v>
      </c>
    </row>
    <row r="1097" spans="3:3" ht="12.75" customHeight="1" x14ac:dyDescent="0.3">
      <c r="C1097" s="58">
        <v>0</v>
      </c>
    </row>
    <row r="1101" spans="3:3" ht="12.75" customHeight="1" x14ac:dyDescent="0.3">
      <c r="C1101" s="58">
        <v>0</v>
      </c>
    </row>
    <row r="1105" spans="3:3" ht="12.75" customHeight="1" x14ac:dyDescent="0.3">
      <c r="C1105" s="58">
        <v>0</v>
      </c>
    </row>
    <row r="1109" spans="3:3" ht="12.75" customHeight="1" x14ac:dyDescent="0.3">
      <c r="C1109" s="58">
        <v>0</v>
      </c>
    </row>
    <row r="1113" spans="3:3" ht="12.75" customHeight="1" x14ac:dyDescent="0.3">
      <c r="C1113" s="58">
        <v>0</v>
      </c>
    </row>
    <row r="1117" spans="3:3" ht="12.75" customHeight="1" x14ac:dyDescent="0.3">
      <c r="C1117" s="58">
        <v>0</v>
      </c>
    </row>
    <row r="1121" spans="3:3" ht="12.75" customHeight="1" x14ac:dyDescent="0.3">
      <c r="C1121" s="58">
        <v>0</v>
      </c>
    </row>
    <row r="1125" spans="3:3" ht="12.75" customHeight="1" x14ac:dyDescent="0.3">
      <c r="C1125" s="58">
        <v>0</v>
      </c>
    </row>
    <row r="1129" spans="3:3" ht="12.75" customHeight="1" x14ac:dyDescent="0.3">
      <c r="C1129" s="58">
        <v>0</v>
      </c>
    </row>
    <row r="1133" spans="3:3" ht="12.75" customHeight="1" x14ac:dyDescent="0.3">
      <c r="C1133" s="58">
        <v>0</v>
      </c>
    </row>
    <row r="1137" spans="3:3" ht="12.75" customHeight="1" x14ac:dyDescent="0.3">
      <c r="C1137" s="58">
        <v>0</v>
      </c>
    </row>
    <row r="1141" spans="3:3" ht="12.75" customHeight="1" x14ac:dyDescent="0.3">
      <c r="C1141" s="58">
        <v>0</v>
      </c>
    </row>
    <row r="1145" spans="3:3" ht="12.75" customHeight="1" x14ac:dyDescent="0.3">
      <c r="C1145" s="58">
        <v>0</v>
      </c>
    </row>
    <row r="1149" spans="3:3" ht="12.75" customHeight="1" x14ac:dyDescent="0.3">
      <c r="C1149" s="58">
        <v>0</v>
      </c>
    </row>
    <row r="1153" spans="3:3" ht="12.75" customHeight="1" x14ac:dyDescent="0.3">
      <c r="C1153" s="58">
        <v>0</v>
      </c>
    </row>
    <row r="1157" spans="3:3" ht="12.75" customHeight="1" x14ac:dyDescent="0.3">
      <c r="C1157" s="58">
        <v>0</v>
      </c>
    </row>
    <row r="1161" spans="3:3" ht="12.75" customHeight="1" x14ac:dyDescent="0.3">
      <c r="C1161" s="58">
        <v>0</v>
      </c>
    </row>
    <row r="1165" spans="3:3" ht="12.75" customHeight="1" x14ac:dyDescent="0.3">
      <c r="C1165" s="58">
        <v>0</v>
      </c>
    </row>
    <row r="1169" spans="3:3" ht="12.75" customHeight="1" x14ac:dyDescent="0.3">
      <c r="C1169" s="58">
        <v>0</v>
      </c>
    </row>
    <row r="1173" spans="3:3" ht="12.75" customHeight="1" x14ac:dyDescent="0.3">
      <c r="C1173" s="58">
        <v>0</v>
      </c>
    </row>
    <row r="1177" spans="3:3" ht="12.75" customHeight="1" x14ac:dyDescent="0.3">
      <c r="C1177" s="58">
        <v>0</v>
      </c>
    </row>
    <row r="1181" spans="3:3" ht="12.75" customHeight="1" x14ac:dyDescent="0.3">
      <c r="C1181" s="58">
        <v>0</v>
      </c>
    </row>
    <row r="1185" spans="3:3" ht="12.75" customHeight="1" x14ac:dyDescent="0.3">
      <c r="C1185" s="58">
        <v>0</v>
      </c>
    </row>
    <row r="1189" spans="3:3" ht="12.75" customHeight="1" x14ac:dyDescent="0.3">
      <c r="C1189" s="58">
        <v>0</v>
      </c>
    </row>
    <row r="1193" spans="3:3" ht="12.75" customHeight="1" x14ac:dyDescent="0.3">
      <c r="C1193" s="58">
        <v>0</v>
      </c>
    </row>
    <row r="1197" spans="3:3" ht="12.75" customHeight="1" x14ac:dyDescent="0.3">
      <c r="C1197" s="58">
        <v>0</v>
      </c>
    </row>
    <row r="1201" spans="3:3" ht="12.75" customHeight="1" x14ac:dyDescent="0.3">
      <c r="C1201" s="58">
        <v>0</v>
      </c>
    </row>
    <row r="1205" spans="3:3" ht="12.75" customHeight="1" x14ac:dyDescent="0.3">
      <c r="C1205" s="58">
        <v>0</v>
      </c>
    </row>
    <row r="1209" spans="3:3" ht="12.75" customHeight="1" x14ac:dyDescent="0.3">
      <c r="C1209" s="58">
        <v>0</v>
      </c>
    </row>
    <row r="1213" spans="3:3" ht="12.75" customHeight="1" x14ac:dyDescent="0.3">
      <c r="C1213" s="58">
        <v>0</v>
      </c>
    </row>
    <row r="1217" spans="3:3" ht="12.75" customHeight="1" x14ac:dyDescent="0.3">
      <c r="C1217" s="58">
        <v>0</v>
      </c>
    </row>
    <row r="1221" spans="3:3" ht="12.75" customHeight="1" x14ac:dyDescent="0.3">
      <c r="C1221" s="58">
        <v>0</v>
      </c>
    </row>
    <row r="1225" spans="3:3" ht="12.75" customHeight="1" x14ac:dyDescent="0.3">
      <c r="C1225" s="58">
        <v>0</v>
      </c>
    </row>
    <row r="1229" spans="3:3" ht="12.75" customHeight="1" x14ac:dyDescent="0.3">
      <c r="C1229" s="58">
        <v>0</v>
      </c>
    </row>
    <row r="1233" spans="3:3" ht="12.75" customHeight="1" x14ac:dyDescent="0.3">
      <c r="C1233" s="58">
        <v>0</v>
      </c>
    </row>
    <row r="1237" spans="3:3" ht="12.75" customHeight="1" x14ac:dyDescent="0.3">
      <c r="C1237" s="58">
        <v>0</v>
      </c>
    </row>
    <row r="1241" spans="3:3" ht="12.75" customHeight="1" x14ac:dyDescent="0.3">
      <c r="C1241" s="58">
        <v>0</v>
      </c>
    </row>
    <row r="1245" spans="3:3" ht="12.75" customHeight="1" x14ac:dyDescent="0.3">
      <c r="C1245" s="58">
        <v>0</v>
      </c>
    </row>
    <row r="1249" spans="3:3" ht="12.75" customHeight="1" x14ac:dyDescent="0.3">
      <c r="C1249" s="58">
        <v>0</v>
      </c>
    </row>
    <row r="1253" spans="3:3" ht="12.75" customHeight="1" x14ac:dyDescent="0.3">
      <c r="C1253" s="58">
        <v>0</v>
      </c>
    </row>
    <row r="1257" spans="3:3" ht="12.75" customHeight="1" x14ac:dyDescent="0.3">
      <c r="C1257" s="58">
        <v>0</v>
      </c>
    </row>
    <row r="1261" spans="3:3" ht="12.75" customHeight="1" x14ac:dyDescent="0.3">
      <c r="C1261" s="58">
        <v>0</v>
      </c>
    </row>
    <row r="1265" spans="3:3" ht="12.75" customHeight="1" x14ac:dyDescent="0.3">
      <c r="C1265" s="58">
        <v>0</v>
      </c>
    </row>
    <row r="1269" spans="3:3" ht="12.75" customHeight="1" x14ac:dyDescent="0.3">
      <c r="C1269" s="58">
        <v>0</v>
      </c>
    </row>
    <row r="1273" spans="3:3" ht="12.75" customHeight="1" x14ac:dyDescent="0.3">
      <c r="C1273" s="58">
        <v>0</v>
      </c>
    </row>
    <row r="1277" spans="3:3" ht="12.75" customHeight="1" x14ac:dyDescent="0.3">
      <c r="C1277" s="58">
        <v>0</v>
      </c>
    </row>
    <row r="1281" spans="3:3" ht="12.75" customHeight="1" x14ac:dyDescent="0.3">
      <c r="C1281" s="58">
        <v>0</v>
      </c>
    </row>
    <row r="1285" spans="3:3" ht="12.75" customHeight="1" x14ac:dyDescent="0.3">
      <c r="C1285" s="58">
        <v>0</v>
      </c>
    </row>
    <row r="1289" spans="3:3" ht="12.75" customHeight="1" x14ac:dyDescent="0.3">
      <c r="C1289" s="58">
        <v>0</v>
      </c>
    </row>
    <row r="1293" spans="3:3" ht="12.75" customHeight="1" x14ac:dyDescent="0.3">
      <c r="C1293" s="58">
        <v>0</v>
      </c>
    </row>
    <row r="1297" spans="3:3" ht="12.75" customHeight="1" x14ac:dyDescent="0.3">
      <c r="C1297" s="58">
        <v>0</v>
      </c>
    </row>
    <row r="1301" spans="3:3" ht="12.75" customHeight="1" x14ac:dyDescent="0.3">
      <c r="C1301" s="58">
        <v>0</v>
      </c>
    </row>
    <row r="1305" spans="3:3" ht="12.75" customHeight="1" x14ac:dyDescent="0.3">
      <c r="C1305" s="58">
        <v>0</v>
      </c>
    </row>
    <row r="1309" spans="3:3" ht="12.75" customHeight="1" x14ac:dyDescent="0.3">
      <c r="C1309" s="58">
        <v>0</v>
      </c>
    </row>
    <row r="1313" spans="3:3" ht="12.75" customHeight="1" x14ac:dyDescent="0.3">
      <c r="C1313" s="58">
        <v>0</v>
      </c>
    </row>
    <row r="1317" spans="3:3" ht="12.75" customHeight="1" x14ac:dyDescent="0.3">
      <c r="C1317" s="58">
        <v>0</v>
      </c>
    </row>
    <row r="1321" spans="3:3" ht="12.75" customHeight="1" x14ac:dyDescent="0.3">
      <c r="C1321" s="58">
        <v>0</v>
      </c>
    </row>
    <row r="1325" spans="3:3" ht="12.75" customHeight="1" x14ac:dyDescent="0.3">
      <c r="C1325" s="58">
        <v>0</v>
      </c>
    </row>
    <row r="1329" spans="3:3" ht="12.75" customHeight="1" x14ac:dyDescent="0.3">
      <c r="C1329" s="58">
        <v>0</v>
      </c>
    </row>
    <row r="1333" spans="3:3" ht="12.75" customHeight="1" x14ac:dyDescent="0.3">
      <c r="C1333" s="58">
        <v>0</v>
      </c>
    </row>
    <row r="1337" spans="3:3" ht="12.75" customHeight="1" x14ac:dyDescent="0.3">
      <c r="C1337" s="58">
        <v>0</v>
      </c>
    </row>
    <row r="1341" spans="3:3" ht="12.75" customHeight="1" x14ac:dyDescent="0.3">
      <c r="C1341" s="58">
        <v>0</v>
      </c>
    </row>
    <row r="1345" spans="3:3" ht="12.75" customHeight="1" x14ac:dyDescent="0.3">
      <c r="C1345" s="58">
        <v>0</v>
      </c>
    </row>
    <row r="1349" spans="3:3" ht="12.75" customHeight="1" x14ac:dyDescent="0.3">
      <c r="C1349" s="58">
        <v>0</v>
      </c>
    </row>
    <row r="1353" spans="3:3" ht="12.75" customHeight="1" x14ac:dyDescent="0.3">
      <c r="C1353" s="58">
        <v>0</v>
      </c>
    </row>
    <row r="1357" spans="3:3" ht="12.75" customHeight="1" x14ac:dyDescent="0.3">
      <c r="C1357" s="58">
        <v>0</v>
      </c>
    </row>
    <row r="1361" spans="3:3" ht="12.75" customHeight="1" x14ac:dyDescent="0.3">
      <c r="C1361" s="58">
        <v>0</v>
      </c>
    </row>
    <row r="1365" spans="3:3" ht="12.75" customHeight="1" x14ac:dyDescent="0.3">
      <c r="C1365" s="58">
        <v>0</v>
      </c>
    </row>
    <row r="1369" spans="3:3" ht="12.75" customHeight="1" x14ac:dyDescent="0.3">
      <c r="C1369" s="58">
        <v>0</v>
      </c>
    </row>
    <row r="1373" spans="3:3" ht="12.75" customHeight="1" x14ac:dyDescent="0.3">
      <c r="C1373" s="58">
        <v>0</v>
      </c>
    </row>
    <row r="1377" spans="3:3" ht="12.75" customHeight="1" x14ac:dyDescent="0.3">
      <c r="C1377" s="58">
        <v>0</v>
      </c>
    </row>
    <row r="1381" spans="3:3" ht="12.75" customHeight="1" x14ac:dyDescent="0.3">
      <c r="C1381" s="58">
        <v>0</v>
      </c>
    </row>
    <row r="1385" spans="3:3" ht="12.75" customHeight="1" x14ac:dyDescent="0.3">
      <c r="C1385" s="58">
        <v>0</v>
      </c>
    </row>
    <row r="1389" spans="3:3" ht="12.75" customHeight="1" x14ac:dyDescent="0.3">
      <c r="C1389" s="58">
        <v>0</v>
      </c>
    </row>
    <row r="1393" spans="3:3" ht="12.75" customHeight="1" x14ac:dyDescent="0.3">
      <c r="C1393" s="58">
        <v>0</v>
      </c>
    </row>
    <row r="1397" spans="3:3" ht="12.75" customHeight="1" x14ac:dyDescent="0.3">
      <c r="C1397" s="58">
        <v>0</v>
      </c>
    </row>
    <row r="1401" spans="3:3" ht="12.75" customHeight="1" x14ac:dyDescent="0.3">
      <c r="C1401" s="58">
        <v>0</v>
      </c>
    </row>
    <row r="1405" spans="3:3" ht="12.75" customHeight="1" x14ac:dyDescent="0.3">
      <c r="C1405" s="58">
        <v>0</v>
      </c>
    </row>
    <row r="1409" spans="3:3" ht="12.75" customHeight="1" x14ac:dyDescent="0.3">
      <c r="C1409" s="58">
        <v>0</v>
      </c>
    </row>
    <row r="1413" spans="3:3" ht="12.75" customHeight="1" x14ac:dyDescent="0.3">
      <c r="C1413" s="58">
        <v>0</v>
      </c>
    </row>
    <row r="1417" spans="3:3" ht="12.75" customHeight="1" x14ac:dyDescent="0.3">
      <c r="C1417" s="58">
        <v>0</v>
      </c>
    </row>
    <row r="1421" spans="3:3" ht="12.75" customHeight="1" x14ac:dyDescent="0.3">
      <c r="C1421" s="58">
        <v>0</v>
      </c>
    </row>
    <row r="1423" spans="3:3" ht="12.75" customHeight="1" x14ac:dyDescent="0.3">
      <c r="C1423" s="58">
        <v>4343</v>
      </c>
    </row>
  </sheetData>
  <autoFilter ref="A1:D1" xr:uid="{27151D64-FC6B-4DD6-9909-655D96479914}"/>
  <sortState ref="A2:D1424">
    <sortCondition ref="A2:A1424"/>
  </sortState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OrgDatos1">
                <anchor>
                  <from>
                    <xdr:col>9</xdr:col>
                    <xdr:colOff>22860</xdr:colOff>
                    <xdr:row>2</xdr:row>
                    <xdr:rowOff>175260</xdr:rowOff>
                  </from>
                  <to>
                    <xdr:col>12</xdr:col>
                    <xdr:colOff>182880</xdr:colOff>
                    <xdr:row>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</vt:i4>
      </vt:variant>
    </vt:vector>
  </HeadingPairs>
  <TitlesOfParts>
    <vt:vector size="8" baseType="lpstr">
      <vt:lpstr>Recepcion de Producto</vt:lpstr>
      <vt:lpstr>Salida de Producto</vt:lpstr>
      <vt:lpstr>Balance de Inventarios</vt:lpstr>
      <vt:lpstr>Inventario Profit</vt:lpstr>
      <vt:lpstr>Hoja1</vt:lpstr>
      <vt:lpstr>Org Datos 1</vt:lpstr>
      <vt:lpstr>Org Datos 2</vt:lpstr>
      <vt:lpstr>'Balance de Inventarios'!Área_de_impresión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Denis Orta</dc:creator>
  <cp:lastModifiedBy>Duglas Ledezma</cp:lastModifiedBy>
  <cp:lastPrinted>2022-12-30T14:30:26Z</cp:lastPrinted>
  <dcterms:created xsi:type="dcterms:W3CDTF">2019-09-11T14:34:39Z</dcterms:created>
  <dcterms:modified xsi:type="dcterms:W3CDTF">2023-07-14T18:25:14Z</dcterms:modified>
</cp:coreProperties>
</file>